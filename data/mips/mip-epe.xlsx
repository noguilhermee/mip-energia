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mips/"/>
    </mc:Choice>
  </mc:AlternateContent>
  <xr:revisionPtr revIDLastSave="979" documentId="8_{C3A23828-C411-4763-942C-C4BD2C52C80B}" xr6:coauthVersionLast="47" xr6:coauthVersionMax="47" xr10:uidLastSave="{5FE28216-C32E-430D-B4A8-0475AC1490DF}"/>
  <bookViews>
    <workbookView xWindow="-108" yWindow="-108" windowWidth="23256" windowHeight="12456" xr2:uid="{45016FF5-F308-4B3B-8571-E9C3D205119B}"/>
  </bookViews>
  <sheets>
    <sheet name="Fluxos Monetários" sheetId="1" r:id="rId1"/>
    <sheet name="FM - C1" sheetId="5" r:id="rId2"/>
    <sheet name="FM - C2" sheetId="7" r:id="rId3"/>
    <sheet name="FM - C3" sheetId="8" r:id="rId4"/>
    <sheet name="Fluxos Energia" sheetId="2" r:id="rId5"/>
    <sheet name="Energia Demanda Final" sheetId="3" r:id="rId6"/>
    <sheet name="Emprego Setorial" sheetId="4" r:id="rId7"/>
    <sheet name="Emprego" sheetId="11" r:id="rId8"/>
    <sheet name="Fluxos Monetários (2)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" l="1"/>
  <c r="H17" i="2"/>
  <c r="G17" i="2"/>
  <c r="N19" i="2"/>
  <c r="N18" i="2"/>
  <c r="F21" i="2"/>
  <c r="F20" i="2"/>
  <c r="N21" i="2"/>
  <c r="N20" i="2"/>
  <c r="N17" i="2"/>
  <c r="J21" i="2"/>
  <c r="J20" i="2"/>
  <c r="J17" i="2"/>
  <c r="J19" i="2"/>
  <c r="J18" i="2"/>
  <c r="G19" i="2" l="1"/>
  <c r="H19" i="2" s="1"/>
  <c r="F19" i="2"/>
  <c r="F18" i="2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G22" i="2"/>
  <c r="G21" i="2"/>
  <c r="G20" i="2"/>
  <c r="G18" i="2"/>
  <c r="BY78" i="10" l="1"/>
  <c r="BY77" i="10"/>
  <c r="BY76" i="10"/>
  <c r="BY75" i="10"/>
  <c r="BY74" i="10"/>
  <c r="BY73" i="10"/>
  <c r="BY72" i="10"/>
  <c r="BY71" i="10"/>
  <c r="BY70" i="10"/>
  <c r="BY69" i="10"/>
  <c r="BY68" i="10"/>
  <c r="BY67" i="10"/>
  <c r="BY66" i="10"/>
  <c r="BY65" i="10"/>
  <c r="BY64" i="10"/>
  <c r="BY63" i="10"/>
  <c r="BY62" i="10"/>
  <c r="BY61" i="10"/>
  <c r="BY60" i="10"/>
  <c r="BY59" i="10"/>
  <c r="BY58" i="10"/>
  <c r="BY57" i="10"/>
  <c r="BY56" i="10"/>
  <c r="BY55" i="10"/>
  <c r="BY54" i="10"/>
  <c r="BY53" i="10"/>
  <c r="BY52" i="10"/>
  <c r="BY51" i="10"/>
  <c r="BY50" i="10"/>
  <c r="BY49" i="10"/>
  <c r="BY48" i="10"/>
  <c r="BY47" i="10"/>
  <c r="BY46" i="10"/>
  <c r="BY45" i="10"/>
  <c r="BY44" i="10"/>
  <c r="BY43" i="10"/>
  <c r="BY42" i="10"/>
  <c r="BY41" i="10"/>
  <c r="BY40" i="10"/>
  <c r="BY39" i="10"/>
  <c r="BY38" i="10"/>
  <c r="BY37" i="10"/>
  <c r="BY36" i="10"/>
  <c r="BY35" i="10"/>
  <c r="BY34" i="10"/>
  <c r="BY33" i="10"/>
  <c r="BY32" i="10"/>
  <c r="BY31" i="10"/>
  <c r="BY30" i="10"/>
  <c r="BY29" i="10"/>
  <c r="BY28" i="10"/>
  <c r="BY27" i="10"/>
  <c r="BY26" i="10"/>
  <c r="BY25" i="10"/>
  <c r="BY24" i="10"/>
  <c r="BY23" i="10"/>
  <c r="BY22" i="10"/>
  <c r="BY21" i="10"/>
  <c r="BY20" i="10"/>
  <c r="BY19" i="10"/>
  <c r="BY18" i="10"/>
  <c r="BY17" i="10"/>
  <c r="BY16" i="10"/>
  <c r="BY15" i="10"/>
  <c r="BY14" i="10"/>
  <c r="BY13" i="10"/>
  <c r="BY12" i="10"/>
  <c r="BY11" i="10"/>
  <c r="BY10" i="10"/>
  <c r="BY9" i="10"/>
  <c r="BY8" i="10"/>
  <c r="BY7" i="10"/>
  <c r="BY6" i="10"/>
  <c r="AY95" i="10"/>
  <c r="AY98" i="10" s="1"/>
  <c r="AY101" i="10" s="1"/>
  <c r="AY91" i="10"/>
  <c r="AY89" i="10"/>
  <c r="AY79" i="10"/>
  <c r="AY88" i="10" s="1"/>
  <c r="CI78" i="10"/>
  <c r="CI77" i="10"/>
  <c r="CI76" i="10"/>
  <c r="CI75" i="10"/>
  <c r="CI74" i="10"/>
  <c r="CI73" i="10"/>
  <c r="CI72" i="10"/>
  <c r="CI71" i="10"/>
  <c r="CI70" i="10"/>
  <c r="CI69" i="10"/>
  <c r="CI68" i="10"/>
  <c r="CI67" i="10"/>
  <c r="CI66" i="10"/>
  <c r="CI65" i="10"/>
  <c r="CI64" i="10"/>
  <c r="CI63" i="10"/>
  <c r="CI62" i="10"/>
  <c r="CI61" i="10"/>
  <c r="CI60" i="10"/>
  <c r="CI59" i="10"/>
  <c r="CI58" i="10"/>
  <c r="CI57" i="10"/>
  <c r="CI56" i="10"/>
  <c r="CI55" i="10"/>
  <c r="CI54" i="10"/>
  <c r="CI53" i="10"/>
  <c r="CI52" i="10"/>
  <c r="CI51" i="10"/>
  <c r="CI50" i="10"/>
  <c r="CI49" i="10"/>
  <c r="CI48" i="10"/>
  <c r="CI47" i="10"/>
  <c r="CI46" i="10"/>
  <c r="CI45" i="10"/>
  <c r="CI44" i="10"/>
  <c r="CI43" i="10"/>
  <c r="CI42" i="10"/>
  <c r="CI41" i="10"/>
  <c r="CI40" i="10"/>
  <c r="CI39" i="10"/>
  <c r="CI38" i="10"/>
  <c r="CI37" i="10"/>
  <c r="CI36" i="10"/>
  <c r="CI35" i="10"/>
  <c r="CI34" i="10"/>
  <c r="CI33" i="10"/>
  <c r="CI32" i="10"/>
  <c r="CI31" i="10"/>
  <c r="CI30" i="10"/>
  <c r="CI29" i="10"/>
  <c r="CI28" i="10"/>
  <c r="CI27" i="10"/>
  <c r="CI26" i="10"/>
  <c r="CI25" i="10"/>
  <c r="CI24" i="10"/>
  <c r="CI23" i="10"/>
  <c r="CI22" i="10"/>
  <c r="CI21" i="10"/>
  <c r="CI20" i="10"/>
  <c r="CI19" i="10"/>
  <c r="CI18" i="10"/>
  <c r="CI17" i="10"/>
  <c r="CI16" i="10"/>
  <c r="CI15" i="10"/>
  <c r="CI14" i="10"/>
  <c r="CI13" i="10"/>
  <c r="CI12" i="10"/>
  <c r="CI11" i="10"/>
  <c r="CI10" i="10"/>
  <c r="CI9" i="10"/>
  <c r="CI8" i="10"/>
  <c r="CI7" i="10"/>
  <c r="CI6" i="10"/>
  <c r="AY102" i="10" l="1"/>
  <c r="AY105" i="10" s="1"/>
  <c r="AY48" i="8"/>
  <c r="AY46" i="8"/>
  <c r="AY45" i="8"/>
  <c r="AY95" i="8"/>
  <c r="AY91" i="8"/>
  <c r="AY89" i="8" s="1"/>
  <c r="CI78" i="8"/>
  <c r="CI77" i="8"/>
  <c r="CI76" i="8"/>
  <c r="CI75" i="8"/>
  <c r="CI74" i="8"/>
  <c r="CI73" i="8"/>
  <c r="CI72" i="8"/>
  <c r="CI71" i="8"/>
  <c r="CI70" i="8"/>
  <c r="CI69" i="8"/>
  <c r="CI68" i="8"/>
  <c r="CI67" i="8"/>
  <c r="CI66" i="8"/>
  <c r="CI65" i="8"/>
  <c r="CI64" i="8"/>
  <c r="CI63" i="8"/>
  <c r="CI62" i="8"/>
  <c r="CI61" i="8"/>
  <c r="CI60" i="8"/>
  <c r="CI59" i="8"/>
  <c r="CI58" i="8"/>
  <c r="CI57" i="8"/>
  <c r="CI56" i="8"/>
  <c r="CI55" i="8"/>
  <c r="CI54" i="8"/>
  <c r="CI53" i="8"/>
  <c r="CI52" i="8"/>
  <c r="CI51" i="8"/>
  <c r="CI50" i="8"/>
  <c r="CI49" i="8"/>
  <c r="CI48" i="8"/>
  <c r="CI47" i="8"/>
  <c r="CI46" i="8"/>
  <c r="CI45" i="8"/>
  <c r="CI44" i="8"/>
  <c r="CI43" i="8"/>
  <c r="CI42" i="8"/>
  <c r="CI41" i="8"/>
  <c r="CI40" i="8"/>
  <c r="CI39" i="8"/>
  <c r="CI38" i="8"/>
  <c r="CI37" i="8"/>
  <c r="CI36" i="8"/>
  <c r="CI35" i="8"/>
  <c r="CI34" i="8"/>
  <c r="CI33" i="8"/>
  <c r="CI32" i="8"/>
  <c r="CI31" i="8"/>
  <c r="CI30" i="8"/>
  <c r="CI29" i="8"/>
  <c r="CI28" i="8"/>
  <c r="CI27" i="8"/>
  <c r="CI26" i="8"/>
  <c r="CI25" i="8"/>
  <c r="CI24" i="8"/>
  <c r="CI23" i="8"/>
  <c r="CI22" i="8"/>
  <c r="CI21" i="8"/>
  <c r="CI20" i="8"/>
  <c r="CI19" i="8"/>
  <c r="CI18" i="8"/>
  <c r="CI17" i="8"/>
  <c r="CI16" i="8"/>
  <c r="CI15" i="8"/>
  <c r="CI14" i="8"/>
  <c r="CI13" i="8"/>
  <c r="CI12" i="8"/>
  <c r="CI11" i="8"/>
  <c r="CI10" i="8"/>
  <c r="CI9" i="8"/>
  <c r="CI8" i="8"/>
  <c r="CI7" i="8"/>
  <c r="CI6" i="8"/>
  <c r="AY48" i="7"/>
  <c r="AY25" i="7"/>
  <c r="AY95" i="7"/>
  <c r="AY98" i="7" s="1"/>
  <c r="AY101" i="7" s="1"/>
  <c r="AY91" i="7"/>
  <c r="AY89" i="7"/>
  <c r="CI78" i="7"/>
  <c r="CI77" i="7"/>
  <c r="CI76" i="7"/>
  <c r="CI75" i="7"/>
  <c r="CI74" i="7"/>
  <c r="CI73" i="7"/>
  <c r="CI72" i="7"/>
  <c r="CI71" i="7"/>
  <c r="CI70" i="7"/>
  <c r="CI69" i="7"/>
  <c r="CI68" i="7"/>
  <c r="CI67" i="7"/>
  <c r="CI66" i="7"/>
  <c r="CI65" i="7"/>
  <c r="CI64" i="7"/>
  <c r="CI63" i="7"/>
  <c r="CI62" i="7"/>
  <c r="CI61" i="7"/>
  <c r="CI60" i="7"/>
  <c r="CI59" i="7"/>
  <c r="CI58" i="7"/>
  <c r="CI57" i="7"/>
  <c r="CI56" i="7"/>
  <c r="CI55" i="7"/>
  <c r="CI54" i="7"/>
  <c r="CI53" i="7"/>
  <c r="CI52" i="7"/>
  <c r="CI51" i="7"/>
  <c r="CI50" i="7"/>
  <c r="CI49" i="7"/>
  <c r="CI48" i="7"/>
  <c r="CI47" i="7"/>
  <c r="CI46" i="7"/>
  <c r="CI45" i="7"/>
  <c r="CI44" i="7"/>
  <c r="CI43" i="7"/>
  <c r="CI42" i="7"/>
  <c r="CI41" i="7"/>
  <c r="CI40" i="7"/>
  <c r="CI39" i="7"/>
  <c r="CI38" i="7"/>
  <c r="CI37" i="7"/>
  <c r="CI36" i="7"/>
  <c r="CI35" i="7"/>
  <c r="CI34" i="7"/>
  <c r="CI33" i="7"/>
  <c r="CI32" i="7"/>
  <c r="CI31" i="7"/>
  <c r="CI30" i="7"/>
  <c r="CI29" i="7"/>
  <c r="CI28" i="7"/>
  <c r="CI27" i="7"/>
  <c r="CI26" i="7"/>
  <c r="CI25" i="7"/>
  <c r="CI24" i="7"/>
  <c r="CI23" i="7"/>
  <c r="CI22" i="7"/>
  <c r="CI21" i="7"/>
  <c r="CI20" i="7"/>
  <c r="CI19" i="7"/>
  <c r="CI18" i="7"/>
  <c r="CI17" i="7"/>
  <c r="CI16" i="7"/>
  <c r="CI15" i="7"/>
  <c r="CI14" i="7"/>
  <c r="CI13" i="7"/>
  <c r="CI12" i="7"/>
  <c r="CI11" i="7"/>
  <c r="CI10" i="7"/>
  <c r="CI9" i="7"/>
  <c r="CI8" i="7"/>
  <c r="CI7" i="7"/>
  <c r="CI6" i="7"/>
  <c r="AY101" i="5"/>
  <c r="AY98" i="5"/>
  <c r="AY95" i="5"/>
  <c r="AY89" i="5"/>
  <c r="AY102" i="1"/>
  <c r="AY105" i="1"/>
  <c r="AY101" i="1"/>
  <c r="AY98" i="1"/>
  <c r="AY89" i="1"/>
  <c r="AY95" i="1"/>
  <c r="AY91" i="1"/>
  <c r="AY88" i="1"/>
  <c r="AY79" i="1"/>
  <c r="AY91" i="5"/>
  <c r="H18" i="2"/>
  <c r="AY25" i="5" s="1"/>
  <c r="CI78" i="5"/>
  <c r="CI77" i="5"/>
  <c r="CI76" i="5"/>
  <c r="CI75" i="5"/>
  <c r="CI74" i="5"/>
  <c r="CI73" i="5"/>
  <c r="CI72" i="5"/>
  <c r="CI71" i="5"/>
  <c r="CI70" i="5"/>
  <c r="CI69" i="5"/>
  <c r="CI68" i="5"/>
  <c r="CI67" i="5"/>
  <c r="CI66" i="5"/>
  <c r="CI65" i="5"/>
  <c r="CI64" i="5"/>
  <c r="CI63" i="5"/>
  <c r="CI62" i="5"/>
  <c r="CI61" i="5"/>
  <c r="CI60" i="5"/>
  <c r="CI59" i="5"/>
  <c r="CI58" i="5"/>
  <c r="CI57" i="5"/>
  <c r="CI56" i="5"/>
  <c r="CI55" i="5"/>
  <c r="CI54" i="5"/>
  <c r="CI53" i="5"/>
  <c r="CI52" i="5"/>
  <c r="CI51" i="5"/>
  <c r="CI50" i="5"/>
  <c r="CI49" i="5"/>
  <c r="CI48" i="5"/>
  <c r="CI47" i="5"/>
  <c r="CI46" i="5"/>
  <c r="CI45" i="5"/>
  <c r="CI44" i="5"/>
  <c r="CI43" i="5"/>
  <c r="CI42" i="5"/>
  <c r="CI41" i="5"/>
  <c r="CI40" i="5"/>
  <c r="CI39" i="5"/>
  <c r="CI38" i="5"/>
  <c r="CI37" i="5"/>
  <c r="CI36" i="5"/>
  <c r="CI35" i="5"/>
  <c r="CI34" i="5"/>
  <c r="CI33" i="5"/>
  <c r="CI32" i="5"/>
  <c r="CI31" i="5"/>
  <c r="CI30" i="5"/>
  <c r="CI29" i="5"/>
  <c r="CI28" i="5"/>
  <c r="CI27" i="5"/>
  <c r="CI26" i="5"/>
  <c r="CI25" i="5"/>
  <c r="CI24" i="5"/>
  <c r="CI23" i="5"/>
  <c r="CI22" i="5"/>
  <c r="CI21" i="5"/>
  <c r="CI20" i="5"/>
  <c r="CI19" i="5"/>
  <c r="CI18" i="5"/>
  <c r="CI17" i="5"/>
  <c r="CI16" i="5"/>
  <c r="CI15" i="5"/>
  <c r="CI14" i="5"/>
  <c r="CI13" i="5"/>
  <c r="CI12" i="5"/>
  <c r="CI11" i="5"/>
  <c r="CI10" i="5"/>
  <c r="CI9" i="5"/>
  <c r="CI8" i="5"/>
  <c r="CI7" i="5"/>
  <c r="CI6" i="5"/>
  <c r="P26" i="2"/>
  <c r="P19" i="2"/>
  <c r="AY27" i="8" s="1"/>
  <c r="P28" i="2"/>
  <c r="N22" i="2"/>
  <c r="O22" i="2"/>
  <c r="P30" i="2"/>
  <c r="O21" i="2"/>
  <c r="P29" i="2"/>
  <c r="O20" i="2"/>
  <c r="O19" i="2"/>
  <c r="O18" i="2"/>
  <c r="O17" i="2"/>
  <c r="O23" i="2" s="1"/>
  <c r="P25" i="2"/>
  <c r="L21" i="2"/>
  <c r="AY46" i="7" s="1"/>
  <c r="L20" i="2"/>
  <c r="AY45" i="7" s="1"/>
  <c r="L19" i="2"/>
  <c r="AY27" i="7" s="1"/>
  <c r="L18" i="2"/>
  <c r="K22" i="2"/>
  <c r="K21" i="2"/>
  <c r="K20" i="2"/>
  <c r="K19" i="2"/>
  <c r="K18" i="2"/>
  <c r="K17" i="2"/>
  <c r="AY24" i="5"/>
  <c r="C20" i="2"/>
  <c r="J23" i="2"/>
  <c r="L26" i="2"/>
  <c r="L30" i="2"/>
  <c r="L29" i="2"/>
  <c r="L28" i="2"/>
  <c r="L27" i="2"/>
  <c r="L25" i="2"/>
  <c r="H30" i="2"/>
  <c r="H29" i="2"/>
  <c r="H28" i="2"/>
  <c r="H27" i="2"/>
  <c r="H26" i="2"/>
  <c r="H25" i="2"/>
  <c r="J22" i="2"/>
  <c r="F22" i="2"/>
  <c r="F17" i="2"/>
  <c r="L22" i="2"/>
  <c r="D22" i="2"/>
  <c r="D21" i="2"/>
  <c r="D20" i="2"/>
  <c r="D19" i="2"/>
  <c r="D18" i="2"/>
  <c r="D17" i="2"/>
  <c r="C18" i="2"/>
  <c r="C19" i="2"/>
  <c r="C21" i="2"/>
  <c r="C22" i="2"/>
  <c r="C17" i="2"/>
  <c r="D23" i="2"/>
  <c r="BB19" i="3"/>
  <c r="AY98" i="8" l="1"/>
  <c r="AY101" i="8" s="1"/>
  <c r="P20" i="2"/>
  <c r="P21" i="2"/>
  <c r="P22" i="2"/>
  <c r="P17" i="2"/>
  <c r="AY24" i="8" s="1"/>
  <c r="N23" i="2"/>
  <c r="P18" i="2"/>
  <c r="AY25" i="8" s="1"/>
  <c r="AY79" i="8" s="1"/>
  <c r="AY88" i="8" s="1"/>
  <c r="P27" i="2"/>
  <c r="K23" i="2"/>
  <c r="L17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L23" i="2" l="1"/>
  <c r="AY24" i="7"/>
  <c r="AY79" i="7" s="1"/>
  <c r="AY88" i="7" s="1"/>
  <c r="AY102" i="7" s="1"/>
  <c r="AY102" i="8"/>
  <c r="P23" i="2"/>
  <c r="H22" i="2"/>
  <c r="AY48" i="5" s="1"/>
  <c r="C23" i="2"/>
  <c r="K15" i="3"/>
  <c r="AA15" i="3"/>
  <c r="AQ15" i="3"/>
  <c r="BG15" i="3"/>
  <c r="BW15" i="3"/>
  <c r="J15" i="3"/>
  <c r="AP15" i="3"/>
  <c r="BF15" i="3"/>
  <c r="BV15" i="3"/>
  <c r="AG15" i="3"/>
  <c r="I15" i="3"/>
  <c r="BE15" i="3"/>
  <c r="BU15" i="3"/>
  <c r="AX15" i="3"/>
  <c r="AS15" i="3"/>
  <c r="BQ15" i="3"/>
  <c r="U15" i="3"/>
  <c r="H15" i="3"/>
  <c r="X15" i="3"/>
  <c r="AN15" i="3"/>
  <c r="BD15" i="3"/>
  <c r="AE15" i="3"/>
  <c r="P15" i="3"/>
  <c r="AF15" i="3"/>
  <c r="AV15" i="3"/>
  <c r="R15" i="3"/>
  <c r="AH15" i="3"/>
  <c r="BN15" i="3"/>
  <c r="O15" i="3"/>
  <c r="AL15" i="3"/>
  <c r="C15" i="3"/>
  <c r="S15" i="3"/>
  <c r="AI15" i="3"/>
  <c r="AY15" i="3"/>
  <c r="BO15" i="3"/>
  <c r="Z15" i="3"/>
  <c r="Q15" i="3"/>
  <c r="AW15" i="3"/>
  <c r="BM15" i="3"/>
  <c r="M15" i="3"/>
  <c r="AJ15" i="3"/>
  <c r="BP15" i="3"/>
  <c r="AZ15" i="3"/>
  <c r="BR15" i="3"/>
  <c r="Y15" i="3"/>
  <c r="AU15" i="3"/>
  <c r="BK15" i="3"/>
  <c r="AC15" i="3"/>
  <c r="BI15" i="3"/>
  <c r="D15" i="3"/>
  <c r="T15" i="3"/>
  <c r="F15" i="3"/>
  <c r="V15" i="3"/>
  <c r="BB15" i="3"/>
  <c r="G15" i="3"/>
  <c r="W15" i="3"/>
  <c r="AM15" i="3"/>
  <c r="BC15" i="3"/>
  <c r="BS15" i="3"/>
  <c r="N15" i="3"/>
  <c r="BJ15" i="3"/>
  <c r="E15" i="3"/>
  <c r="AK15" i="3"/>
  <c r="BA15" i="3"/>
  <c r="BT15" i="3"/>
  <c r="AO15" i="3"/>
  <c r="L15" i="3"/>
  <c r="AB15" i="3"/>
  <c r="AR15" i="3"/>
  <c r="BH15" i="3"/>
  <c r="AD15" i="3"/>
  <c r="AT15" i="3"/>
  <c r="BL15" i="3"/>
  <c r="F23" i="2" l="1"/>
  <c r="H21" i="2" l="1"/>
  <c r="AY46" i="5" s="1"/>
  <c r="H20" i="2"/>
  <c r="AY45" i="5" s="1"/>
  <c r="AY27" i="5"/>
  <c r="AY79" i="5" l="1"/>
  <c r="AY88" i="5" s="1"/>
  <c r="AY102" i="5" s="1"/>
  <c r="H23" i="2"/>
  <c r="G23" i="2"/>
</calcChain>
</file>

<file path=xl/sharedStrings.xml><?xml version="1.0" encoding="utf-8"?>
<sst xmlns="http://schemas.openxmlformats.org/spreadsheetml/2006/main" count="2392" uniqueCount="238">
  <si>
    <t>(1) a matriz de fluxos em valores monetários Z, com os setores de valor adicionado e a demanda final;</t>
  </si>
  <si>
    <t>(2) a matriz de fluxos de energia dos setores produtores de energia para todos os setores consumidores de energia E;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</si>
  <si>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</si>
  <si>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</si>
  <si>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</si>
  <si>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</si>
  <si>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</si>
  <si>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</si>
  <si>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</si>
  <si>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PRODUTO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</si>
  <si>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</si>
  <si>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</si>
  <si>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</si>
  <si>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</si>
  <si>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</si>
  <si>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</si>
  <si>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</si>
  <si>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</si>
  <si>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</si>
  <si>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</si>
  <si>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</si>
  <si>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</si>
  <si>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</si>
  <si>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</si>
  <si>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</si>
  <si>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</si>
  <si>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</si>
  <si>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</si>
  <si>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</si>
  <si>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</si>
  <si>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</si>
  <si>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</si>
  <si>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</si>
  <si>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</si>
  <si>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</si>
  <si>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</si>
  <si>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</si>
  <si>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</si>
  <si>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</si>
  <si>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</si>
  <si>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</si>
  <si>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</si>
  <si>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</si>
  <si>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</si>
  <si>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</si>
  <si>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</si>
  <si>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</si>
  <si>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</si>
  <si>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</si>
  <si>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</si>
  <si>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</si>
  <si>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</si>
  <si>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</si>
  <si>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</si>
  <si>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</si>
  <si>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</si>
  <si>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</si>
  <si>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</si>
  <si>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</si>
  <si>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</si>
  <si>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</si>
  <si>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</si>
  <si>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</si>
  <si>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</si>
  <si>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</si>
  <si>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</si>
  <si>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</si>
  <si>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</si>
  <si>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</si>
  <si>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</si>
  <si>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</si>
  <si>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</si>
  <si>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</si>
  <si>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</si>
  <si>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</si>
  <si>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</si>
  <si>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</si>
  <si>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</si>
  <si>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</si>
  <si>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</si>
  <si>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</si>
  <si>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</si>
  <si>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</si>
  <si>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Valores correntes em  1 000 000 R$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</si>
  <si>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</si>
  <si>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</si>
  <si>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</si>
  <si>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</si>
  <si>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</si>
  <si>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</si>
  <si>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</si>
  <si>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</si>
  <si>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</si>
  <si>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</si>
  <si>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</si>
  <si>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</si>
  <si>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</si>
  <si>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</si>
  <si>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</si>
  <si>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</si>
  <si>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</si>
  <si>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</si>
  <si>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</si>
  <si>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</si>
  <si>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</si>
  <si>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</si>
  <si>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</si>
  <si>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</si>
  <si>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</si>
  <si>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</si>
  <si>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</si>
  <si>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</si>
  <si>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</si>
  <si>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</si>
  <si>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</si>
  <si>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</si>
  <si>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</si>
  <si>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</si>
  <si>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</si>
  <si>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</si>
  <si>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</si>
  <si>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</si>
  <si>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</si>
  <si>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</si>
  <si>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</si>
  <si>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</si>
  <si>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</si>
  <si>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</si>
  <si>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</si>
  <si>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</si>
  <si>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</si>
  <si>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</si>
  <si>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</si>
  <si>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</si>
  <si>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</si>
  <si>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</si>
  <si>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</si>
  <si>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</si>
  <si>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</si>
  <si>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</si>
  <si>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</si>
  <si>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</si>
  <si>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</si>
  <si>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</si>
  <si>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</si>
  <si>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</si>
  <si>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</si>
  <si>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</si>
  <si>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</si>
  <si>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</si>
  <si>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</si>
  <si>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</si>
  <si>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</si>
  <si>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</si>
  <si>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</si>
  <si>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</si>
  <si>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</si>
  <si>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</si>
  <si>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</si>
  <si>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</si>
  <si>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</si>
  <si>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</si>
  <si>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</si>
  <si>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</si>
  <si>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</si>
  <si>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</si>
  <si>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</si>
  <si>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</si>
  <si>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</si>
  <si>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</si>
  <si>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</si>
  <si>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</si>
  <si>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</si>
  <si>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</si>
  <si>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</si>
  <si>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</si>
  <si>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</si>
  <si>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</si>
  <si>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</si>
  <si>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</si>
  <si>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</si>
  <si>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</si>
  <si>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</si>
  <si>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</si>
  <si>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</si>
  <si>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</si>
  <si>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</si>
  <si>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</si>
  <si>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</si>
  <si>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</si>
  <si>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</si>
  <si>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</si>
  <si>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</si>
  <si>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</si>
  <si>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</si>
  <si>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</si>
  <si>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P10</t>
  </si>
  <si>
    <t>VALOR DA PRODUÇÃO</t>
  </si>
  <si>
    <t>Fator trabalho (ocupações)</t>
  </si>
  <si>
    <t>Matriz de usos setor x setor</t>
  </si>
  <si>
    <t>(3) o vetor de energia vendido para a demanda final q; e</t>
  </si>
  <si>
    <t>(4) O emprego setorial usado na análise na seção 5.1 da nota técnica.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</si>
  <si>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</si>
  <si>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</si>
  <si>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</si>
  <si>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</si>
  <si>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</si>
  <si>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</si>
  <si>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</si>
  <si>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</si>
  <si>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</si>
  <si>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</si>
  <si>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</si>
  <si>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</si>
  <si>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Nº de ocupações</t>
  </si>
  <si>
    <t>Unidade</t>
  </si>
  <si>
    <t>Número identificador</t>
  </si>
  <si>
    <t>Proporção Demanda Final / Demanda total</t>
  </si>
  <si>
    <t>Vetor de energia para a demanda final por setor</t>
  </si>
  <si>
    <t>Total todas as fontes</t>
  </si>
  <si>
    <t>Fonte</t>
  </si>
  <si>
    <t>Cenário 1</t>
  </si>
  <si>
    <t>Novo Fluxo</t>
  </si>
  <si>
    <t>Preço</t>
  </si>
  <si>
    <t>Nova Demanda</t>
  </si>
  <si>
    <t>Cenário Base</t>
  </si>
  <si>
    <t>Cenário 2</t>
  </si>
  <si>
    <t>Demanda Atual</t>
  </si>
  <si>
    <t>Fluxo Atual</t>
  </si>
  <si>
    <t>Etanol</t>
  </si>
  <si>
    <t>Eletricidade (geração centralizada)</t>
  </si>
  <si>
    <t>Eletricidade (geração distribuída)</t>
  </si>
  <si>
    <t>Cenário 3</t>
  </si>
  <si>
    <t>id</t>
  </si>
  <si>
    <t>descricao</t>
  </si>
  <si>
    <t>Informal</t>
  </si>
  <si>
    <t>Formal</t>
  </si>
  <si>
    <t>empregados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</si>
</sst>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9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1" fontId="4" fillId="2" borderId="0" xfId="0" applyNumberFormat="1" applyFont="1" applyFill="1"/>
    <xf numFmtId="0" fontId="5" fillId="2" borderId="0" xfId="0" quotePrefix="1" applyFont="1" applyFill="1" applyAlignment="1">
      <alignment horizontal="left"/>
    </xf>
    <xf numFmtId="1" fontId="5" fillId="2" borderId="0" xfId="0" applyNumberFormat="1" applyFont="1" applyFill="1"/>
    <xf numFmtId="0" fontId="3" fillId="2" borderId="0" xfId="0" quotePrefix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1" fillId="0" borderId="0" xfId="0" applyFont="1"/>
    <xf numFmtId="0" fontId="6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/>
    <xf numFmtId="4" fontId="4" fillId="2" borderId="0" xfId="0" applyNumberFormat="1" applyFont="1" applyFill="1"/>
    <xf numFmtId="4" fontId="2" fillId="2" borderId="0" xfId="0" applyNumberFormat="1" applyFont="1" applyFill="1"/>
    <xf numFmtId="4" fontId="7" fillId="0" borderId="0" xfId="0" applyNumberFormat="1" applyFont="1"/>
    <xf numFmtId="0" fontId="4" fillId="2" borderId="0" xfId="0" applyFont="1" applyFill="1" applyAlignment="1">
      <alignment horizontal="center"/>
    </xf>
    <xf numFmtId="4" fontId="0" fillId="0" borderId="0" xfId="0" applyNumberFormat="1"/>
    <xf numFmtId="4" fontId="9" fillId="2" borderId="0" xfId="0" applyNumberFormat="1" applyFont="1" applyFill="1"/>
    <xf numFmtId="164" fontId="0" fillId="0" borderId="0" xfId="0" applyNumberFormat="1"/>
    <xf numFmtId="0" fontId="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" fontId="0" fillId="4" borderId="0" xfId="0" applyNumberFormat="1" applyFill="1"/>
    <xf numFmtId="4" fontId="4" fillId="4" borderId="0" xfId="0" applyNumberFormat="1" applyFont="1" applyFill="1"/>
    <xf numFmtId="4" fontId="9" fillId="4" borderId="0" xfId="0" applyNumberFormat="1" applyFont="1" applyFill="1"/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4" fillId="4" borderId="0" xfId="0" applyNumberFormat="1" applyFont="1" applyFill="1"/>
    <xf numFmtId="0" fontId="0" fillId="0" borderId="0" xfId="0" applyAlignment="1">
      <alignment horizontal="center" vertical="center"/>
    </xf>
    <xf numFmtId="4" fontId="5" fillId="2" borderId="0" xfId="0" applyNumberFormat="1" applyFont="1" applyFill="1"/>
    <xf numFmtId="4" fontId="5" fillId="4" borderId="0" xfId="0" applyNumberFormat="1" applyFont="1" applyFill="1"/>
    <xf numFmtId="4" fontId="3" fillId="4" borderId="0" xfId="0" applyNumberFormat="1" applyFont="1" applyFill="1"/>
    <xf numFmtId="4" fontId="7" fillId="4" borderId="0" xfId="0" applyNumberFormat="1" applyFont="1" applyFill="1"/>
    <xf numFmtId="0" fontId="0" fillId="4" borderId="0" xfId="0" applyFill="1"/>
    <xf numFmtId="4" fontId="2" fillId="4" borderId="0" xfId="0" applyNumberFormat="1" applyFont="1" applyFill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/>
    <xf numFmtId="2" fontId="4" fillId="0" borderId="0" xfId="0" applyNumberFormat="1" applyFont="1"/>
    <xf numFmtId="4" fontId="9" fillId="0" borderId="0" xfId="0" applyNumberFormat="1" applyFont="1"/>
    <xf numFmtId="9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9" fontId="0" fillId="3" borderId="0" xfId="1" applyFont="1" applyFill="1" applyAlignment="1">
      <alignment horizontal="center"/>
    </xf>
    <xf numFmtId="0" fontId="7" fillId="4" borderId="0" xfId="0" applyFont="1" applyFill="1"/>
    <xf numFmtId="0" fontId="4" fillId="4" borderId="0" xfId="0" applyFont="1" applyFill="1"/>
    <xf numFmtId="0" fontId="9" fillId="2" borderId="0" xfId="0" applyFont="1" applyFill="1" applyAlignment="1">
      <alignment horizontal="center"/>
    </xf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left"/>
    </xf>
    <xf numFmtId="0" fontId="5" fillId="5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4" fontId="4" fillId="6" borderId="0" xfId="0" applyNumberFormat="1" applyFont="1" applyFill="1"/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3" fontId="0" fillId="2" borderId="0" xfId="0" applyNumberFormat="1" applyFill="1" applyAlignment="1">
      <alignment horizontal="right"/>
    </xf>
    <xf numFmtId="165" fontId="0" fillId="3" borderId="0" xfId="1" applyNumberFormat="1" applyFont="1" applyFill="1" applyAlignment="1">
      <alignment horizontal="right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F3-2AFE-44A9-A8E9-A89B65764BFA}">
  <sheetPr codeName="Planilha1"/>
  <dimension ref="A1:CU107"/>
  <sheetViews>
    <sheetView showGridLines="0" tabSelected="1" zoomScaleNormal="100" workbookViewId="0">
      <pane xSplit="2" ySplit="4" topLeftCell="C93" activePane="bottomRight" state="frozen"/>
      <selection pane="topRight" activeCell="C1" sqref="C1"/>
      <selection pane="bottomLeft" activeCell="A7" sqref="A7"/>
      <selection pane="bottomRight" activeCell="D105" sqref="D105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5" t="s">
        <v>83</v>
      </c>
      <c r="B3" s="85"/>
      <c r="C3" s="8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3" t="s">
        <v>199</v>
      </c>
      <c r="B4" s="83"/>
      <c r="C4" s="8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7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6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D105" s="29">
        <f>D102-D88</f>
        <v>209511.00000000003</v>
      </c>
      <c r="AY105" s="29">
        <f>AY101-AY102</f>
        <v>-233598.00000000012</v>
      </c>
    </row>
    <row r="107" spans="1:99" x14ac:dyDescent="0.3">
      <c r="AY107" s="29"/>
    </row>
  </sheetData>
  <mergeCells count="2">
    <mergeCell ref="A4:C4"/>
    <mergeCell ref="A3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B5F2-06BF-47CF-9EA2-7AD336F1A266}">
  <sheetPr codeName="Planilha2"/>
  <dimension ref="A1:CU108"/>
  <sheetViews>
    <sheetView showGridLines="0" zoomScaleNormal="100" workbookViewId="0">
      <pane xSplit="2" ySplit="4" topLeftCell="AM33" activePane="bottomRight" state="frozen"/>
      <selection pane="topRight" activeCell="C1" sqref="C1"/>
      <selection pane="bottomLeft" activeCell="A7" sqref="A7"/>
      <selection pane="bottomRight" activeCell="AY46" sqref="AY46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5" t="s">
        <v>83</v>
      </c>
      <c r="B3" s="85"/>
      <c r="C3" s="8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3" t="s">
        <v>199</v>
      </c>
      <c r="B4" s="83"/>
      <c r="C4" s="8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Energia'!H17</f>
        <v>0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Energia'!H18</f>
        <v>58653.978747055175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Energia'!H19</f>
        <v>1658.8078248724096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Energia'!H20</f>
        <v>150.79495476059321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Energia'!H21</f>
        <v>5.8039526383315101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Energia'!H22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183764.85390792906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214268.34615031019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379483.34615031019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2F2-9DA7-4638-BBAA-854A53BF3B86}">
  <sheetPr codeName="Planilha3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5" t="s">
        <v>83</v>
      </c>
      <c r="B3" s="85"/>
      <c r="C3" s="8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3" t="s">
        <v>199</v>
      </c>
      <c r="B4" s="83"/>
      <c r="C4" s="8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Energia'!L17</f>
        <v>50403.610987641572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Energia'!L18</f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Energia'!L19</f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Energia'!L20</f>
        <v>2940.8251678084812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Energia'!L21</f>
        <v>154.76508775904941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Energia'!L22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182677.18580027597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213180.67804265709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378395.67804265709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AB4B-F807-4758-BBDC-4D7A32232F99}">
  <sheetPr codeName="Planilha4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5" t="s">
        <v>83</v>
      </c>
      <c r="B3" s="85"/>
      <c r="C3" s="8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3" t="s">
        <v>199</v>
      </c>
      <c r="B4" s="83"/>
      <c r="C4" s="8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Energia'!P17</f>
        <v>28934.334665695511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Energia'!P18</f>
        <v>25681.952440940215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Energia'!P19</f>
        <v>1678.6076048595883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Energia'!P20</f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Energia'!P21</f>
        <v>0.99072064053320164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Energia'!P22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179617.73130914077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210121.22355152189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375336.22355152189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3ED-073C-4589-86B9-B4F1A317ED96}">
  <sheetPr codeName="Planilha5"/>
  <dimension ref="A1:FE30"/>
  <sheetViews>
    <sheetView showGridLines="0" topLeftCell="A9" zoomScaleNormal="100" workbookViewId="0">
      <pane xSplit="2" topLeftCell="C1" activePane="topRight" state="frozen"/>
      <selection pane="topRight" activeCell="G17" sqref="G17"/>
    </sheetView>
  </sheetViews>
  <sheetFormatPr defaultColWidth="12.77734375" defaultRowHeight="14.4" x14ac:dyDescent="0.3"/>
  <cols>
    <col min="1" max="1" width="13.77734375" customWidth="1"/>
    <col min="2" max="2" width="32.77734375" customWidth="1"/>
  </cols>
  <sheetData>
    <row r="1" spans="1:161" x14ac:dyDescent="0.3">
      <c r="A1" t="s">
        <v>1</v>
      </c>
    </row>
    <row r="4" spans="1:161" s="5" customFormat="1" x14ac:dyDescent="0.3">
      <c r="A4" s="3" t="s">
        <v>9</v>
      </c>
      <c r="B4" s="4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  <c r="H4" s="28" t="s">
        <v>15</v>
      </c>
      <c r="I4" s="28" t="s">
        <v>16</v>
      </c>
      <c r="J4" s="28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8" t="s">
        <v>22</v>
      </c>
      <c r="P4" s="28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8" t="s">
        <v>28</v>
      </c>
      <c r="V4" s="28" t="s">
        <v>29</v>
      </c>
      <c r="W4" s="28" t="s">
        <v>30</v>
      </c>
      <c r="X4" s="28" t="s">
        <v>31</v>
      </c>
      <c r="Y4" s="28" t="s">
        <v>32</v>
      </c>
      <c r="Z4" s="28" t="s">
        <v>33</v>
      </c>
      <c r="AA4" s="28" t="s">
        <v>34</v>
      </c>
      <c r="AB4" s="28" t="s">
        <v>35</v>
      </c>
      <c r="AC4" s="28" t="s">
        <v>36</v>
      </c>
      <c r="AD4" s="28" t="s">
        <v>37</v>
      </c>
      <c r="AE4" s="28" t="s">
        <v>38</v>
      </c>
      <c r="AF4" s="28" t="s">
        <v>39</v>
      </c>
      <c r="AG4" s="28" t="s">
        <v>40</v>
      </c>
      <c r="AH4" s="28" t="s">
        <v>41</v>
      </c>
      <c r="AI4" s="28" t="s">
        <v>42</v>
      </c>
      <c r="AJ4" s="28" t="s">
        <v>43</v>
      </c>
      <c r="AK4" s="28" t="s">
        <v>44</v>
      </c>
      <c r="AL4" s="28" t="s">
        <v>45</v>
      </c>
      <c r="AM4" s="28" t="s">
        <v>46</v>
      </c>
      <c r="AN4" s="28" t="s">
        <v>47</v>
      </c>
      <c r="AO4" s="28" t="s">
        <v>48</v>
      </c>
      <c r="AP4" s="28" t="s">
        <v>49</v>
      </c>
      <c r="AQ4" s="28" t="s">
        <v>50</v>
      </c>
      <c r="AR4" s="28" t="s">
        <v>51</v>
      </c>
      <c r="AS4" s="28" t="s">
        <v>52</v>
      </c>
      <c r="AT4" s="28" t="s">
        <v>53</v>
      </c>
      <c r="AU4" s="28" t="s">
        <v>54</v>
      </c>
      <c r="AV4" s="28" t="s">
        <v>55</v>
      </c>
      <c r="AW4" s="28" t="s">
        <v>56</v>
      </c>
      <c r="AX4" s="34" t="s">
        <v>57</v>
      </c>
      <c r="AY4" s="28" t="s">
        <v>58</v>
      </c>
      <c r="AZ4" s="28" t="s">
        <v>59</v>
      </c>
      <c r="BA4" s="28" t="s">
        <v>60</v>
      </c>
      <c r="BB4" s="28" t="s">
        <v>61</v>
      </c>
      <c r="BC4" s="28" t="s">
        <v>62</v>
      </c>
      <c r="BD4" s="28" t="s">
        <v>63</v>
      </c>
      <c r="BE4" s="28" t="s">
        <v>64</v>
      </c>
      <c r="BF4" s="28" t="s">
        <v>65</v>
      </c>
      <c r="BG4" s="28" t="s">
        <v>66</v>
      </c>
      <c r="BH4" s="28" t="s">
        <v>67</v>
      </c>
      <c r="BI4" s="28" t="s">
        <v>68</v>
      </c>
      <c r="BJ4" s="28" t="s">
        <v>69</v>
      </c>
      <c r="BK4" s="28" t="s">
        <v>70</v>
      </c>
      <c r="BL4" s="28" t="s">
        <v>71</v>
      </c>
      <c r="BM4" s="28" t="s">
        <v>72</v>
      </c>
      <c r="BN4" s="28" t="s">
        <v>73</v>
      </c>
      <c r="BO4" s="28" t="s">
        <v>74</v>
      </c>
      <c r="BP4" s="28" t="s">
        <v>75</v>
      </c>
      <c r="BQ4" s="28" t="s">
        <v>76</v>
      </c>
      <c r="BR4" s="28" t="s">
        <v>77</v>
      </c>
      <c r="BS4" s="28" t="s">
        <v>78</v>
      </c>
      <c r="BT4" s="28" t="s">
        <v>79</v>
      </c>
      <c r="BU4" s="28" t="s">
        <v>80</v>
      </c>
      <c r="BV4" s="28" t="s">
        <v>81</v>
      </c>
      <c r="BW4" s="28" t="s">
        <v>82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</row>
    <row r="5" spans="1:161" s="5" customFormat="1" ht="36.75" customHeight="1" x14ac:dyDescent="0.3">
      <c r="A5" s="9"/>
      <c r="B5" s="4"/>
      <c r="C5" s="10" t="s">
        <v>84</v>
      </c>
      <c r="D5" s="10" t="s">
        <v>85</v>
      </c>
      <c r="E5" s="10" t="s">
        <v>86</v>
      </c>
      <c r="F5" s="10" t="s">
        <v>87</v>
      </c>
      <c r="G5" s="21" t="s">
        <v>88</v>
      </c>
      <c r="H5" s="10" t="s">
        <v>89</v>
      </c>
      <c r="I5" s="10" t="s">
        <v>90</v>
      </c>
      <c r="J5" s="10" t="s">
        <v>91</v>
      </c>
      <c r="K5" s="10" t="s">
        <v>92</v>
      </c>
      <c r="L5" s="10" t="s">
        <v>93</v>
      </c>
      <c r="M5" s="10" t="s">
        <v>94</v>
      </c>
      <c r="N5" s="10" t="s">
        <v>95</v>
      </c>
      <c r="O5" s="10" t="s">
        <v>96</v>
      </c>
      <c r="P5" s="10" t="s">
        <v>97</v>
      </c>
      <c r="Q5" s="10" t="s">
        <v>98</v>
      </c>
      <c r="R5" s="10" t="s">
        <v>99</v>
      </c>
      <c r="S5" s="10" t="s">
        <v>100</v>
      </c>
      <c r="T5" s="10" t="s">
        <v>101</v>
      </c>
      <c r="U5" s="21" t="s">
        <v>102</v>
      </c>
      <c r="V5" s="21" t="s">
        <v>103</v>
      </c>
      <c r="W5" s="10" t="s">
        <v>104</v>
      </c>
      <c r="X5" s="21" t="s">
        <v>105</v>
      </c>
      <c r="Y5" s="10" t="s">
        <v>106</v>
      </c>
      <c r="Z5" s="10" t="s">
        <v>107</v>
      </c>
      <c r="AA5" s="10" t="s">
        <v>108</v>
      </c>
      <c r="AB5" s="10" t="s">
        <v>109</v>
      </c>
      <c r="AC5" s="10" t="s">
        <v>110</v>
      </c>
      <c r="AD5" s="10" t="s">
        <v>111</v>
      </c>
      <c r="AE5" s="10" t="s">
        <v>112</v>
      </c>
      <c r="AF5" s="10" t="s">
        <v>113</v>
      </c>
      <c r="AG5" s="10" t="s">
        <v>114</v>
      </c>
      <c r="AH5" s="10" t="s">
        <v>115</v>
      </c>
      <c r="AI5" s="10" t="s">
        <v>116</v>
      </c>
      <c r="AJ5" s="10" t="s">
        <v>117</v>
      </c>
      <c r="AK5" s="10" t="s">
        <v>118</v>
      </c>
      <c r="AL5" s="10" t="s">
        <v>119</v>
      </c>
      <c r="AM5" s="10" t="s">
        <v>120</v>
      </c>
      <c r="AN5" s="10" t="s">
        <v>121</v>
      </c>
      <c r="AO5" s="10" t="s">
        <v>122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10" t="s">
        <v>127</v>
      </c>
      <c r="AU5" s="10" t="s">
        <v>128</v>
      </c>
      <c r="AV5" s="10" t="s">
        <v>129</v>
      </c>
      <c r="AW5" s="10" t="s">
        <v>130</v>
      </c>
      <c r="AX5" s="32" t="s">
        <v>131</v>
      </c>
      <c r="AY5" s="10" t="s">
        <v>132</v>
      </c>
      <c r="AZ5" s="10" t="s">
        <v>133</v>
      </c>
      <c r="BA5" s="10" t="s">
        <v>134</v>
      </c>
      <c r="BB5" s="10" t="s">
        <v>135</v>
      </c>
      <c r="BC5" s="10" t="s">
        <v>136</v>
      </c>
      <c r="BD5" s="10" t="s">
        <v>137</v>
      </c>
      <c r="BE5" s="10" t="s">
        <v>138</v>
      </c>
      <c r="BF5" s="10" t="s">
        <v>139</v>
      </c>
      <c r="BG5" s="10" t="s">
        <v>140</v>
      </c>
      <c r="BH5" s="10" t="s">
        <v>141</v>
      </c>
      <c r="BI5" s="10" t="s">
        <v>142</v>
      </c>
      <c r="BJ5" s="10" t="s">
        <v>143</v>
      </c>
      <c r="BK5" s="10" t="s">
        <v>144</v>
      </c>
      <c r="BL5" s="10" t="s">
        <v>145</v>
      </c>
      <c r="BM5" s="10" t="s">
        <v>146</v>
      </c>
      <c r="BN5" s="10" t="s">
        <v>147</v>
      </c>
      <c r="BO5" s="10" t="s">
        <v>148</v>
      </c>
      <c r="BP5" s="10" t="s">
        <v>149</v>
      </c>
      <c r="BQ5" s="10" t="s">
        <v>150</v>
      </c>
      <c r="BR5" s="10" t="s">
        <v>151</v>
      </c>
      <c r="BS5" s="10" t="s">
        <v>152</v>
      </c>
      <c r="BT5" s="10" t="s">
        <v>153</v>
      </c>
      <c r="BU5" s="10" t="s">
        <v>154</v>
      </c>
      <c r="BV5" s="10" t="s">
        <v>155</v>
      </c>
      <c r="BW5" s="10" t="s">
        <v>156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</row>
    <row r="6" spans="1:161" s="5" customFormat="1" x14ac:dyDescent="0.3">
      <c r="A6" s="5" t="s">
        <v>215</v>
      </c>
      <c r="C6" s="25">
        <v>1</v>
      </c>
      <c r="D6" s="25">
        <v>2</v>
      </c>
      <c r="E6" s="25">
        <v>3</v>
      </c>
      <c r="F6" s="25">
        <v>4</v>
      </c>
      <c r="G6" s="25">
        <v>5</v>
      </c>
      <c r="H6" s="25">
        <v>6</v>
      </c>
      <c r="I6" s="25">
        <v>7</v>
      </c>
      <c r="J6" s="25">
        <v>8</v>
      </c>
      <c r="K6" s="25">
        <v>9</v>
      </c>
      <c r="L6" s="25">
        <v>10</v>
      </c>
      <c r="M6" s="25">
        <v>11</v>
      </c>
      <c r="N6" s="25">
        <v>12</v>
      </c>
      <c r="O6" s="25">
        <v>13</v>
      </c>
      <c r="P6" s="25">
        <v>14</v>
      </c>
      <c r="Q6" s="25">
        <v>15</v>
      </c>
      <c r="R6" s="25">
        <v>16</v>
      </c>
      <c r="S6" s="25">
        <v>17</v>
      </c>
      <c r="T6" s="25">
        <v>18</v>
      </c>
      <c r="U6" s="25">
        <v>19</v>
      </c>
      <c r="V6" s="25">
        <v>20</v>
      </c>
      <c r="W6" s="25">
        <v>21</v>
      </c>
      <c r="X6" s="25">
        <v>22</v>
      </c>
      <c r="Y6" s="25">
        <v>23</v>
      </c>
      <c r="Z6" s="25">
        <v>24</v>
      </c>
      <c r="AA6" s="25">
        <v>25</v>
      </c>
      <c r="AB6" s="25">
        <v>26</v>
      </c>
      <c r="AC6" s="25">
        <v>27</v>
      </c>
      <c r="AD6" s="25">
        <v>28</v>
      </c>
      <c r="AE6" s="25">
        <v>29</v>
      </c>
      <c r="AF6" s="25">
        <v>30</v>
      </c>
      <c r="AG6" s="25">
        <v>31</v>
      </c>
      <c r="AH6" s="25">
        <v>32</v>
      </c>
      <c r="AI6" s="25">
        <v>33</v>
      </c>
      <c r="AJ6" s="25">
        <v>34</v>
      </c>
      <c r="AK6" s="25">
        <v>35</v>
      </c>
      <c r="AL6" s="25">
        <v>36</v>
      </c>
      <c r="AM6" s="25">
        <v>37</v>
      </c>
      <c r="AN6" s="25">
        <v>38</v>
      </c>
      <c r="AO6" s="25">
        <v>39</v>
      </c>
      <c r="AP6" s="25">
        <v>40</v>
      </c>
      <c r="AQ6" s="25">
        <v>41</v>
      </c>
      <c r="AR6" s="25">
        <v>42</v>
      </c>
      <c r="AS6" s="25">
        <v>43</v>
      </c>
      <c r="AT6" s="25">
        <v>44</v>
      </c>
      <c r="AU6" s="25">
        <v>45</v>
      </c>
      <c r="AV6" s="25">
        <v>46</v>
      </c>
      <c r="AW6" s="25">
        <v>47</v>
      </c>
      <c r="AX6" s="40">
        <v>48</v>
      </c>
      <c r="AY6" s="25">
        <v>49</v>
      </c>
      <c r="AZ6" s="25">
        <v>50</v>
      </c>
      <c r="BA6" s="25">
        <v>51</v>
      </c>
      <c r="BB6" s="25">
        <v>52</v>
      </c>
      <c r="BC6" s="25">
        <v>53</v>
      </c>
      <c r="BD6" s="25">
        <v>54</v>
      </c>
      <c r="BE6" s="25">
        <v>55</v>
      </c>
      <c r="BF6" s="25">
        <v>56</v>
      </c>
      <c r="BG6" s="25">
        <v>57</v>
      </c>
      <c r="BH6" s="25">
        <v>58</v>
      </c>
      <c r="BI6" s="25">
        <v>59</v>
      </c>
      <c r="BJ6" s="25">
        <v>60</v>
      </c>
      <c r="BK6" s="25">
        <v>61</v>
      </c>
      <c r="BL6" s="25">
        <v>62</v>
      </c>
      <c r="BM6" s="25">
        <v>63</v>
      </c>
      <c r="BN6" s="25">
        <v>64</v>
      </c>
      <c r="BO6" s="25">
        <v>65</v>
      </c>
      <c r="BP6" s="25">
        <v>66</v>
      </c>
      <c r="BQ6" s="25">
        <v>67</v>
      </c>
      <c r="BR6" s="25">
        <v>68</v>
      </c>
      <c r="BS6" s="25">
        <v>69</v>
      </c>
      <c r="BT6" s="25">
        <v>70</v>
      </c>
      <c r="BU6" s="25">
        <v>71</v>
      </c>
      <c r="BV6" s="25">
        <v>72</v>
      </c>
      <c r="BW6" s="25">
        <v>73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</row>
    <row r="7" spans="1:161" s="1" customFormat="1" x14ac:dyDescent="0.3">
      <c r="A7" s="1" t="s">
        <v>2</v>
      </c>
      <c r="B7" s="1" t="s">
        <v>3</v>
      </c>
      <c r="C7" s="26">
        <v>4274.5448533633498</v>
      </c>
      <c r="D7" s="26">
        <v>1546.0078107636489</v>
      </c>
      <c r="E7" s="26">
        <v>235.93927351487253</v>
      </c>
      <c r="F7" s="26">
        <v>95.330890215418634</v>
      </c>
      <c r="G7" s="26">
        <v>291.55885178417702</v>
      </c>
      <c r="H7" s="26">
        <v>423.42483742115559</v>
      </c>
      <c r="I7" s="26">
        <v>884.40553107806011</v>
      </c>
      <c r="J7" s="26">
        <v>2204.578007122745</v>
      </c>
      <c r="K7" s="26">
        <v>640.99804930210303</v>
      </c>
      <c r="L7" s="26">
        <v>2686.7733298911671</v>
      </c>
      <c r="M7" s="26">
        <v>513.15562822066818</v>
      </c>
      <c r="N7" s="26">
        <v>14.049785778736156</v>
      </c>
      <c r="O7" s="26">
        <v>11.547913673950701</v>
      </c>
      <c r="P7" s="26">
        <v>4.8025246273732192</v>
      </c>
      <c r="Q7" s="26">
        <v>8.981599480035932</v>
      </c>
      <c r="R7" s="26">
        <v>12.502177469828773</v>
      </c>
      <c r="S7" s="26">
        <v>503.89305215007693</v>
      </c>
      <c r="T7" s="26">
        <v>5.7066016175261325</v>
      </c>
      <c r="U7" s="26">
        <v>7227.7510333533364</v>
      </c>
      <c r="V7" s="26">
        <v>186.02792824509402</v>
      </c>
      <c r="W7" s="26">
        <v>59.551663533382211</v>
      </c>
      <c r="X7" s="26">
        <v>24.310129663511098</v>
      </c>
      <c r="Y7" s="26">
        <v>709.12834989416194</v>
      </c>
      <c r="Z7" s="26">
        <v>62.656885329390349</v>
      </c>
      <c r="AA7" s="26">
        <v>30.658538773066709</v>
      </c>
      <c r="AB7" s="26">
        <v>12.225235353790479</v>
      </c>
      <c r="AC7" s="26">
        <v>108.97587865727418</v>
      </c>
      <c r="AD7" s="26">
        <v>3003.7170753265063</v>
      </c>
      <c r="AE7" s="26">
        <v>312.97861533234288</v>
      </c>
      <c r="AF7" s="26">
        <v>915.80055242404103</v>
      </c>
      <c r="AG7" s="26">
        <v>157.39044053472631</v>
      </c>
      <c r="AH7" s="26">
        <v>2.3581616468748678</v>
      </c>
      <c r="AI7" s="26">
        <v>6.3855009014800803</v>
      </c>
      <c r="AJ7" s="26">
        <v>5.2523836224071037</v>
      </c>
      <c r="AK7" s="26">
        <v>11.948150329673604</v>
      </c>
      <c r="AL7" s="26">
        <v>4.3925780218866741</v>
      </c>
      <c r="AM7" s="26">
        <v>1.1961568306250112</v>
      </c>
      <c r="AN7" s="26">
        <v>3.1646596941945866</v>
      </c>
      <c r="AO7" s="26">
        <v>4.0739364986242057</v>
      </c>
      <c r="AP7" s="26">
        <v>3219.9295591213172</v>
      </c>
      <c r="AQ7" s="26">
        <v>525.88156787182811</v>
      </c>
      <c r="AR7" s="26">
        <v>376.77451904999839</v>
      </c>
      <c r="AS7" s="26">
        <v>52.715279858356482</v>
      </c>
      <c r="AT7" s="26">
        <v>73.007634152888812</v>
      </c>
      <c r="AU7" s="26">
        <v>78.61363610789364</v>
      </c>
      <c r="AV7" s="26">
        <v>11.493026373532347</v>
      </c>
      <c r="AW7" s="26">
        <v>186.94402271063564</v>
      </c>
      <c r="AX7" s="51">
        <v>56168.352654942522</v>
      </c>
      <c r="AY7" s="26">
        <v>1289.0931960323132</v>
      </c>
      <c r="AZ7" s="26">
        <v>3424.4186009999999</v>
      </c>
      <c r="BA7" s="26">
        <v>24.016389540715195</v>
      </c>
      <c r="BB7" s="26">
        <v>1.0135745205133013</v>
      </c>
      <c r="BC7" s="26">
        <v>27.235050494711999</v>
      </c>
      <c r="BD7" s="26">
        <v>0.27613680746165925</v>
      </c>
      <c r="BE7" s="26">
        <v>0.70368304615171207</v>
      </c>
      <c r="BF7" s="26">
        <v>1.0706857159842138</v>
      </c>
      <c r="BG7" s="26">
        <v>2.0610468398858672</v>
      </c>
      <c r="BH7" s="26">
        <v>7.1679086037238644</v>
      </c>
      <c r="BI7" s="26">
        <v>1.2172904019021942</v>
      </c>
      <c r="BJ7" s="26">
        <v>6.8818160511417519</v>
      </c>
      <c r="BK7" s="26">
        <v>4.8857685885931046</v>
      </c>
      <c r="BL7" s="26">
        <v>1.5761238110678715</v>
      </c>
      <c r="BM7" s="26">
        <v>8.4891870465250285</v>
      </c>
      <c r="BN7" s="26">
        <v>6.7747787221585067</v>
      </c>
      <c r="BO7" s="26">
        <v>5.1195387653139539</v>
      </c>
      <c r="BP7" s="26">
        <v>160.93287468625653</v>
      </c>
      <c r="BQ7" s="26">
        <v>23.078656990990186</v>
      </c>
      <c r="BR7" s="26">
        <v>1.5459382762784617</v>
      </c>
      <c r="BS7" s="26">
        <v>5.5421943012702801</v>
      </c>
      <c r="BT7" s="26">
        <v>4.1712199410643649</v>
      </c>
      <c r="BU7" s="26">
        <v>1.7130399431404968</v>
      </c>
      <c r="BV7" s="26">
        <v>8.5155621699479536</v>
      </c>
      <c r="BW7" s="26">
        <v>0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</row>
    <row r="8" spans="1:161" s="1" customFormat="1" x14ac:dyDescent="0.3">
      <c r="A8" s="1" t="s">
        <v>2</v>
      </c>
      <c r="B8" s="1" t="s">
        <v>4</v>
      </c>
      <c r="C8" s="26">
        <v>451.24217117007066</v>
      </c>
      <c r="D8" s="26">
        <v>128.62240114939578</v>
      </c>
      <c r="E8" s="26">
        <v>24.135427680533589</v>
      </c>
      <c r="F8" s="26">
        <v>3.7752690878280295</v>
      </c>
      <c r="G8" s="26">
        <v>2.270246381523978</v>
      </c>
      <c r="H8" s="26">
        <v>26.954484530647989</v>
      </c>
      <c r="I8" s="26">
        <v>2.5843130746659169</v>
      </c>
      <c r="J8" s="26">
        <v>5.9452158825723753</v>
      </c>
      <c r="K8" s="26">
        <v>2.5947514262106934</v>
      </c>
      <c r="L8" s="26">
        <v>8.4514101152551824</v>
      </c>
      <c r="M8" s="26">
        <v>1.376743677950468</v>
      </c>
      <c r="N8" s="26">
        <v>4.7565823345363051E-2</v>
      </c>
      <c r="O8" s="26">
        <v>0</v>
      </c>
      <c r="P8" s="26">
        <v>0</v>
      </c>
      <c r="Q8" s="26">
        <v>0</v>
      </c>
      <c r="R8" s="26">
        <v>0</v>
      </c>
      <c r="S8" s="26">
        <v>18.181399656260265</v>
      </c>
      <c r="T8" s="26">
        <v>0.81860034373973789</v>
      </c>
      <c r="U8" s="26">
        <v>9.4447540638942784E-3</v>
      </c>
      <c r="V8" s="26">
        <v>2.4326435476235394E-4</v>
      </c>
      <c r="W8" s="26">
        <v>4.2555771837522831E-5</v>
      </c>
      <c r="X8" s="26">
        <v>1.5867543591807036</v>
      </c>
      <c r="Y8" s="26">
        <v>0.16817159605635856</v>
      </c>
      <c r="Z8" s="26">
        <v>5.0381367603447684E-2</v>
      </c>
      <c r="AA8" s="26">
        <v>4.2383789323780938E-2</v>
      </c>
      <c r="AB8" s="26">
        <v>2.9077945647878398E-2</v>
      </c>
      <c r="AC8" s="26">
        <v>0.11350036799733641</v>
      </c>
      <c r="AD8" s="26">
        <v>6</v>
      </c>
      <c r="AE8" s="26">
        <v>3</v>
      </c>
      <c r="AF8" s="26">
        <v>0.39409391696096097</v>
      </c>
      <c r="AG8" s="26">
        <v>0.60590608303903903</v>
      </c>
      <c r="AH8" s="26">
        <v>2.0668192328813555E-2</v>
      </c>
      <c r="AI8" s="26">
        <v>2.2655340778954123E-2</v>
      </c>
      <c r="AJ8" s="26">
        <v>2.6088518251268254E-2</v>
      </c>
      <c r="AK8" s="26">
        <v>9.2625034255251468E-2</v>
      </c>
      <c r="AL8" s="26">
        <v>2.1202482401768193E-2</v>
      </c>
      <c r="AM8" s="26">
        <v>8.7895352431212308E-3</v>
      </c>
      <c r="AN8" s="26">
        <v>2.2440867581133322E-2</v>
      </c>
      <c r="AO8" s="26">
        <v>2.2131727670747375E-2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0.44029610229774524</v>
      </c>
      <c r="AV8" s="26">
        <v>2.0686008559441551E-2</v>
      </c>
      <c r="AW8" s="26">
        <v>1.0454336335273355</v>
      </c>
      <c r="AX8" s="51">
        <v>3474</v>
      </c>
      <c r="AY8" s="26">
        <v>0</v>
      </c>
      <c r="AZ8" s="26">
        <v>0</v>
      </c>
      <c r="BA8" s="26">
        <v>0.14351726886175195</v>
      </c>
      <c r="BB8" s="26">
        <v>2.2368645690939064E-3</v>
      </c>
      <c r="BC8" s="26">
        <v>1.5629852399257089E-3</v>
      </c>
      <c r="BD8" s="26">
        <v>3.011153821976698E-4</v>
      </c>
      <c r="BE8" s="26">
        <v>1.0538108258244228E-3</v>
      </c>
      <c r="BF8" s="26">
        <v>7.2896560579863092E-4</v>
      </c>
      <c r="BG8" s="26">
        <v>1.0964186673373705E-3</v>
      </c>
      <c r="BH8" s="26">
        <v>3.8078583099878517E-3</v>
      </c>
      <c r="BI8" s="26">
        <v>7.9523122357907515E-4</v>
      </c>
      <c r="BJ8" s="26">
        <v>3.6566816656209687E-3</v>
      </c>
      <c r="BK8" s="26">
        <v>3.0225848677678155E-3</v>
      </c>
      <c r="BL8" s="26">
        <v>7.8237229402248012E-4</v>
      </c>
      <c r="BM8" s="26">
        <v>1.1384634865517189E-2</v>
      </c>
      <c r="BN8" s="26">
        <v>3.588792644694634E-3</v>
      </c>
      <c r="BO8" s="26">
        <v>3.3843934553867326E-2</v>
      </c>
      <c r="BP8" s="26">
        <v>0</v>
      </c>
      <c r="BQ8" s="26">
        <v>0</v>
      </c>
      <c r="BR8" s="26">
        <v>9.7767678306460853E-3</v>
      </c>
      <c r="BS8" s="26">
        <v>0</v>
      </c>
      <c r="BT8" s="26">
        <v>6.8468088282927731E-3</v>
      </c>
      <c r="BU8" s="26">
        <v>5.6076390175514258E-3</v>
      </c>
      <c r="BV8" s="26">
        <v>2.3371821850942723E-2</v>
      </c>
      <c r="BW8" s="26">
        <v>0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</row>
    <row r="9" spans="1:161" s="1" customFormat="1" x14ac:dyDescent="0.3">
      <c r="A9" s="1" t="s">
        <v>2</v>
      </c>
      <c r="B9" s="1" t="s">
        <v>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51">
        <v>15717.543227951701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0</v>
      </c>
      <c r="BS9" s="26">
        <v>0</v>
      </c>
      <c r="BT9" s="26">
        <v>0</v>
      </c>
      <c r="BU9" s="26">
        <v>0</v>
      </c>
      <c r="BV9" s="26">
        <v>0</v>
      </c>
      <c r="BW9" s="26">
        <v>0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</row>
    <row r="10" spans="1:161" s="1" customFormat="1" x14ac:dyDescent="0.3">
      <c r="A10" s="1" t="s">
        <v>2</v>
      </c>
      <c r="B10" s="1" t="s">
        <v>6</v>
      </c>
      <c r="C10" s="26">
        <v>1321.1045317824291</v>
      </c>
      <c r="D10" s="26">
        <v>757.96232893500917</v>
      </c>
      <c r="E10" s="26">
        <v>66.790858567985779</v>
      </c>
      <c r="F10" s="26">
        <v>311.93034239812562</v>
      </c>
      <c r="G10" s="26">
        <v>181.14916443920396</v>
      </c>
      <c r="H10" s="26">
        <v>589.9946300672317</v>
      </c>
      <c r="I10" s="26">
        <v>151.75249405757359</v>
      </c>
      <c r="J10" s="26">
        <v>490.24767036152326</v>
      </c>
      <c r="K10" s="26">
        <v>30.894755205436127</v>
      </c>
      <c r="L10" s="26">
        <v>971.94405559559527</v>
      </c>
      <c r="M10" s="26">
        <v>191.3092596262245</v>
      </c>
      <c r="N10" s="26">
        <v>15.109463600532832</v>
      </c>
      <c r="O10" s="26">
        <v>217.44797397142307</v>
      </c>
      <c r="P10" s="26">
        <v>35.271077524435647</v>
      </c>
      <c r="Q10" s="26">
        <v>44.338724606403694</v>
      </c>
      <c r="R10" s="26">
        <v>154.70014201413895</v>
      </c>
      <c r="S10" s="26">
        <v>1586.2820826766804</v>
      </c>
      <c r="T10" s="26">
        <v>113.68030228804317</v>
      </c>
      <c r="U10" s="26">
        <v>10.582697813102374</v>
      </c>
      <c r="V10" s="26">
        <v>0.22779053718712816</v>
      </c>
      <c r="W10" s="26">
        <v>1.1161291691019114E-2</v>
      </c>
      <c r="X10" s="26">
        <v>32.335277468826604</v>
      </c>
      <c r="Y10" s="26">
        <v>966.11640896590347</v>
      </c>
      <c r="Z10" s="26">
        <v>147.97155540591805</v>
      </c>
      <c r="AA10" s="26">
        <v>47.588774250977679</v>
      </c>
      <c r="AB10" s="26">
        <v>68.184015753303015</v>
      </c>
      <c r="AC10" s="26">
        <v>498.37209316088661</v>
      </c>
      <c r="AD10" s="26">
        <v>748.9092875270253</v>
      </c>
      <c r="AE10" s="26">
        <v>1982.5336899707049</v>
      </c>
      <c r="AF10" s="26">
        <v>1321.9973369417501</v>
      </c>
      <c r="AG10" s="26">
        <v>621.4935169745246</v>
      </c>
      <c r="AH10" s="26">
        <v>16.39055392605421</v>
      </c>
      <c r="AI10" s="26">
        <v>55.710447705128153</v>
      </c>
      <c r="AJ10" s="26">
        <v>60.303518316094049</v>
      </c>
      <c r="AK10" s="26">
        <v>58.027720102790354</v>
      </c>
      <c r="AL10" s="26">
        <v>125.7523566052389</v>
      </c>
      <c r="AM10" s="26">
        <v>24.520684465283846</v>
      </c>
      <c r="AN10" s="26">
        <v>37.43042677360387</v>
      </c>
      <c r="AO10" s="26">
        <v>30.345424690854781</v>
      </c>
      <c r="AP10" s="26">
        <v>2064.7884329891849</v>
      </c>
      <c r="AQ10" s="26">
        <v>82.852521008382979</v>
      </c>
      <c r="AR10" s="26">
        <v>8.7443136126586204E-2</v>
      </c>
      <c r="AS10" s="26">
        <v>118.79780133964677</v>
      </c>
      <c r="AT10" s="26">
        <v>1206.3527501714188</v>
      </c>
      <c r="AU10" s="26">
        <v>66.181254686468833</v>
      </c>
      <c r="AV10" s="26">
        <v>186.23195146376185</v>
      </c>
      <c r="AW10" s="26">
        <v>2436.8783983985431</v>
      </c>
      <c r="AX10" s="51">
        <v>163.14115901360861</v>
      </c>
      <c r="AY10" s="26">
        <v>0</v>
      </c>
      <c r="AZ10" s="26">
        <v>0</v>
      </c>
      <c r="BA10" s="26">
        <v>164.97304108365611</v>
      </c>
      <c r="BB10" s="26">
        <v>165.71005445723648</v>
      </c>
      <c r="BC10" s="26">
        <v>237.50915556240727</v>
      </c>
      <c r="BD10" s="26">
        <v>13.813985222965012</v>
      </c>
      <c r="BE10" s="26">
        <v>46.877910629229632</v>
      </c>
      <c r="BF10" s="26">
        <v>213.8603297540167</v>
      </c>
      <c r="BG10" s="26">
        <v>83.244369915348969</v>
      </c>
      <c r="BH10" s="26">
        <v>279.57972389772266</v>
      </c>
      <c r="BI10" s="26">
        <v>86.413711012615025</v>
      </c>
      <c r="BJ10" s="26">
        <v>154.22561970341312</v>
      </c>
      <c r="BK10" s="26">
        <v>37.52416748711525</v>
      </c>
      <c r="BL10" s="26">
        <v>28.25148990838413</v>
      </c>
      <c r="BM10" s="26">
        <v>22.931578120422181</v>
      </c>
      <c r="BN10" s="26">
        <v>878.19673451664301</v>
      </c>
      <c r="BO10" s="26">
        <v>12.483058385991971</v>
      </c>
      <c r="BP10" s="26">
        <v>1542.3328278176455</v>
      </c>
      <c r="BQ10" s="26">
        <v>499.41659788081455</v>
      </c>
      <c r="BR10" s="26">
        <v>274.90258933340709</v>
      </c>
      <c r="BS10" s="26">
        <v>330.45223464505125</v>
      </c>
      <c r="BT10" s="26">
        <v>214.9258479387619</v>
      </c>
      <c r="BU10" s="26">
        <v>127.98750787613261</v>
      </c>
      <c r="BV10" s="26">
        <v>348.84745480036565</v>
      </c>
      <c r="BW10" s="26">
        <v>0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</row>
    <row r="11" spans="1:161" s="1" customFormat="1" x14ac:dyDescent="0.3">
      <c r="A11" s="1" t="s">
        <v>2</v>
      </c>
      <c r="B11" s="1" t="s">
        <v>7</v>
      </c>
      <c r="C11" s="26">
        <v>289.20824392955365</v>
      </c>
      <c r="D11" s="26">
        <v>165.92687314593311</v>
      </c>
      <c r="E11" s="26">
        <v>14.615735101080038</v>
      </c>
      <c r="F11" s="26">
        <v>15.412504743279149</v>
      </c>
      <c r="G11" s="26">
        <v>8.8707102010256165</v>
      </c>
      <c r="H11" s="26">
        <v>29.14079830477138</v>
      </c>
      <c r="I11" s="26">
        <v>7.4974569363712611</v>
      </c>
      <c r="J11" s="26">
        <v>105.85486424091765</v>
      </c>
      <c r="K11" s="26">
        <v>6.4943651918093721</v>
      </c>
      <c r="L11" s="26">
        <v>211.66412096623418</v>
      </c>
      <c r="M11" s="26">
        <v>41.696332323607123</v>
      </c>
      <c r="N11" s="26">
        <v>3.2571011565881833</v>
      </c>
      <c r="O11" s="26">
        <v>47.262063776196122</v>
      </c>
      <c r="P11" s="26">
        <v>7.3012456045512355</v>
      </c>
      <c r="Q11" s="26">
        <v>9.592775247050044</v>
      </c>
      <c r="R11" s="26">
        <v>33.816410192938122</v>
      </c>
      <c r="S11" s="26">
        <v>346.29816557258613</v>
      </c>
      <c r="T11" s="26">
        <v>11.371171353510057</v>
      </c>
      <c r="U11" s="26">
        <v>0.92726335134090643</v>
      </c>
      <c r="V11" s="26">
        <v>1.9381528337874616E-2</v>
      </c>
      <c r="W11" s="26">
        <v>1.1028417205806928E-3</v>
      </c>
      <c r="X11" s="26">
        <v>3.1032650000895212</v>
      </c>
      <c r="Y11" s="26">
        <v>97.290337671827288</v>
      </c>
      <c r="Z11" s="26">
        <v>14.839943044279103</v>
      </c>
      <c r="AA11" s="26">
        <v>4.6541181313762401</v>
      </c>
      <c r="AB11" s="26">
        <v>6.6227737630468591</v>
      </c>
      <c r="AC11" s="26">
        <v>49.928844011033227</v>
      </c>
      <c r="AD11" s="26">
        <v>75.476806104415573</v>
      </c>
      <c r="AE11" s="26">
        <v>199.54224521092985</v>
      </c>
      <c r="AF11" s="26">
        <v>133.30429115681281</v>
      </c>
      <c r="AG11" s="26">
        <v>62.44260514717493</v>
      </c>
      <c r="AH11" s="26">
        <v>1.616174372233206</v>
      </c>
      <c r="AI11" s="26">
        <v>5.5919764037119872</v>
      </c>
      <c r="AJ11" s="26">
        <v>6.0277750564011878</v>
      </c>
      <c r="AK11" s="26">
        <v>5.8172256468499528</v>
      </c>
      <c r="AL11" s="26">
        <v>12.63605192016518</v>
      </c>
      <c r="AM11" s="26">
        <v>2.4605151836140147</v>
      </c>
      <c r="AN11" s="26">
        <v>3.7305401652828478</v>
      </c>
      <c r="AO11" s="26">
        <v>1.4974178424840388</v>
      </c>
      <c r="AP11" s="26">
        <v>85.82284031516275</v>
      </c>
      <c r="AQ11" s="26">
        <v>327.46211841433546</v>
      </c>
      <c r="AR11" s="26">
        <v>3.2747992319087371E-3</v>
      </c>
      <c r="AS11" s="26">
        <v>25.997842119801277</v>
      </c>
      <c r="AT11" s="26">
        <v>59.595912322475598</v>
      </c>
      <c r="AU11" s="26">
        <v>13.912019116185139</v>
      </c>
      <c r="AV11" s="26">
        <v>38.845730667120002</v>
      </c>
      <c r="AW11" s="26">
        <v>512.49218894912678</v>
      </c>
      <c r="AX11" s="51">
        <v>6.1274809863913715</v>
      </c>
      <c r="AY11" s="26">
        <v>0</v>
      </c>
      <c r="AZ11" s="26">
        <v>0</v>
      </c>
      <c r="BA11" s="26">
        <v>16.111100538318567</v>
      </c>
      <c r="BB11" s="26">
        <v>35.632115062311016</v>
      </c>
      <c r="BC11" s="26">
        <v>49.014111085206864</v>
      </c>
      <c r="BD11" s="26">
        <v>2.9301157793577595</v>
      </c>
      <c r="BE11" s="26">
        <v>10.018941511448686</v>
      </c>
      <c r="BF11" s="26">
        <v>45.651320920216165</v>
      </c>
      <c r="BG11" s="26">
        <v>17.247178324324889</v>
      </c>
      <c r="BH11" s="26">
        <v>58.458467045196571</v>
      </c>
      <c r="BI11" s="26">
        <v>17.776355903736928</v>
      </c>
      <c r="BJ11" s="26">
        <v>31.040119118068393</v>
      </c>
      <c r="BK11" s="26">
        <v>7.679015095605183</v>
      </c>
      <c r="BL11" s="26">
        <v>5.6157447806543326</v>
      </c>
      <c r="BM11" s="26">
        <v>4.4386998689629378</v>
      </c>
      <c r="BN11" s="26">
        <v>190.4112777027994</v>
      </c>
      <c r="BO11" s="26">
        <v>2.5964546674205828</v>
      </c>
      <c r="BP11" s="26">
        <v>171.37031420196061</v>
      </c>
      <c r="BQ11" s="26">
        <v>55.490733097868286</v>
      </c>
      <c r="BR11" s="26">
        <v>57.668180892144839</v>
      </c>
      <c r="BS11" s="26">
        <v>36.716914960561255</v>
      </c>
      <c r="BT11" s="26">
        <v>45.707297040822112</v>
      </c>
      <c r="BU11" s="26">
        <v>26.067356622794492</v>
      </c>
      <c r="BV11" s="26">
        <v>74.456145850732923</v>
      </c>
      <c r="BW11" s="26">
        <v>0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</row>
    <row r="12" spans="1:161" s="1" customFormat="1" x14ac:dyDescent="0.3">
      <c r="A12" s="1" t="s">
        <v>2</v>
      </c>
      <c r="B12" s="1" t="s">
        <v>8</v>
      </c>
      <c r="C12" s="26">
        <v>0</v>
      </c>
      <c r="D12" s="26">
        <v>0</v>
      </c>
      <c r="E12" s="26">
        <v>0</v>
      </c>
      <c r="F12" s="26">
        <v>126.00883841772728</v>
      </c>
      <c r="G12" s="26">
        <v>70.632650005421809</v>
      </c>
      <c r="H12" s="26">
        <v>238.03630949987277</v>
      </c>
      <c r="I12" s="26">
        <v>63.948697542644346</v>
      </c>
      <c r="J12" s="26">
        <v>234.94406920238319</v>
      </c>
      <c r="K12" s="26">
        <v>14.366586525753492</v>
      </c>
      <c r="L12" s="26">
        <v>470.26568801839585</v>
      </c>
      <c r="M12" s="26">
        <v>92.653025913982006</v>
      </c>
      <c r="N12" s="26">
        <v>7.2285740437271224</v>
      </c>
      <c r="O12" s="26">
        <v>111.3380409451234</v>
      </c>
      <c r="P12" s="26">
        <v>17.092741179606982</v>
      </c>
      <c r="Q12" s="26">
        <v>22.586118738760685</v>
      </c>
      <c r="R12" s="26">
        <v>79.720582170482231</v>
      </c>
      <c r="S12" s="26">
        <v>909.56089958698499</v>
      </c>
      <c r="T12" s="26">
        <v>59.665760808074424</v>
      </c>
      <c r="U12" s="26">
        <v>11.656476533178159</v>
      </c>
      <c r="V12" s="26">
        <v>0.23863544026932854</v>
      </c>
      <c r="W12" s="26">
        <v>1.4946038441010657E-2</v>
      </c>
      <c r="X12" s="26">
        <v>41.351049566130925</v>
      </c>
      <c r="Y12" s="26">
        <v>1332.5986519345947</v>
      </c>
      <c r="Z12" s="26">
        <v>202.80765589856424</v>
      </c>
      <c r="AA12" s="26">
        <v>62.727528445670892</v>
      </c>
      <c r="AB12" s="26">
        <v>88.959171739416448</v>
      </c>
      <c r="AC12" s="26">
        <v>681.9275905174452</v>
      </c>
      <c r="AD12" s="26">
        <v>1246.2225108759153</v>
      </c>
      <c r="AE12" s="26">
        <v>1173.2340661556389</v>
      </c>
      <c r="AF12" s="26">
        <v>283.30471742781299</v>
      </c>
      <c r="AG12" s="26">
        <v>132.52215904452797</v>
      </c>
      <c r="AH12" s="26">
        <v>0.78028559579139678</v>
      </c>
      <c r="AI12" s="26">
        <v>2.7180894939545621</v>
      </c>
      <c r="AJ12" s="26">
        <v>2.9247568554022738</v>
      </c>
      <c r="AK12" s="26">
        <v>2.8266441309476851</v>
      </c>
      <c r="AL12" s="26">
        <v>6.1439391519819422</v>
      </c>
      <c r="AM12" s="26">
        <v>1.1957080010175134</v>
      </c>
      <c r="AN12" s="26">
        <v>1.8081860067465536</v>
      </c>
      <c r="AO12" s="26">
        <v>1.4363918298873046</v>
      </c>
      <c r="AP12" s="26">
        <v>6317.3747721769814</v>
      </c>
      <c r="AQ12" s="26">
        <v>381.07985561270442</v>
      </c>
      <c r="AR12" s="26">
        <v>7.8983127063303113E-2</v>
      </c>
      <c r="AS12" s="26">
        <v>535.89249396960531</v>
      </c>
      <c r="AT12" s="26">
        <v>13.304933817101109</v>
      </c>
      <c r="AU12" s="26">
        <v>1.010873630039919</v>
      </c>
      <c r="AV12" s="26">
        <v>2.829197441146317</v>
      </c>
      <c r="AW12" s="26">
        <v>37.227819547267607</v>
      </c>
      <c r="AX12" s="51">
        <v>1946.3183203126687</v>
      </c>
      <c r="AY12" s="26">
        <v>0</v>
      </c>
      <c r="AZ12" s="26">
        <v>0</v>
      </c>
      <c r="BA12" s="26">
        <v>2.5228419224166592</v>
      </c>
      <c r="BB12" s="26">
        <v>2.570182118078415</v>
      </c>
      <c r="BC12" s="26">
        <v>3.5820981261657736</v>
      </c>
      <c r="BD12" s="26">
        <v>0.21226897977433612</v>
      </c>
      <c r="BE12" s="26">
        <v>0.72406218572273895</v>
      </c>
      <c r="BF12" s="26">
        <v>3.3005699640869195</v>
      </c>
      <c r="BG12" s="26">
        <v>1.2590218601597019</v>
      </c>
      <c r="BH12" s="26">
        <v>4.2543108344270468</v>
      </c>
      <c r="BI12" s="26">
        <v>1.3004873506550214</v>
      </c>
      <c r="BJ12" s="26">
        <v>2.2871077647762226</v>
      </c>
      <c r="BK12" s="26">
        <v>0.56393468079565656</v>
      </c>
      <c r="BL12" s="26">
        <v>0.41548433001312784</v>
      </c>
      <c r="BM12" s="26">
        <v>0.33138152061179504</v>
      </c>
      <c r="BN12" s="26">
        <v>13.698894523391392</v>
      </c>
      <c r="BO12" s="26">
        <v>0.18927541836209227</v>
      </c>
      <c r="BP12" s="26">
        <v>17.022217500438966</v>
      </c>
      <c r="BQ12" s="26">
        <v>5.5221485157354708</v>
      </c>
      <c r="BR12" s="26">
        <v>4.1924097185119287</v>
      </c>
      <c r="BS12" s="26">
        <v>3.6526506015070601</v>
      </c>
      <c r="BT12" s="26">
        <v>3.3084488492868109</v>
      </c>
      <c r="BU12" s="26">
        <v>1.9132373669599649</v>
      </c>
      <c r="BV12" s="26">
        <v>5.3832004963519138</v>
      </c>
      <c r="BW12" s="26">
        <v>0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</row>
    <row r="13" spans="1:161" x14ac:dyDescent="0.3">
      <c r="A13" s="24" t="s">
        <v>2</v>
      </c>
      <c r="B13" s="24" t="s">
        <v>219</v>
      </c>
      <c r="C13" s="27">
        <f>SUM(C6:C12)</f>
        <v>6337.0998002454035</v>
      </c>
      <c r="D13" s="27">
        <f>SUM(D6:D12)</f>
        <v>2600.5194139939872</v>
      </c>
      <c r="E13" s="27">
        <f t="shared" ref="E13:BP13" si="0">SUM(E6:E12)</f>
        <v>344.48129486447192</v>
      </c>
      <c r="F13" s="27">
        <f t="shared" si="0"/>
        <v>556.45784486237869</v>
      </c>
      <c r="G13" s="27">
        <f t="shared" si="0"/>
        <v>559.48162281135239</v>
      </c>
      <c r="H13" s="27">
        <f t="shared" si="0"/>
        <v>1313.5510598236792</v>
      </c>
      <c r="I13" s="27">
        <f t="shared" si="0"/>
        <v>1117.1884926893154</v>
      </c>
      <c r="J13" s="27">
        <f t="shared" si="0"/>
        <v>3049.5698268101419</v>
      </c>
      <c r="K13" s="27">
        <f t="shared" si="0"/>
        <v>704.34850765131273</v>
      </c>
      <c r="L13" s="27">
        <f t="shared" si="0"/>
        <v>4359.0986045866484</v>
      </c>
      <c r="M13" s="27">
        <f t="shared" si="0"/>
        <v>851.19098976243231</v>
      </c>
      <c r="N13" s="27">
        <f t="shared" si="0"/>
        <v>51.692490402929657</v>
      </c>
      <c r="O13" s="27">
        <f t="shared" si="0"/>
        <v>400.59599236669328</v>
      </c>
      <c r="P13" s="27">
        <f t="shared" si="0"/>
        <v>78.467588935967086</v>
      </c>
      <c r="Q13" s="27">
        <f t="shared" si="0"/>
        <v>100.49921807225036</v>
      </c>
      <c r="R13" s="27">
        <f t="shared" si="0"/>
        <v>296.73931184738808</v>
      </c>
      <c r="S13" s="27">
        <f t="shared" si="0"/>
        <v>3381.215599642589</v>
      </c>
      <c r="T13" s="27">
        <f t="shared" si="0"/>
        <v>209.2424364108935</v>
      </c>
      <c r="U13" s="27">
        <f t="shared" si="0"/>
        <v>7269.926915805022</v>
      </c>
      <c r="V13" s="27">
        <f t="shared" si="0"/>
        <v>206.51397901524311</v>
      </c>
      <c r="W13" s="27">
        <f t="shared" si="0"/>
        <v>80.578916261006668</v>
      </c>
      <c r="X13" s="27">
        <f t="shared" si="0"/>
        <v>124.68647605773886</v>
      </c>
      <c r="Y13" s="27">
        <f t="shared" si="0"/>
        <v>3128.301920062544</v>
      </c>
      <c r="Z13" s="27">
        <f t="shared" si="0"/>
        <v>452.32642104575518</v>
      </c>
      <c r="AA13" s="27">
        <f t="shared" si="0"/>
        <v>170.6713433904153</v>
      </c>
      <c r="AB13" s="27">
        <f t="shared" si="0"/>
        <v>202.02027455520471</v>
      </c>
      <c r="AC13" s="27">
        <f t="shared" si="0"/>
        <v>1366.3179067146366</v>
      </c>
      <c r="AD13" s="27">
        <f t="shared" si="0"/>
        <v>5108.3256798338625</v>
      </c>
      <c r="AE13" s="27">
        <f t="shared" si="0"/>
        <v>3700.2886166696162</v>
      </c>
      <c r="AF13" s="27">
        <f t="shared" si="0"/>
        <v>2684.8009918673779</v>
      </c>
      <c r="AG13" s="27">
        <f t="shared" si="0"/>
        <v>1005.4546277839928</v>
      </c>
      <c r="AH13" s="27">
        <f t="shared" si="0"/>
        <v>53.165843733282493</v>
      </c>
      <c r="AI13" s="27">
        <f t="shared" si="0"/>
        <v>103.42866984505373</v>
      </c>
      <c r="AJ13" s="27">
        <f t="shared" si="0"/>
        <v>108.53452236855588</v>
      </c>
      <c r="AK13" s="27">
        <f t="shared" si="0"/>
        <v>113.71236524451685</v>
      </c>
      <c r="AL13" s="27">
        <f t="shared" si="0"/>
        <v>184.94612818167448</v>
      </c>
      <c r="AM13" s="27">
        <f t="shared" si="0"/>
        <v>66.381854015783517</v>
      </c>
      <c r="AN13" s="27">
        <f t="shared" si="0"/>
        <v>84.156253507408977</v>
      </c>
      <c r="AO13" s="27">
        <f t="shared" si="0"/>
        <v>76.37530258952107</v>
      </c>
      <c r="AP13" s="27">
        <f t="shared" si="0"/>
        <v>11727.915604602646</v>
      </c>
      <c r="AQ13" s="27">
        <f t="shared" si="0"/>
        <v>1358.2760629072509</v>
      </c>
      <c r="AR13" s="27">
        <f t="shared" si="0"/>
        <v>418.94422011242017</v>
      </c>
      <c r="AS13" s="27">
        <f t="shared" si="0"/>
        <v>776.40341728740987</v>
      </c>
      <c r="AT13" s="27">
        <f t="shared" si="0"/>
        <v>1396.2612304638844</v>
      </c>
      <c r="AU13" s="27">
        <f t="shared" si="0"/>
        <v>205.1580796428853</v>
      </c>
      <c r="AV13" s="27">
        <f t="shared" si="0"/>
        <v>285.42059195411997</v>
      </c>
      <c r="AW13" s="27">
        <f t="shared" si="0"/>
        <v>3221.5878632391009</v>
      </c>
      <c r="AX13" s="49">
        <f t="shared" si="0"/>
        <v>77523.482843206904</v>
      </c>
      <c r="AY13" s="27">
        <f t="shared" si="0"/>
        <v>1338.0931960323132</v>
      </c>
      <c r="AZ13" s="27">
        <f t="shared" si="0"/>
        <v>3474.4186009999999</v>
      </c>
      <c r="BA13" s="27">
        <f t="shared" si="0"/>
        <v>258.76689035396828</v>
      </c>
      <c r="BB13" s="27">
        <f t="shared" si="0"/>
        <v>256.9281630227083</v>
      </c>
      <c r="BC13" s="27">
        <f t="shared" si="0"/>
        <v>370.34197825373184</v>
      </c>
      <c r="BD13" s="27">
        <f t="shared" si="0"/>
        <v>71.232807904940969</v>
      </c>
      <c r="BE13" s="27">
        <f t="shared" si="0"/>
        <v>113.3256511833786</v>
      </c>
      <c r="BF13" s="27">
        <f t="shared" si="0"/>
        <v>319.88363531990984</v>
      </c>
      <c r="BG13" s="27">
        <f t="shared" si="0"/>
        <v>160.81271335838676</v>
      </c>
      <c r="BH13" s="27">
        <f t="shared" si="0"/>
        <v>407.4642182393801</v>
      </c>
      <c r="BI13" s="27">
        <f t="shared" si="0"/>
        <v>165.70863990013277</v>
      </c>
      <c r="BJ13" s="27">
        <f t="shared" si="0"/>
        <v>254.43831931906507</v>
      </c>
      <c r="BK13" s="27">
        <f t="shared" si="0"/>
        <v>111.65590843697696</v>
      </c>
      <c r="BL13" s="27">
        <f t="shared" si="0"/>
        <v>97.859625202413497</v>
      </c>
      <c r="BM13" s="27">
        <f t="shared" si="0"/>
        <v>99.202231191387469</v>
      </c>
      <c r="BN13" s="27">
        <f t="shared" si="0"/>
        <v>1153.0852742576369</v>
      </c>
      <c r="BO13" s="27">
        <f t="shared" si="0"/>
        <v>85.422171171642461</v>
      </c>
      <c r="BP13" s="27">
        <f t="shared" si="0"/>
        <v>1957.6582342063016</v>
      </c>
      <c r="BQ13" s="27">
        <f t="shared" ref="BQ13:BW13" si="1">SUM(BQ6:BQ12)</f>
        <v>650.5081364854085</v>
      </c>
      <c r="BR13" s="27">
        <f t="shared" si="1"/>
        <v>406.31889498817299</v>
      </c>
      <c r="BS13" s="27">
        <f t="shared" si="1"/>
        <v>445.36399450838985</v>
      </c>
      <c r="BT13" s="27">
        <f t="shared" si="1"/>
        <v>338.1196605787635</v>
      </c>
      <c r="BU13" s="27">
        <f t="shared" si="1"/>
        <v>228.68674944804511</v>
      </c>
      <c r="BV13" s="27">
        <f t="shared" si="1"/>
        <v>509.22573513924937</v>
      </c>
      <c r="BW13" s="27">
        <f t="shared" si="1"/>
        <v>73</v>
      </c>
    </row>
    <row r="15" spans="1:161" x14ac:dyDescent="0.3">
      <c r="C15" s="81" t="s">
        <v>225</v>
      </c>
      <c r="D15" s="81"/>
      <c r="F15" s="82" t="s">
        <v>221</v>
      </c>
      <c r="G15" s="82"/>
      <c r="H15" s="82"/>
      <c r="J15" s="82" t="s">
        <v>226</v>
      </c>
      <c r="K15" s="82"/>
      <c r="L15" s="82"/>
      <c r="N15" s="82" t="s">
        <v>232</v>
      </c>
      <c r="O15" s="82"/>
      <c r="P15" s="82"/>
    </row>
    <row r="16" spans="1:161" ht="28.8" x14ac:dyDescent="0.3">
      <c r="C16" s="42" t="s">
        <v>227</v>
      </c>
      <c r="D16" s="42" t="s">
        <v>228</v>
      </c>
      <c r="F16" s="42" t="s">
        <v>224</v>
      </c>
      <c r="G16" s="43" t="s">
        <v>223</v>
      </c>
      <c r="H16" s="43" t="s">
        <v>222</v>
      </c>
      <c r="J16" s="42" t="s">
        <v>224</v>
      </c>
      <c r="K16" s="43" t="s">
        <v>223</v>
      </c>
      <c r="L16" s="43" t="s">
        <v>222</v>
      </c>
      <c r="N16" s="42" t="s">
        <v>224</v>
      </c>
      <c r="O16" s="43" t="s">
        <v>223</v>
      </c>
      <c r="P16" s="43" t="s">
        <v>222</v>
      </c>
    </row>
    <row r="17" spans="1:16" x14ac:dyDescent="0.3">
      <c r="A17" s="45" t="s">
        <v>28</v>
      </c>
      <c r="B17" s="1" t="s">
        <v>102</v>
      </c>
      <c r="C17" s="39">
        <f t="shared" ref="C17:C22" si="2">AX7</f>
        <v>56168.352654942522</v>
      </c>
      <c r="D17" s="40">
        <f>VLOOKUP(A17,'Fluxos Monetários'!$A$6:$BX$78,51,TRUE)</f>
        <v>72335.83666423877</v>
      </c>
      <c r="F17" s="40">
        <f>C17-C17</f>
        <v>0</v>
      </c>
      <c r="G17" s="44">
        <f>VLOOKUP($A$17,'Fluxos Monetários'!$A$6:$BX$78,51,TRUE)/$C$17</f>
        <v>1.2878397397306185</v>
      </c>
      <c r="H17" s="40">
        <f>F17*G17</f>
        <v>0</v>
      </c>
      <c r="J17" s="40">
        <f>(0.621*C17)+(0.0758*C17)</f>
        <v>39138.108129963948</v>
      </c>
      <c r="K17" s="44">
        <f>VLOOKUP($A$17,'Fluxos Monetários'!$A$6:$BX$78,51,TRUE)/$C$17</f>
        <v>1.2878397397306185</v>
      </c>
      <c r="L17" s="40">
        <f t="shared" ref="L17:L22" si="3">J17*K17</f>
        <v>50403.610987641572</v>
      </c>
      <c r="N17" s="40">
        <f>(0.4*C17)</f>
        <v>22467.341061977011</v>
      </c>
      <c r="O17" s="44">
        <f>VLOOKUP($A$17,'Fluxos Monetários'!$A$6:$BX$78,51,TRUE)/$C$17</f>
        <v>1.2878397397306185</v>
      </c>
      <c r="P17" s="40">
        <f t="shared" ref="P17" si="4">N17*O17</f>
        <v>28934.334665695511</v>
      </c>
    </row>
    <row r="18" spans="1:16" x14ac:dyDescent="0.3">
      <c r="A18" s="45" t="s">
        <v>29</v>
      </c>
      <c r="B18" s="1" t="s">
        <v>103</v>
      </c>
      <c r="C18" s="39">
        <f t="shared" si="2"/>
        <v>3474</v>
      </c>
      <c r="D18" s="40">
        <f>VLOOKUP(A18,'Fluxos Monetários'!$A$6:$BX$78,51,TRUE)</f>
        <v>5181.1799382375975</v>
      </c>
      <c r="F18" s="40">
        <f>C18+(0.621*C17)+(0.5*C22)</f>
        <v>39327.706158875641</v>
      </c>
      <c r="G18" s="44">
        <f>VLOOKUP($A$18,'Fluxos Monetários'!$A$6:$BX$78,51,TRUE)/$C$18</f>
        <v>1.4914162171092682</v>
      </c>
      <c r="H18" s="40">
        <f>F18*G18</f>
        <v>58653.978747055175</v>
      </c>
      <c r="J18" s="40">
        <f>C18</f>
        <v>3474</v>
      </c>
      <c r="K18" s="44">
        <f>VLOOKUP($A$18,'Fluxos Monetários'!$A$6:$BX$78,51,TRUE)/$C$18</f>
        <v>1.4914162171092682</v>
      </c>
      <c r="L18" s="40">
        <f>J18*K18</f>
        <v>5181.1799382375975</v>
      </c>
      <c r="N18" s="40">
        <f>C18+(0.2274*C17)+(0.5*C22)</f>
        <v>17219.842553890263</v>
      </c>
      <c r="O18" s="44">
        <f>VLOOKUP($A$18,'Fluxos Monetários'!$A$6:$BX$78,51,TRUE)/$C$18</f>
        <v>1.4914162171092682</v>
      </c>
      <c r="P18" s="40">
        <f>N18*O18</f>
        <v>25681.952440940215</v>
      </c>
    </row>
    <row r="19" spans="1:16" x14ac:dyDescent="0.3">
      <c r="A19" s="45" t="s">
        <v>31</v>
      </c>
      <c r="B19" s="1" t="s">
        <v>229</v>
      </c>
      <c r="C19" s="39">
        <f t="shared" si="2"/>
        <v>15717.543227951701</v>
      </c>
      <c r="D19" s="40">
        <f>VLOOKUP(A19,'Fluxos Monetários'!$A$6:$BX$78,51,TRUE)</f>
        <v>701.33619022676862</v>
      </c>
      <c r="F19" s="40">
        <f>C19+(0.3647*C17)+(0.5*C22)</f>
        <v>37175.300601365576</v>
      </c>
      <c r="G19" s="44">
        <f>VLOOKUP($A$19,'Fluxos Monetários'!$A$6:$BX$78,51,TRUE)/$C$19</f>
        <v>4.4621235014612792E-2</v>
      </c>
      <c r="H19" s="40">
        <f>F19*G19</f>
        <v>1658.8078248724096</v>
      </c>
      <c r="J19" s="40">
        <f>C19</f>
        <v>15717.543227951701</v>
      </c>
      <c r="K19" s="44">
        <f>VLOOKUP($A$19,'Fluxos Monetários'!$A$6:$BX$78,51,TRUE)/$C$19</f>
        <v>4.4621235014612792E-2</v>
      </c>
      <c r="L19" s="40">
        <f>J19*K19</f>
        <v>701.33619022676862</v>
      </c>
      <c r="N19" s="40">
        <f>C19+(0.3726*C17)+(0.5*C22)</f>
        <v>37619.030587339621</v>
      </c>
      <c r="O19" s="44">
        <f>VLOOKUP($A$19,'Fluxos Monetários'!$A$6:$BX$78,51,TRUE)/$C$19</f>
        <v>4.4621235014612792E-2</v>
      </c>
      <c r="P19" s="40">
        <f>N19*O19</f>
        <v>1678.6076048595883</v>
      </c>
    </row>
    <row r="20" spans="1:16" x14ac:dyDescent="0.3">
      <c r="A20" s="35" t="s">
        <v>49</v>
      </c>
      <c r="B20" s="1" t="s">
        <v>230</v>
      </c>
      <c r="C20" s="39">
        <f>AX10</f>
        <v>163.14115901360861</v>
      </c>
      <c r="D20" s="40">
        <f>VLOOKUP(A20,'Fluxos Monetários'!$A$6:$BX$78,51,TRUE)</f>
        <v>26.3774484024107</v>
      </c>
      <c r="F20" s="40">
        <f>C20+(0.0137*C17)</f>
        <v>932.6475903863211</v>
      </c>
      <c r="G20" s="44">
        <f>VLOOKUP($A$20,'Fluxos Monetários'!$A$6:$BX$78,51,TRUE)/$C$20</f>
        <v>0.16168481676785434</v>
      </c>
      <c r="H20" s="40">
        <f t="shared" ref="H20:H22" si="5">F20*G20</f>
        <v>150.79495476059321</v>
      </c>
      <c r="J20" s="40">
        <f>C20+(0.288*C17)+(0.95*C22)</f>
        <v>18188.629127934088</v>
      </c>
      <c r="K20" s="44">
        <f>VLOOKUP($A$20,'Fluxos Monetários'!$A$6:$BX$78,51,TRUE)/$C$20</f>
        <v>0.16168481676785434</v>
      </c>
      <c r="L20" s="40">
        <f>J20*K20</f>
        <v>2940.8251678084812</v>
      </c>
      <c r="N20" s="40">
        <f>C20</f>
        <v>163.14115901360861</v>
      </c>
      <c r="O20" s="44">
        <f>VLOOKUP($A$20,'Fluxos Monetários'!$A$6:$BX$78,51,TRUE)/$C$20</f>
        <v>0.16168481676785434</v>
      </c>
      <c r="P20" s="40">
        <f>N20*O20</f>
        <v>26.3774484024107</v>
      </c>
    </row>
    <row r="21" spans="1:16" x14ac:dyDescent="0.3">
      <c r="A21" s="35" t="s">
        <v>50</v>
      </c>
      <c r="B21" s="1" t="s">
        <v>231</v>
      </c>
      <c r="C21" s="39">
        <f t="shared" si="2"/>
        <v>6.1274809863913715</v>
      </c>
      <c r="D21" s="40">
        <f>VLOOKUP(A21,'Fluxos Monetários'!$A$6:$BX$78,51,TRUE)</f>
        <v>0.99072064053320175</v>
      </c>
      <c r="F21" s="40">
        <f>C21+(0.00053*C17)</f>
        <v>35.896707893510907</v>
      </c>
      <c r="G21" s="44">
        <f>VLOOKUP($A$21,'Fluxos Monetários'!$A$6:$BX$78,51,TRUE)/$C$21</f>
        <v>0.16168481676785457</v>
      </c>
      <c r="H21" s="40">
        <f t="shared" si="5"/>
        <v>5.8039526383315101</v>
      </c>
      <c r="J21" s="40">
        <f>C21+(0.0152*C17)+(0.05*C22)</f>
        <v>957.20235735715107</v>
      </c>
      <c r="K21" s="44">
        <f>VLOOKUP($A$21,'Fluxos Monetários'!$A$6:$BX$78,51,TRUE)/$C$21</f>
        <v>0.16168481676785457</v>
      </c>
      <c r="L21" s="40">
        <f>J21*K21</f>
        <v>154.76508775904941</v>
      </c>
      <c r="N21" s="40">
        <f>C21</f>
        <v>6.1274809863913715</v>
      </c>
      <c r="O21" s="44">
        <f>VLOOKUP($A$21,'Fluxos Monetários'!$A$6:$BX$78,51,TRUE)/$C$21</f>
        <v>0.16168481676785457</v>
      </c>
      <c r="P21" s="40">
        <f>N21*O21</f>
        <v>0.99072064053320164</v>
      </c>
    </row>
    <row r="22" spans="1:16" x14ac:dyDescent="0.3">
      <c r="A22" s="45" t="s">
        <v>52</v>
      </c>
      <c r="B22" s="1" t="s">
        <v>126</v>
      </c>
      <c r="C22" s="39">
        <f t="shared" si="2"/>
        <v>1946.3183203126687</v>
      </c>
      <c r="D22" s="40">
        <f>VLOOKUP(A22,'Fluxos Monetários'!$A$6:$BX$78,51,TRUE)</f>
        <v>1553.3183672703592</v>
      </c>
      <c r="F22" s="40">
        <f>C22-C22</f>
        <v>0</v>
      </c>
      <c r="G22" s="44">
        <f>VLOOKUP($A$22,'Fluxos Monetários'!$A$6:$BX$78,51,TRUE)/$C$22</f>
        <v>0.79808032995385081</v>
      </c>
      <c r="H22" s="40">
        <f t="shared" si="5"/>
        <v>0</v>
      </c>
      <c r="J22" s="40">
        <f>C22-C22</f>
        <v>0</v>
      </c>
      <c r="K22" s="44">
        <f>VLOOKUP($A$22,'Fluxos Monetários'!$A$6:$BX$78,51,TRUE)/$C$22</f>
        <v>0.79808032995385081</v>
      </c>
      <c r="L22" s="40">
        <f t="shared" si="3"/>
        <v>0</v>
      </c>
      <c r="N22" s="40">
        <f>C22-C22</f>
        <v>0</v>
      </c>
      <c r="O22" s="44">
        <f>VLOOKUP($A$22,'Fluxos Monetários'!$A$6:$BX$78,51,TRUE)/$C$22</f>
        <v>0.79808032995385081</v>
      </c>
      <c r="P22" s="40">
        <f t="shared" ref="P22" si="6">N22*O22</f>
        <v>0</v>
      </c>
    </row>
    <row r="23" spans="1:16" x14ac:dyDescent="0.3">
      <c r="B23" s="24" t="s">
        <v>219</v>
      </c>
      <c r="C23" s="49">
        <f>SUM(C17:C22)</f>
        <v>77475.482843206904</v>
      </c>
      <c r="D23" s="41">
        <f>SUM(D17:D22)</f>
        <v>79799.039329016436</v>
      </c>
      <c r="F23" s="41">
        <f>SUM(F17:F22)</f>
        <v>77471.551058521043</v>
      </c>
      <c r="G23" s="41">
        <f>SUM(G17:G22)</f>
        <v>3.9453271553440592</v>
      </c>
      <c r="H23" s="41">
        <f>SUM(H17:H22)</f>
        <v>60469.385479326513</v>
      </c>
      <c r="J23" s="41">
        <f>SUM(J17:J22)</f>
        <v>77475.48284320689</v>
      </c>
      <c r="K23" s="41">
        <f>SUM(K17:K22)</f>
        <v>3.9453271553440592</v>
      </c>
      <c r="L23" s="41">
        <f>SUM(L17:L22)</f>
        <v>59381.717371673469</v>
      </c>
      <c r="N23" s="41">
        <f>SUM(N17:N22)</f>
        <v>77475.482843206904</v>
      </c>
      <c r="O23" s="41">
        <f>SUM(O17:O22)</f>
        <v>3.9453271553440592</v>
      </c>
      <c r="P23" s="41">
        <f>SUM(P17:P22)</f>
        <v>56322.262880538256</v>
      </c>
    </row>
    <row r="25" spans="1:16" x14ac:dyDescent="0.3">
      <c r="F25" s="63" t="s">
        <v>102</v>
      </c>
      <c r="G25" s="62"/>
      <c r="H25" s="80">
        <f>(F17-$C$17)/$C$17</f>
        <v>-1</v>
      </c>
      <c r="J25" s="63" t="s">
        <v>102</v>
      </c>
      <c r="K25" s="50"/>
      <c r="L25" s="80">
        <f>(J17-$C$17)/$C$17</f>
        <v>-0.30320000000000003</v>
      </c>
      <c r="N25" s="63" t="s">
        <v>102</v>
      </c>
      <c r="O25" s="50"/>
      <c r="P25" s="80">
        <f>(N17-$C$17)/$C$17</f>
        <v>-0.6</v>
      </c>
    </row>
    <row r="26" spans="1:16" x14ac:dyDescent="0.3">
      <c r="F26" s="50" t="s">
        <v>103</v>
      </c>
      <c r="G26" s="62"/>
      <c r="H26" s="80">
        <f>(F18-$C$18)/$C$18</f>
        <v>10.320583235139793</v>
      </c>
      <c r="J26" s="63" t="s">
        <v>103</v>
      </c>
      <c r="K26" s="50"/>
      <c r="L26" s="80">
        <f>(J18-$C$18)/$C$18</f>
        <v>0</v>
      </c>
      <c r="N26" s="50" t="s">
        <v>103</v>
      </c>
      <c r="O26" s="50"/>
      <c r="P26" s="80">
        <f>(N18-$C$18)/$C$18</f>
        <v>3.956776785806063</v>
      </c>
    </row>
    <row r="27" spans="1:16" x14ac:dyDescent="0.3">
      <c r="F27" s="50" t="s">
        <v>229</v>
      </c>
      <c r="G27" s="62"/>
      <c r="H27" s="80">
        <f>(F19-$C$19)/$C$19</f>
        <v>1.3652106478863639</v>
      </c>
      <c r="J27" s="63" t="s">
        <v>229</v>
      </c>
      <c r="K27" s="50"/>
      <c r="L27" s="80">
        <f>(J19-$C$19)/$C$19</f>
        <v>0</v>
      </c>
      <c r="N27" s="50" t="s">
        <v>229</v>
      </c>
      <c r="O27" s="50"/>
      <c r="P27" s="80">
        <f>(N19-$C$19)/$C$19</f>
        <v>1.3934421583418228</v>
      </c>
    </row>
    <row r="28" spans="1:16" x14ac:dyDescent="0.3">
      <c r="F28" s="50" t="s">
        <v>230</v>
      </c>
      <c r="G28" s="62"/>
      <c r="H28" s="80">
        <f>(F20-$C$20)/$C$20</f>
        <v>4.7168135621037441</v>
      </c>
      <c r="J28" s="50" t="s">
        <v>230</v>
      </c>
      <c r="K28" s="50"/>
      <c r="L28" s="80">
        <f>(J20-$C$20)/$C$20</f>
        <v>110.49013062005316</v>
      </c>
      <c r="N28" s="50" t="s">
        <v>230</v>
      </c>
      <c r="O28" s="50"/>
      <c r="P28" s="80">
        <f>(N20-$C$20)/$C$20</f>
        <v>0</v>
      </c>
    </row>
    <row r="29" spans="1:16" x14ac:dyDescent="0.3">
      <c r="F29" s="50" t="s">
        <v>231</v>
      </c>
      <c r="G29" s="62"/>
      <c r="H29" s="80">
        <f>(F21-$C$21)/$C$21</f>
        <v>4.8583140401797289</v>
      </c>
      <c r="J29" s="50" t="s">
        <v>231</v>
      </c>
      <c r="K29" s="50"/>
      <c r="L29" s="80">
        <f>(J21-$C$21)/$C$21</f>
        <v>155.21465974076759</v>
      </c>
      <c r="N29" s="50" t="s">
        <v>231</v>
      </c>
      <c r="O29" s="50"/>
      <c r="P29" s="80">
        <f>(N21-$C$21)/$C$21</f>
        <v>0</v>
      </c>
    </row>
    <row r="30" spans="1:16" x14ac:dyDescent="0.3">
      <c r="F30" s="63" t="s">
        <v>126</v>
      </c>
      <c r="G30" s="62"/>
      <c r="H30" s="80">
        <f>(F22-$C$22)/$C$22</f>
        <v>-1</v>
      </c>
      <c r="J30" s="63" t="s">
        <v>126</v>
      </c>
      <c r="K30" s="50"/>
      <c r="L30" s="80">
        <f>(J22-$C$22)/$C$22</f>
        <v>-1</v>
      </c>
      <c r="N30" s="63" t="s">
        <v>126</v>
      </c>
      <c r="O30" s="50"/>
      <c r="P30" s="80">
        <f>(N22-$C$22)/$C$22</f>
        <v>-1</v>
      </c>
    </row>
  </sheetData>
  <mergeCells count="4">
    <mergeCell ref="C15:D15"/>
    <mergeCell ref="F15:H15"/>
    <mergeCell ref="J15:L15"/>
    <mergeCell ref="N15:P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11C-FCAB-449E-84E1-459DDE03DFA8}">
  <sheetPr codeName="Planilha6"/>
  <dimension ref="A1:BW32"/>
  <sheetViews>
    <sheetView showGridLines="0" zoomScaleNormal="100" workbookViewId="0">
      <pane xSplit="2" topLeftCell="C1" activePane="topRight" state="frozen"/>
      <selection pane="topRight" activeCell="B25" sqref="A19:B25"/>
    </sheetView>
  </sheetViews>
  <sheetFormatPr defaultRowHeight="14.4" x14ac:dyDescent="0.3"/>
  <cols>
    <col min="1" max="1" width="13.77734375" customWidth="1"/>
    <col min="2" max="2" width="32.77734375" customWidth="1"/>
    <col min="3" max="5" width="9" bestFit="1" customWidth="1"/>
    <col min="6" max="6" width="9.77734375" bestFit="1" customWidth="1"/>
    <col min="7" max="11" width="9" bestFit="1" customWidth="1"/>
    <col min="12" max="12" width="9.5546875" bestFit="1" customWidth="1"/>
    <col min="13" max="49" width="9" bestFit="1" customWidth="1"/>
    <col min="50" max="50" width="9.109375" bestFit="1" customWidth="1"/>
    <col min="51" max="75" width="9" bestFit="1" customWidth="1"/>
  </cols>
  <sheetData>
    <row r="1" spans="1:75" x14ac:dyDescent="0.3">
      <c r="A1" s="19" t="s">
        <v>200</v>
      </c>
    </row>
    <row r="3" spans="1:75" ht="49.5" customHeight="1" x14ac:dyDescent="0.3">
      <c r="A3" s="83" t="s">
        <v>217</v>
      </c>
      <c r="B3" s="84"/>
      <c r="C3" s="10" t="s">
        <v>84</v>
      </c>
      <c r="D3" s="10" t="s">
        <v>85</v>
      </c>
      <c r="E3" s="10" t="s">
        <v>86</v>
      </c>
      <c r="F3" s="10" t="s">
        <v>87</v>
      </c>
      <c r="G3" s="21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93</v>
      </c>
      <c r="M3" s="10" t="s">
        <v>94</v>
      </c>
      <c r="N3" s="10" t="s">
        <v>95</v>
      </c>
      <c r="O3" s="10" t="s">
        <v>96</v>
      </c>
      <c r="P3" s="10" t="s">
        <v>97</v>
      </c>
      <c r="Q3" s="10" t="s">
        <v>98</v>
      </c>
      <c r="R3" s="10" t="s">
        <v>99</v>
      </c>
      <c r="S3" s="10" t="s">
        <v>100</v>
      </c>
      <c r="T3" s="10" t="s">
        <v>101</v>
      </c>
      <c r="U3" s="21" t="s">
        <v>102</v>
      </c>
      <c r="V3" s="21" t="s">
        <v>103</v>
      </c>
      <c r="W3" s="10" t="s">
        <v>104</v>
      </c>
      <c r="X3" s="21" t="s">
        <v>105</v>
      </c>
      <c r="Y3" s="10" t="s">
        <v>106</v>
      </c>
      <c r="Z3" s="10" t="s">
        <v>107</v>
      </c>
      <c r="AA3" s="10" t="s">
        <v>108</v>
      </c>
      <c r="AB3" s="10" t="s">
        <v>109</v>
      </c>
      <c r="AC3" s="10" t="s">
        <v>110</v>
      </c>
      <c r="AD3" s="10" t="s">
        <v>111</v>
      </c>
      <c r="AE3" s="10" t="s">
        <v>112</v>
      </c>
      <c r="AF3" s="10" t="s">
        <v>113</v>
      </c>
      <c r="AG3" s="10" t="s">
        <v>114</v>
      </c>
      <c r="AH3" s="10" t="s">
        <v>115</v>
      </c>
      <c r="AI3" s="10" t="s">
        <v>116</v>
      </c>
      <c r="AJ3" s="10" t="s">
        <v>117</v>
      </c>
      <c r="AK3" s="10" t="s">
        <v>118</v>
      </c>
      <c r="AL3" s="10" t="s">
        <v>119</v>
      </c>
      <c r="AM3" s="10" t="s">
        <v>120</v>
      </c>
      <c r="AN3" s="10" t="s">
        <v>121</v>
      </c>
      <c r="AO3" s="10" t="s">
        <v>122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10" t="s">
        <v>127</v>
      </c>
      <c r="AU3" s="10" t="s">
        <v>128</v>
      </c>
      <c r="AV3" s="10" t="s">
        <v>129</v>
      </c>
      <c r="AW3" s="10" t="s">
        <v>130</v>
      </c>
      <c r="AX3" s="32" t="s">
        <v>131</v>
      </c>
      <c r="AY3" s="10" t="s">
        <v>132</v>
      </c>
      <c r="AZ3" s="10" t="s">
        <v>133</v>
      </c>
      <c r="BA3" s="10" t="s">
        <v>134</v>
      </c>
      <c r="BB3" s="10" t="s">
        <v>135</v>
      </c>
      <c r="BC3" s="10" t="s">
        <v>136</v>
      </c>
      <c r="BD3" s="10" t="s">
        <v>137</v>
      </c>
      <c r="BE3" s="10" t="s">
        <v>138</v>
      </c>
      <c r="BF3" s="10" t="s">
        <v>139</v>
      </c>
      <c r="BG3" s="10" t="s">
        <v>140</v>
      </c>
      <c r="BH3" s="10" t="s">
        <v>141</v>
      </c>
      <c r="BI3" s="10" t="s">
        <v>142</v>
      </c>
      <c r="BJ3" s="10" t="s">
        <v>143</v>
      </c>
      <c r="BK3" s="10" t="s">
        <v>144</v>
      </c>
      <c r="BL3" s="10" t="s">
        <v>145</v>
      </c>
      <c r="BM3" s="10" t="s">
        <v>146</v>
      </c>
      <c r="BN3" s="10" t="s">
        <v>147</v>
      </c>
      <c r="BO3" s="10" t="s">
        <v>148</v>
      </c>
      <c r="BP3" s="10" t="s">
        <v>149</v>
      </c>
      <c r="BQ3" s="10" t="s">
        <v>150</v>
      </c>
      <c r="BR3" s="10" t="s">
        <v>151</v>
      </c>
      <c r="BS3" s="10" t="s">
        <v>152</v>
      </c>
      <c r="BT3" s="10" t="s">
        <v>153</v>
      </c>
      <c r="BU3" s="10" t="s">
        <v>154</v>
      </c>
      <c r="BV3" s="10" t="s">
        <v>155</v>
      </c>
      <c r="BW3" s="10" t="s">
        <v>156</v>
      </c>
    </row>
    <row r="4" spans="1:75" x14ac:dyDescent="0.3">
      <c r="A4" s="86" t="s">
        <v>83</v>
      </c>
      <c r="B4" s="87"/>
      <c r="C4" s="31">
        <v>0.54545327336270943</v>
      </c>
      <c r="D4" s="31">
        <v>0.32994051789688478</v>
      </c>
      <c r="E4" s="31">
        <v>0.57828584819900863</v>
      </c>
      <c r="F4" s="31">
        <v>7.5069664710745637E-2</v>
      </c>
      <c r="G4" s="31">
        <v>0.4095409465678409</v>
      </c>
      <c r="H4" s="31">
        <v>0.79407613064084015</v>
      </c>
      <c r="I4" s="31">
        <v>0.54315054495401383</v>
      </c>
      <c r="J4" s="31">
        <v>0.80930502854579356</v>
      </c>
      <c r="K4" s="31">
        <v>0.64569823017449424</v>
      </c>
      <c r="L4" s="31">
        <v>0.68101750893674817</v>
      </c>
      <c r="M4" s="31">
        <v>0.55664511970334107</v>
      </c>
      <c r="N4" s="31">
        <v>0.9759241869370272</v>
      </c>
      <c r="O4" s="31">
        <v>0.41178192411927711</v>
      </c>
      <c r="P4" s="31">
        <v>0.90940524909831244</v>
      </c>
      <c r="Q4" s="31">
        <v>0.89009197460673628</v>
      </c>
      <c r="R4" s="31">
        <v>0.34234790004276644</v>
      </c>
      <c r="S4" s="31">
        <v>0.44991422804084241</v>
      </c>
      <c r="T4" s="31">
        <v>4.8305545970529114E-2</v>
      </c>
      <c r="U4" s="31">
        <v>0.30783526154634805</v>
      </c>
      <c r="V4" s="31">
        <v>4.339172406108717E-2</v>
      </c>
      <c r="W4" s="31">
        <v>8.939366661353601E-2</v>
      </c>
      <c r="X4" s="31">
        <v>0.55079574665367326</v>
      </c>
      <c r="Y4" s="31">
        <v>0.13291871940182937</v>
      </c>
      <c r="Z4" s="31">
        <v>0.17310216342167517</v>
      </c>
      <c r="AA4" s="31">
        <v>0.78547046871600801</v>
      </c>
      <c r="AB4" s="31">
        <v>0.72352534245557665</v>
      </c>
      <c r="AC4" s="31">
        <v>0.21967090363706995</v>
      </c>
      <c r="AD4" s="31">
        <v>0.13318799538289716</v>
      </c>
      <c r="AE4" s="31">
        <v>0.38649292191172802</v>
      </c>
      <c r="AF4" s="31">
        <v>0.38471989691751679</v>
      </c>
      <c r="AG4" s="31">
        <v>0.24538889230875738</v>
      </c>
      <c r="AH4" s="31">
        <v>0.69695884005213271</v>
      </c>
      <c r="AI4" s="31">
        <v>0.49818704677095593</v>
      </c>
      <c r="AJ4" s="31">
        <v>0.68564487180526801</v>
      </c>
      <c r="AK4" s="31">
        <v>0.95040313206626104</v>
      </c>
      <c r="AL4" s="31">
        <v>0.18124412239915291</v>
      </c>
      <c r="AM4" s="31">
        <v>0.94833506060857231</v>
      </c>
      <c r="AN4" s="31">
        <v>0.74218918466846084</v>
      </c>
      <c r="AO4" s="31">
        <v>0.18377083518904661</v>
      </c>
      <c r="AP4" s="31">
        <v>0.36390600764189368</v>
      </c>
      <c r="AQ4" s="31">
        <v>0.22195600715986191</v>
      </c>
      <c r="AR4" s="31">
        <v>3.1733018180796204E-3</v>
      </c>
      <c r="AS4" s="31">
        <v>0.25195294107604121</v>
      </c>
      <c r="AT4" s="31">
        <v>0.4152548042021672</v>
      </c>
      <c r="AU4" s="31">
        <v>0.80238010829542916</v>
      </c>
      <c r="AV4" s="31">
        <v>0.68796737106020167</v>
      </c>
      <c r="AW4" s="31">
        <v>0.57806366322251113</v>
      </c>
      <c r="AX4" s="31">
        <v>0.3370879924202132</v>
      </c>
      <c r="AY4" s="31">
        <v>0.34507918041591962</v>
      </c>
      <c r="AZ4" s="31">
        <v>0.40548231487264241</v>
      </c>
      <c r="BA4" s="31">
        <v>0.31469117342773134</v>
      </c>
      <c r="BB4" s="31">
        <v>0.46913385925288098</v>
      </c>
      <c r="BC4" s="31">
        <v>0.85382528643524103</v>
      </c>
      <c r="BD4" s="31">
        <v>0.50545757967149108</v>
      </c>
      <c r="BE4" s="31">
        <v>5.7694611906498258E-2</v>
      </c>
      <c r="BF4" s="31">
        <v>0.6093322522386706</v>
      </c>
      <c r="BG4" s="31">
        <v>0.50198698697425193</v>
      </c>
      <c r="BH4" s="31">
        <v>0.46491885254078308</v>
      </c>
      <c r="BI4" s="31">
        <v>0.85874231325730443</v>
      </c>
      <c r="BJ4" s="31">
        <v>0.14012699040556947</v>
      </c>
      <c r="BK4" s="31">
        <v>0.4718247469753033</v>
      </c>
      <c r="BL4" s="31">
        <v>4.8643477547912158E-2</v>
      </c>
      <c r="BM4" s="31">
        <v>0.1851993100003107</v>
      </c>
      <c r="BN4" s="31">
        <v>0.22533553086642966</v>
      </c>
      <c r="BO4" s="31">
        <v>1.2097535418370078E-2</v>
      </c>
      <c r="BP4" s="31">
        <v>0.9684307379732352</v>
      </c>
      <c r="BQ4" s="31">
        <v>0.99574358796209239</v>
      </c>
      <c r="BR4" s="31">
        <v>0.88808766445658449</v>
      </c>
      <c r="BS4" s="31">
        <v>0.99793731346205428</v>
      </c>
      <c r="BT4" s="31">
        <v>0.88106811387478401</v>
      </c>
      <c r="BU4" s="31">
        <v>0.81855566289647397</v>
      </c>
      <c r="BV4" s="31">
        <v>0.83396242325138559</v>
      </c>
      <c r="BW4" s="31">
        <v>1</v>
      </c>
    </row>
    <row r="6" spans="1:75" x14ac:dyDescent="0.3">
      <c r="A6" s="88" t="s">
        <v>218</v>
      </c>
      <c r="B6" s="88"/>
      <c r="C6" s="28" t="s">
        <v>10</v>
      </c>
      <c r="D6" s="28" t="s">
        <v>11</v>
      </c>
      <c r="E6" s="28" t="s">
        <v>12</v>
      </c>
      <c r="F6" s="28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8" t="s">
        <v>18</v>
      </c>
      <c r="L6" s="28" t="s">
        <v>19</v>
      </c>
      <c r="M6" s="28" t="s">
        <v>20</v>
      </c>
      <c r="N6" s="28" t="s">
        <v>21</v>
      </c>
      <c r="O6" s="28" t="s">
        <v>22</v>
      </c>
      <c r="P6" s="28" t="s">
        <v>23</v>
      </c>
      <c r="Q6" s="28" t="s">
        <v>24</v>
      </c>
      <c r="R6" s="28" t="s">
        <v>25</v>
      </c>
      <c r="S6" s="28" t="s">
        <v>26</v>
      </c>
      <c r="T6" s="28" t="s">
        <v>27</v>
      </c>
      <c r="U6" s="28" t="s">
        <v>28</v>
      </c>
      <c r="V6" s="28" t="s">
        <v>29</v>
      </c>
      <c r="W6" s="28" t="s">
        <v>30</v>
      </c>
      <c r="X6" s="28" t="s">
        <v>31</v>
      </c>
      <c r="Y6" s="28" t="s">
        <v>32</v>
      </c>
      <c r="Z6" s="28" t="s">
        <v>33</v>
      </c>
      <c r="AA6" s="28" t="s">
        <v>34</v>
      </c>
      <c r="AB6" s="28" t="s">
        <v>35</v>
      </c>
      <c r="AC6" s="28" t="s">
        <v>36</v>
      </c>
      <c r="AD6" s="28" t="s">
        <v>37</v>
      </c>
      <c r="AE6" s="28" t="s">
        <v>38</v>
      </c>
      <c r="AF6" s="28" t="s">
        <v>39</v>
      </c>
      <c r="AG6" s="28" t="s">
        <v>40</v>
      </c>
      <c r="AH6" s="28" t="s">
        <v>41</v>
      </c>
      <c r="AI6" s="28" t="s">
        <v>42</v>
      </c>
      <c r="AJ6" s="28" t="s">
        <v>43</v>
      </c>
      <c r="AK6" s="28" t="s">
        <v>44</v>
      </c>
      <c r="AL6" s="28" t="s">
        <v>45</v>
      </c>
      <c r="AM6" s="28" t="s">
        <v>46</v>
      </c>
      <c r="AN6" s="28" t="s">
        <v>47</v>
      </c>
      <c r="AO6" s="28" t="s">
        <v>48</v>
      </c>
      <c r="AP6" s="28" t="s">
        <v>49</v>
      </c>
      <c r="AQ6" s="28" t="s">
        <v>50</v>
      </c>
      <c r="AR6" s="28" t="s">
        <v>51</v>
      </c>
      <c r="AS6" s="28" t="s">
        <v>52</v>
      </c>
      <c r="AT6" s="28" t="s">
        <v>53</v>
      </c>
      <c r="AU6" s="28" t="s">
        <v>54</v>
      </c>
      <c r="AV6" s="28" t="s">
        <v>55</v>
      </c>
      <c r="AW6" s="28" t="s">
        <v>56</v>
      </c>
      <c r="AX6" s="34" t="s">
        <v>57</v>
      </c>
      <c r="AY6" s="28" t="s">
        <v>58</v>
      </c>
      <c r="AZ6" s="28" t="s">
        <v>59</v>
      </c>
      <c r="BA6" s="28" t="s">
        <v>60</v>
      </c>
      <c r="BB6" s="28" t="s">
        <v>61</v>
      </c>
      <c r="BC6" s="28" t="s">
        <v>62</v>
      </c>
      <c r="BD6" s="28" t="s">
        <v>63</v>
      </c>
      <c r="BE6" s="28" t="s">
        <v>64</v>
      </c>
      <c r="BF6" s="28" t="s">
        <v>65</v>
      </c>
      <c r="BG6" s="28" t="s">
        <v>66</v>
      </c>
      <c r="BH6" s="28" t="s">
        <v>67</v>
      </c>
      <c r="BI6" s="28" t="s">
        <v>68</v>
      </c>
      <c r="BJ6" s="28" t="s">
        <v>69</v>
      </c>
      <c r="BK6" s="28" t="s">
        <v>70</v>
      </c>
      <c r="BL6" s="28" t="s">
        <v>71</v>
      </c>
      <c r="BM6" s="28" t="s">
        <v>72</v>
      </c>
      <c r="BN6" s="28" t="s">
        <v>73</v>
      </c>
      <c r="BO6" s="28" t="s">
        <v>74</v>
      </c>
      <c r="BP6" s="28" t="s">
        <v>75</v>
      </c>
      <c r="BQ6" s="28" t="s">
        <v>76</v>
      </c>
      <c r="BR6" s="28" t="s">
        <v>77</v>
      </c>
      <c r="BS6" s="28" t="s">
        <v>78</v>
      </c>
      <c r="BT6" s="28" t="s">
        <v>79</v>
      </c>
      <c r="BU6" s="28" t="s">
        <v>80</v>
      </c>
      <c r="BV6" s="28" t="s">
        <v>81</v>
      </c>
      <c r="BW6" s="28" t="s">
        <v>82</v>
      </c>
    </row>
    <row r="7" spans="1:75" ht="49.5" customHeight="1" x14ac:dyDescent="0.3">
      <c r="A7" s="88"/>
      <c r="B7" s="88"/>
      <c r="C7" s="10" t="s">
        <v>84</v>
      </c>
      <c r="D7" s="10" t="s">
        <v>85</v>
      </c>
      <c r="E7" s="10" t="s">
        <v>86</v>
      </c>
      <c r="F7" s="10" t="s">
        <v>87</v>
      </c>
      <c r="G7" s="21" t="s">
        <v>88</v>
      </c>
      <c r="H7" s="10" t="s">
        <v>89</v>
      </c>
      <c r="I7" s="10" t="s">
        <v>90</v>
      </c>
      <c r="J7" s="10" t="s">
        <v>91</v>
      </c>
      <c r="K7" s="10" t="s">
        <v>92</v>
      </c>
      <c r="L7" s="10" t="s">
        <v>93</v>
      </c>
      <c r="M7" s="10" t="s">
        <v>94</v>
      </c>
      <c r="N7" s="10" t="s">
        <v>95</v>
      </c>
      <c r="O7" s="10" t="s">
        <v>96</v>
      </c>
      <c r="P7" s="10" t="s">
        <v>97</v>
      </c>
      <c r="Q7" s="10" t="s">
        <v>98</v>
      </c>
      <c r="R7" s="10" t="s">
        <v>99</v>
      </c>
      <c r="S7" s="10" t="s">
        <v>100</v>
      </c>
      <c r="T7" s="10" t="s">
        <v>101</v>
      </c>
      <c r="U7" s="21" t="s">
        <v>102</v>
      </c>
      <c r="V7" s="21" t="s">
        <v>103</v>
      </c>
      <c r="W7" s="10" t="s">
        <v>104</v>
      </c>
      <c r="X7" s="21" t="s">
        <v>105</v>
      </c>
      <c r="Y7" s="10" t="s">
        <v>106</v>
      </c>
      <c r="Z7" s="10" t="s">
        <v>107</v>
      </c>
      <c r="AA7" s="10" t="s">
        <v>108</v>
      </c>
      <c r="AB7" s="10" t="s">
        <v>109</v>
      </c>
      <c r="AC7" s="10" t="s">
        <v>110</v>
      </c>
      <c r="AD7" s="10" t="s">
        <v>111</v>
      </c>
      <c r="AE7" s="10" t="s">
        <v>112</v>
      </c>
      <c r="AF7" s="10" t="s">
        <v>113</v>
      </c>
      <c r="AG7" s="10" t="s">
        <v>114</v>
      </c>
      <c r="AH7" s="10" t="s">
        <v>115</v>
      </c>
      <c r="AI7" s="10" t="s">
        <v>116</v>
      </c>
      <c r="AJ7" s="10" t="s">
        <v>117</v>
      </c>
      <c r="AK7" s="10" t="s">
        <v>118</v>
      </c>
      <c r="AL7" s="10" t="s">
        <v>119</v>
      </c>
      <c r="AM7" s="10" t="s">
        <v>120</v>
      </c>
      <c r="AN7" s="10" t="s">
        <v>121</v>
      </c>
      <c r="AO7" s="10" t="s">
        <v>122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10" t="s">
        <v>127</v>
      </c>
      <c r="AU7" s="10" t="s">
        <v>128</v>
      </c>
      <c r="AV7" s="10" t="s">
        <v>129</v>
      </c>
      <c r="AW7" s="10" t="s">
        <v>130</v>
      </c>
      <c r="AX7" s="32" t="s">
        <v>131</v>
      </c>
      <c r="AY7" s="10" t="s">
        <v>132</v>
      </c>
      <c r="AZ7" s="10" t="s">
        <v>133</v>
      </c>
      <c r="BA7" s="10" t="s">
        <v>134</v>
      </c>
      <c r="BB7" s="10" t="s">
        <v>135</v>
      </c>
      <c r="BC7" s="10" t="s">
        <v>136</v>
      </c>
      <c r="BD7" s="10" t="s">
        <v>137</v>
      </c>
      <c r="BE7" s="10" t="s">
        <v>138</v>
      </c>
      <c r="BF7" s="10" t="s">
        <v>139</v>
      </c>
      <c r="BG7" s="10" t="s">
        <v>140</v>
      </c>
      <c r="BH7" s="10" t="s">
        <v>141</v>
      </c>
      <c r="BI7" s="10" t="s">
        <v>142</v>
      </c>
      <c r="BJ7" s="10" t="s">
        <v>143</v>
      </c>
      <c r="BK7" s="10" t="s">
        <v>144</v>
      </c>
      <c r="BL7" s="10" t="s">
        <v>145</v>
      </c>
      <c r="BM7" s="10" t="s">
        <v>146</v>
      </c>
      <c r="BN7" s="10" t="s">
        <v>147</v>
      </c>
      <c r="BO7" s="10" t="s">
        <v>148</v>
      </c>
      <c r="BP7" s="10" t="s">
        <v>149</v>
      </c>
      <c r="BQ7" s="10" t="s">
        <v>150</v>
      </c>
      <c r="BR7" s="10" t="s">
        <v>151</v>
      </c>
      <c r="BS7" s="10" t="s">
        <v>152</v>
      </c>
      <c r="BT7" s="10" t="s">
        <v>153</v>
      </c>
      <c r="BU7" s="10" t="s">
        <v>154</v>
      </c>
      <c r="BV7" s="10" t="s">
        <v>155</v>
      </c>
      <c r="BW7" s="10" t="s">
        <v>156</v>
      </c>
    </row>
    <row r="8" spans="1:75" x14ac:dyDescent="0.3">
      <c r="A8" s="5" t="s">
        <v>215</v>
      </c>
      <c r="B8" s="5" t="s">
        <v>220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3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</row>
    <row r="9" spans="1:75" x14ac:dyDescent="0.3">
      <c r="A9" s="1" t="s">
        <v>2</v>
      </c>
      <c r="B9" s="1" t="s">
        <v>3</v>
      </c>
      <c r="C9" s="25">
        <f>'Fluxos Energia'!C7*'Energia Demanda Final'!C$4</f>
        <v>2331.5644824027618</v>
      </c>
      <c r="D9" s="25">
        <f>'Fluxos Energia'!D7*'Energia Demanda Final'!D$4</f>
        <v>510.09061775598735</v>
      </c>
      <c r="E9" s="25">
        <f>'Fluxos Energia'!E7*'Energia Demanda Final'!E$4</f>
        <v>136.44034290800596</v>
      </c>
      <c r="F9" s="25">
        <f>'Fluxos Energia'!F7*'Energia Demanda Final'!F$4</f>
        <v>7.1564579650483786</v>
      </c>
      <c r="G9" s="25">
        <f>'Fluxos Energia'!G7*'Energia Demanda Final'!G$4</f>
        <v>119.40528813992469</v>
      </c>
      <c r="H9" s="25">
        <f>'Fluxos Energia'!H7*'Energia Demanda Final'!H$4</f>
        <v>336.23155651661807</v>
      </c>
      <c r="I9" s="25">
        <f>'Fluxos Energia'!I7*'Energia Demanda Final'!I$4</f>
        <v>480.36534616539234</v>
      </c>
      <c r="J9" s="25">
        <f>'Fluxos Energia'!J7*'Energia Demanda Final'!J$4</f>
        <v>1784.1760669859018</v>
      </c>
      <c r="K9" s="25">
        <f>'Fluxos Energia'!K7*'Energia Demanda Final'!K$4</f>
        <v>413.89130597967113</v>
      </c>
      <c r="L9" s="25">
        <f>'Fluxos Energia'!L7*'Energia Demanda Final'!L$4</f>
        <v>1829.7396802001745</v>
      </c>
      <c r="M9" s="25">
        <f>'Fluxos Energia'!M7*'Energia Demanda Final'!M$4</f>
        <v>285.64557609733703</v>
      </c>
      <c r="N9" s="25">
        <f>'Fluxos Energia'!N7*'Energia Demanda Final'!N$4</f>
        <v>13.71152576275249</v>
      </c>
      <c r="O9" s="25">
        <f>'Fluxos Energia'!O7*'Energia Demanda Final'!O$4</f>
        <v>4.7552221122227305</v>
      </c>
      <c r="P9" s="25">
        <f>'Fluxos Energia'!P7*'Energia Demanda Final'!P$4</f>
        <v>4.3674411050571225</v>
      </c>
      <c r="Q9" s="25">
        <f>'Fluxos Energia'!Q7*'Energia Demanda Final'!Q$4</f>
        <v>7.9944496163120187</v>
      </c>
      <c r="R9" s="25">
        <f>'Fluxos Energia'!R7*'Energia Demanda Final'!R$4</f>
        <v>4.2800942027578674</v>
      </c>
      <c r="S9" s="25">
        <f>'Fluxos Energia'!S7*'Energia Demanda Final'!S$4</f>
        <v>226.70865357324581</v>
      </c>
      <c r="T9" s="25">
        <f>'Fluxos Energia'!T7*'Energia Demanda Final'!T$4</f>
        <v>0.27566050677090437</v>
      </c>
      <c r="U9" s="25">
        <f>'Fluxos Energia'!U7*'Energia Demanda Final'!U$4</f>
        <v>2224.9566297442116</v>
      </c>
      <c r="V9" s="25">
        <f>'Fluxos Energia'!V7*'Energia Demanda Final'!V$4</f>
        <v>8.0720725300668441</v>
      </c>
      <c r="W9" s="25">
        <f>'Fluxos Energia'!W7*'Energia Demanda Final'!W$4</f>
        <v>5.3235415561846393</v>
      </c>
      <c r="X9" s="25">
        <f>'Fluxos Energia'!X7*'Energia Demanda Final'!X$4</f>
        <v>13.389916019261205</v>
      </c>
      <c r="Y9" s="25">
        <f>'Fluxos Energia'!Y7*'Energia Demanda Final'!Y$4</f>
        <v>94.256432159464381</v>
      </c>
      <c r="Z9" s="25">
        <f>'Fluxos Energia'!Z7*'Energia Demanda Final'!Z$4</f>
        <v>10.84604240378129</v>
      </c>
      <c r="AA9" s="25">
        <f>'Fluxos Energia'!AA7*'Energia Demanda Final'!AA$4</f>
        <v>24.081376820228613</v>
      </c>
      <c r="AB9" s="25">
        <f>'Fluxos Energia'!AB7*'Energia Demanda Final'!AB$4</f>
        <v>8.8452675959512792</v>
      </c>
      <c r="AC9" s="25">
        <f>'Fluxos Energia'!AC7*'Energia Demanda Final'!AC$4</f>
        <v>23.938829739287105</v>
      </c>
      <c r="AD9" s="25">
        <f>'Fluxos Energia'!AD7*'Energia Demanda Final'!AD$4</f>
        <v>400.0590559601161</v>
      </c>
      <c r="AE9" s="25">
        <f>'Fluxos Energia'!AE7*'Energia Demanda Final'!AE$4</f>
        <v>120.96401953568396</v>
      </c>
      <c r="AF9" s="25">
        <f>'Fluxos Energia'!AF7*'Energia Demanda Final'!AF$4</f>
        <v>352.32669412558198</v>
      </c>
      <c r="AG9" s="25">
        <f>'Fluxos Energia'!AG7*'Energia Demanda Final'!AG$4</f>
        <v>38.621865862803837</v>
      </c>
      <c r="AH9" s="25">
        <f>'Fluxos Energia'!AH7*'Energia Demanda Final'!AH$4</f>
        <v>1.6435416060613348</v>
      </c>
      <c r="AI9" s="25">
        <f>'Fluxos Energia'!AI7*'Energia Demanda Final'!AI$4</f>
        <v>3.181173836261638</v>
      </c>
      <c r="AJ9" s="25">
        <f>'Fluxos Energia'!AJ7*'Energia Demanda Final'!AJ$4</f>
        <v>3.6012698954574076</v>
      </c>
      <c r="AK9" s="25">
        <f>'Fluxos Energia'!AK7*'Energia Demanda Final'!AK$4</f>
        <v>11.355559495720323</v>
      </c>
      <c r="AL9" s="25">
        <f>'Fluxos Energia'!AL7*'Energia Demanda Final'!AL$4</f>
        <v>0.7961289486466574</v>
      </c>
      <c r="AM9" s="25">
        <f>'Fluxos Energia'!AM7*'Energia Demanda Final'!AM$4</f>
        <v>1.1343574604681277</v>
      </c>
      <c r="AN9" s="25">
        <f>'Fluxos Energia'!AN7*'Energia Demanda Final'!AN$4</f>
        <v>2.3487761981874207</v>
      </c>
      <c r="AO9" s="25">
        <f>'Fluxos Energia'!AO7*'Energia Demanda Final'!AO$4</f>
        <v>0.74867071285931053</v>
      </c>
      <c r="AP9" s="25">
        <f>'Fluxos Energia'!AP7*'Energia Demanda Final'!AP$4</f>
        <v>1171.7517107479614</v>
      </c>
      <c r="AQ9" s="25">
        <f>'Fluxos Energia'!AQ7*'Energia Demanda Final'!AQ$4</f>
        <v>116.72257304379889</v>
      </c>
      <c r="AR9" s="25">
        <f>'Fluxos Energia'!AR7*'Energia Demanda Final'!AR$4</f>
        <v>1.1956192663074345</v>
      </c>
      <c r="AS9" s="25">
        <f>'Fluxos Energia'!AS7*'Energia Demanda Final'!AS$4</f>
        <v>13.281769799959513</v>
      </c>
      <c r="AT9" s="25">
        <f>'Fluxos Energia'!AT7*'Energia Demanda Final'!AT$4</f>
        <v>30.316770825421298</v>
      </c>
      <c r="AU9" s="25">
        <f>'Fluxos Energia'!AU7*'Energia Demanda Final'!AU$4</f>
        <v>63.078017853749159</v>
      </c>
      <c r="AV9" s="25">
        <f>'Fluxos Energia'!AV7*'Energia Demanda Final'!AV$4</f>
        <v>7.9068271397246122</v>
      </c>
      <c r="AW9" s="25">
        <f>'Fluxos Energia'!AW7*'Energia Demanda Final'!AW$4</f>
        <v>108.06554658566235</v>
      </c>
      <c r="AX9" s="40">
        <f>'Fluxos Energia'!AX7*'Energia Demanda Final'!AX$4</f>
        <v>18933.677234005128</v>
      </c>
      <c r="AY9" s="25">
        <f>'Fluxos Energia'!AY7*'Energia Demanda Final'!AY$4</f>
        <v>444.83922356656905</v>
      </c>
      <c r="AZ9" s="25">
        <f>'Fluxos Energia'!AZ7*'Energia Demanda Final'!AZ$4</f>
        <v>1388.5411814264155</v>
      </c>
      <c r="BA9" s="25">
        <f>'Fluxos Energia'!BA7*'Energia Demanda Final'!BA$4</f>
        <v>7.5577458060651583</v>
      </c>
      <c r="BB9" s="25">
        <f>'Fluxos Energia'!BB7*'Energia Demanda Final'!BB$4</f>
        <v>0.47550212644879342</v>
      </c>
      <c r="BC9" s="25">
        <f>'Fluxos Energia'!BC7*'Energia Demanda Final'!BC$4</f>
        <v>23.253974789725724</v>
      </c>
      <c r="BD9" s="25">
        <f>'Fluxos Energia'!BD7*'Energia Demanda Final'!BD$4</f>
        <v>0.13957544235778283</v>
      </c>
      <c r="BE9" s="25">
        <f>'Fluxos Energia'!BE7*'Energia Demanda Final'!BE$4</f>
        <v>4.0598720252905528E-2</v>
      </c>
      <c r="BF9" s="25">
        <f>'Fluxos Energia'!BF7*'Energia Demanda Final'!BF$4</f>
        <v>0.65240333876043455</v>
      </c>
      <c r="BG9" s="25">
        <f>'Fluxos Energia'!BG7*'Energia Demanda Final'!BG$4</f>
        <v>1.03461869316711</v>
      </c>
      <c r="BH9" s="25">
        <f>'Fluxos Energia'!BH7*'Energia Demanda Final'!BH$4</f>
        <v>3.3324958431605056</v>
      </c>
      <c r="BI9" s="25">
        <f>'Fluxos Energia'!BI7*'Energia Demanda Final'!BI$4</f>
        <v>1.045338775635404</v>
      </c>
      <c r="BJ9" s="25">
        <f>'Fluxos Energia'!BJ7*'Energia Demanda Final'!BJ$4</f>
        <v>0.96432817177123431</v>
      </c>
      <c r="BK9" s="25">
        <f>'Fluxos Energia'!BK7*'Energia Demanda Final'!BK$4</f>
        <v>2.3052265280928261</v>
      </c>
      <c r="BL9" s="25">
        <f>'Fluxos Energia'!BL7*'Energia Demanda Final'!BL$4</f>
        <v>7.6668143216409745E-2</v>
      </c>
      <c r="BM9" s="25">
        <f>'Fluxos Energia'!BM7*'Energia Demanda Final'!BM$4</f>
        <v>1.5721915834800109</v>
      </c>
      <c r="BN9" s="25">
        <f>'Fluxos Energia'!BN7*'Energia Demanda Final'!BN$4</f>
        <v>1.5265983598601791</v>
      </c>
      <c r="BO9" s="25">
        <f>'Fluxos Energia'!BO7*'Energia Demanda Final'!BO$4</f>
        <v>6.1933801539104175E-2</v>
      </c>
      <c r="BP9" s="25">
        <f>'Fluxos Energia'!BP7*'Energia Demanda Final'!BP$4</f>
        <v>155.85234259656559</v>
      </c>
      <c r="BQ9" s="25">
        <f>'Fluxos Energia'!BQ7*'Energia Demanda Final'!BQ$4</f>
        <v>22.980424717554996</v>
      </c>
      <c r="BR9" s="25">
        <f>'Fluxos Energia'!BR7*'Energia Demanda Final'!BR$4</f>
        <v>1.3729287131741772</v>
      </c>
      <c r="BS9" s="25">
        <f>'Fluxos Energia'!BS7*'Energia Demanda Final'!BS$4</f>
        <v>5.5307624916943707</v>
      </c>
      <c r="BT9" s="25">
        <f>'Fluxos Energia'!BT7*'Energia Demanda Final'!BT$4</f>
        <v>3.6751288860304676</v>
      </c>
      <c r="BU9" s="25">
        <f>'Fluxos Energia'!BU7*'Energia Demanda Final'!BU$4</f>
        <v>1.4022185462255075</v>
      </c>
      <c r="BV9" s="25">
        <f>'Fluxos Energia'!BV7*'Energia Demanda Final'!BV$4</f>
        <v>7.1016588625976231</v>
      </c>
      <c r="BW9" s="25">
        <f>'Fluxos Energia'!BW7*'Energia Demanda Final'!BW$4</f>
        <v>0</v>
      </c>
    </row>
    <row r="10" spans="1:75" x14ac:dyDescent="0.3">
      <c r="A10" s="1" t="s">
        <v>2</v>
      </c>
      <c r="B10" s="1" t="s">
        <v>4</v>
      </c>
      <c r="C10" s="25">
        <f>'Fluxos Energia'!C8*'Energia Demanda Final'!C$4</f>
        <v>246.13151934401108</v>
      </c>
      <c r="D10" s="25">
        <f>'Fluxos Energia'!D8*'Energia Demanda Final'!D$4</f>
        <v>42.437741648372516</v>
      </c>
      <c r="E10" s="25">
        <f>'Fluxos Energia'!E8*'Energia Demanda Final'!E$4</f>
        <v>13.957176267883197</v>
      </c>
      <c r="F10" s="25">
        <f>'Fluxos Energia'!F8*'Energia Demanda Final'!F$4</f>
        <v>0.28340818461609268</v>
      </c>
      <c r="G10" s="25">
        <f>'Fluxos Energia'!G8*'Energia Demanda Final'!G$4</f>
        <v>0.92975885203154562</v>
      </c>
      <c r="H10" s="25">
        <f>'Fluxos Energia'!H8*'Energia Demanda Final'!H$4</f>
        <v>21.403912779515338</v>
      </c>
      <c r="I10" s="25">
        <f>'Fluxos Energia'!I8*'Energia Demanda Final'!I$4</f>
        <v>1.4036710548365758</v>
      </c>
      <c r="J10" s="25">
        <f>'Fluxos Energia'!J8*'Energia Demanda Final'!J$4</f>
        <v>4.8114931095561415</v>
      </c>
      <c r="K10" s="25">
        <f>'Fluxos Energia'!K8*'Energia Demanda Final'!K$4</f>
        <v>1.6754264036469895</v>
      </c>
      <c r="L10" s="25">
        <f>'Fluxos Energia'!L8*'Energia Demanda Final'!L$4</f>
        <v>5.7555582636939198</v>
      </c>
      <c r="M10" s="25">
        <f>'Fluxos Energia'!M8*'Energia Demanda Final'!M$4</f>
        <v>0.76635764941355633</v>
      </c>
      <c r="N10" s="25">
        <f>'Fluxos Energia'!N8*'Energia Demanda Final'!N$4</f>
        <v>4.64206374743137E-2</v>
      </c>
      <c r="O10" s="25">
        <f>'Fluxos Energia'!O8*'Energia Demanda Final'!O$4</f>
        <v>0</v>
      </c>
      <c r="P10" s="25">
        <f>'Fluxos Energia'!P8*'Energia Demanda Final'!P$4</f>
        <v>0</v>
      </c>
      <c r="Q10" s="25">
        <f>'Fluxos Energia'!Q8*'Energia Demanda Final'!Q$4</f>
        <v>0</v>
      </c>
      <c r="R10" s="25">
        <f>'Fluxos Energia'!R8*'Energia Demanda Final'!R$4</f>
        <v>0</v>
      </c>
      <c r="S10" s="25">
        <f>'Fluxos Energia'!S8*'Energia Demanda Final'!S$4</f>
        <v>8.1800703910483747</v>
      </c>
      <c r="T10" s="25">
        <f>'Fluxos Energia'!T8*'Energia Demanda Final'!T$4</f>
        <v>3.9542936536010841E-2</v>
      </c>
      <c r="U10" s="25">
        <f>'Fluxos Energia'!U8*'Energia Demanda Final'!U$4</f>
        <v>2.907428337499829E-3</v>
      </c>
      <c r="V10" s="25">
        <f>'Fluxos Energia'!V8*'Energia Demanda Final'!V$4</f>
        <v>1.0555659755746479E-5</v>
      </c>
      <c r="W10" s="25">
        <f>'Fluxos Energia'!W8*'Energia Demanda Final'!W$4</f>
        <v>3.8042164801252207E-6</v>
      </c>
      <c r="X10" s="25">
        <f>'Fluxos Energia'!X8*'Energia Demanda Final'!X$4</f>
        <v>0.87397755202090655</v>
      </c>
      <c r="Y10" s="25">
        <f>'Fluxos Energia'!Y8*'Energia Demanda Final'!Y$4</f>
        <v>2.2353153187572916E-2</v>
      </c>
      <c r="Z10" s="25">
        <f>'Fluxos Energia'!Z8*'Energia Demanda Final'!Z$4</f>
        <v>8.7211237282994927E-3</v>
      </c>
      <c r="AA10" s="25">
        <f>'Fluxos Energia'!AA8*'Energia Demanda Final'!AA$4</f>
        <v>3.3291214866110752E-2</v>
      </c>
      <c r="AB10" s="25">
        <f>'Fluxos Energia'!AB8*'Energia Demanda Final'!AB$4</f>
        <v>2.1038630582785864E-2</v>
      </c>
      <c r="AC10" s="25">
        <f>'Fluxos Energia'!AC8*'Energia Demanda Final'!AC$4</f>
        <v>2.4932728401114865E-2</v>
      </c>
      <c r="AD10" s="25">
        <f>'Fluxos Energia'!AD8*'Energia Demanda Final'!AD$4</f>
        <v>0.79912797229738297</v>
      </c>
      <c r="AE10" s="25">
        <f>'Fluxos Energia'!AE8*'Energia Demanda Final'!AE$4</f>
        <v>1.1594787657351842</v>
      </c>
      <c r="AF10" s="25">
        <f>'Fluxos Energia'!AF8*'Energia Demanda Final'!AF$4</f>
        <v>0.15161577110904131</v>
      </c>
      <c r="AG10" s="25">
        <f>'Fluxos Energia'!AG8*'Energia Demanda Final'!AG$4</f>
        <v>0.14868262256008777</v>
      </c>
      <c r="AH10" s="25">
        <f>'Fluxos Energia'!AH8*'Energia Demanda Final'!AH$4</f>
        <v>1.4404879351464282E-2</v>
      </c>
      <c r="AI10" s="25">
        <f>'Fluxos Energia'!AI8*'Energia Demanda Final'!AI$4</f>
        <v>1.1286597316256763E-2</v>
      </c>
      <c r="AJ10" s="25">
        <f>'Fluxos Energia'!AJ8*'Energia Demanda Final'!AJ$4</f>
        <v>1.7887458751980216E-2</v>
      </c>
      <c r="AK10" s="25">
        <f>'Fluxos Energia'!AK8*'Energia Demanda Final'!AK$4</f>
        <v>8.8031122663935715E-2</v>
      </c>
      <c r="AL10" s="25">
        <f>'Fluxos Energia'!AL8*'Energia Demanda Final'!AL$4</f>
        <v>3.8428253155919599E-3</v>
      </c>
      <c r="AM10" s="25">
        <f>'Fluxos Energia'!AM8*'Energia Demanda Final'!AM$4</f>
        <v>8.3354244375065546E-3</v>
      </c>
      <c r="AN10" s="25">
        <f>'Fluxos Energia'!AN8*'Energia Demanda Final'!AN$4</f>
        <v>1.6655369213294236E-2</v>
      </c>
      <c r="AO10" s="25">
        <f>'Fluxos Energia'!AO8*'Energia Demanda Final'!AO$4</f>
        <v>4.0671660782297782E-3</v>
      </c>
      <c r="AP10" s="25">
        <f>'Fluxos Energia'!AP8*'Energia Demanda Final'!AP$4</f>
        <v>0</v>
      </c>
      <c r="AQ10" s="25">
        <f>'Fluxos Energia'!AQ8*'Energia Demanda Final'!AQ$4</f>
        <v>0</v>
      </c>
      <c r="AR10" s="25">
        <f>'Fluxos Energia'!AR8*'Energia Demanda Final'!AR$4</f>
        <v>0</v>
      </c>
      <c r="AS10" s="25">
        <f>'Fluxos Energia'!AS8*'Energia Demanda Final'!AS$4</f>
        <v>0</v>
      </c>
      <c r="AT10" s="25">
        <f>'Fluxos Energia'!AT8*'Energia Demanda Final'!AT$4</f>
        <v>0</v>
      </c>
      <c r="AU10" s="25">
        <f>'Fluxos Energia'!AU8*'Energia Demanda Final'!AU$4</f>
        <v>0.3532848342437202</v>
      </c>
      <c r="AV10" s="25">
        <f>'Fluxos Energia'!AV8*'Energia Demanda Final'!AV$4</f>
        <v>1.4231298926367833E-2</v>
      </c>
      <c r="AW10" s="25">
        <f>'Fluxos Energia'!AW8*'Energia Demanda Final'!AW$4</f>
        <v>0.60432719585283179</v>
      </c>
      <c r="AX10" s="40">
        <f>'Fluxos Energia'!AX8*'Energia Demanda Final'!AX$4</f>
        <v>1171.0436856678207</v>
      </c>
      <c r="AY10" s="25">
        <f>'Fluxos Energia'!AY8*'Energia Demanda Final'!AY$4</f>
        <v>0</v>
      </c>
      <c r="AZ10" s="25">
        <f>'Fluxos Energia'!AZ8*'Energia Demanda Final'!AZ$4</f>
        <v>0</v>
      </c>
      <c r="BA10" s="25">
        <f>'Fluxos Energia'!BA8*'Energia Demanda Final'!BA$4</f>
        <v>4.5163617745247929E-2</v>
      </c>
      <c r="BB10" s="25">
        <f>'Fluxos Energia'!BB8*'Energia Demanda Final'!BB$4</f>
        <v>1.049388907925057E-3</v>
      </c>
      <c r="BC10" s="25">
        <f>'Fluxos Energia'!BC8*'Energia Demanda Final'!BC$4</f>
        <v>1.3345163201736222E-3</v>
      </c>
      <c r="BD10" s="25">
        <f>'Fluxos Energia'!BD8*'Energia Demanda Final'!BD$4</f>
        <v>1.5220105228749018E-4</v>
      </c>
      <c r="BE10" s="25">
        <f>'Fluxos Energia'!BE8*'Energia Demanda Final'!BE$4</f>
        <v>6.0799206618806508E-5</v>
      </c>
      <c r="BF10" s="25">
        <f>'Fluxos Energia'!BF8*'Energia Demanda Final'!BF$4</f>
        <v>4.4418225438580669E-4</v>
      </c>
      <c r="BG10" s="25">
        <f>'Fluxos Energia'!BG8*'Energia Demanda Final'!BG$4</f>
        <v>5.5038790327901132E-4</v>
      </c>
      <c r="BH10" s="25">
        <f>'Fluxos Energia'!BH8*'Energia Demanda Final'!BH$4</f>
        <v>1.7703451161174375E-3</v>
      </c>
      <c r="BI10" s="25">
        <f>'Fluxos Energia'!BI8*'Energia Demanda Final'!BI$4</f>
        <v>6.828987005107317E-4</v>
      </c>
      <c r="BJ10" s="25">
        <f>'Fluxos Energia'!BJ8*'Energia Demanda Final'!BJ$4</f>
        <v>5.1239979667469125E-4</v>
      </c>
      <c r="BK10" s="25">
        <f>'Fluxos Energia'!BK8*'Energia Demanda Final'!BK$4</f>
        <v>1.4261303404459302E-3</v>
      </c>
      <c r="BL10" s="25">
        <f>'Fluxos Energia'!BL8*'Energia Demanda Final'!BL$4</f>
        <v>3.8057309118391039E-5</v>
      </c>
      <c r="BM10" s="25">
        <f>'Fluxos Energia'!BM8*'Energia Demanda Final'!BM$4</f>
        <v>2.1084265216992633E-3</v>
      </c>
      <c r="BN10" s="25">
        <f>'Fluxos Energia'!BN8*'Energia Demanda Final'!BN$4</f>
        <v>8.0868249576180338E-4</v>
      </c>
      <c r="BO10" s="25">
        <f>'Fluxos Energia'!BO8*'Energia Demanda Final'!BO$4</f>
        <v>4.0942819696240888E-4</v>
      </c>
      <c r="BP10" s="25">
        <f>'Fluxos Energia'!BP8*'Energia Demanda Final'!BP$4</f>
        <v>0</v>
      </c>
      <c r="BQ10" s="25">
        <f>'Fluxos Energia'!BQ8*'Energia Demanda Final'!BQ$4</f>
        <v>0</v>
      </c>
      <c r="BR10" s="25">
        <f>'Fluxos Energia'!BR8*'Energia Demanda Final'!BR$4</f>
        <v>8.6826269086527508E-3</v>
      </c>
      <c r="BS10" s="25">
        <f>'Fluxos Energia'!BS8*'Energia Demanda Final'!BS$4</f>
        <v>0</v>
      </c>
      <c r="BT10" s="25">
        <f>'Fluxos Energia'!BT8*'Energia Demanda Final'!BT$4</f>
        <v>6.0325049404051333E-3</v>
      </c>
      <c r="BU10" s="25">
        <f>'Fluxos Energia'!BU8*'Energia Demanda Final'!BU$4</f>
        <v>4.5901646732959397E-3</v>
      </c>
      <c r="BV10" s="25">
        <f>'Fluxos Energia'!BV8*'Energia Demanda Final'!BV$4</f>
        <v>1.9491221186611878E-2</v>
      </c>
      <c r="BW10" s="25">
        <f>'Fluxos Energia'!BW8*'Energia Demanda Final'!BW$4</f>
        <v>0</v>
      </c>
    </row>
    <row r="11" spans="1:75" x14ac:dyDescent="0.3">
      <c r="A11" s="1" t="s">
        <v>2</v>
      </c>
      <c r="B11" s="1" t="s">
        <v>5</v>
      </c>
      <c r="C11" s="25">
        <f>'Fluxos Energia'!C9*'Energia Demanda Final'!C$4</f>
        <v>0</v>
      </c>
      <c r="D11" s="25">
        <f>'Fluxos Energia'!D9*'Energia Demanda Final'!D$4</f>
        <v>0</v>
      </c>
      <c r="E11" s="25">
        <f>'Fluxos Energia'!E9*'Energia Demanda Final'!E$4</f>
        <v>0</v>
      </c>
      <c r="F11" s="25">
        <f>'Fluxos Energia'!F9*'Energia Demanda Final'!F$4</f>
        <v>0</v>
      </c>
      <c r="G11" s="25">
        <f>'Fluxos Energia'!G9*'Energia Demanda Final'!G$4</f>
        <v>0</v>
      </c>
      <c r="H11" s="25">
        <f>'Fluxos Energia'!H9*'Energia Demanda Final'!H$4</f>
        <v>0</v>
      </c>
      <c r="I11" s="25">
        <f>'Fluxos Energia'!I9*'Energia Demanda Final'!I$4</f>
        <v>0</v>
      </c>
      <c r="J11" s="25">
        <f>'Fluxos Energia'!J9*'Energia Demanda Final'!J$4</f>
        <v>0</v>
      </c>
      <c r="K11" s="25">
        <f>'Fluxos Energia'!K9*'Energia Demanda Final'!K$4</f>
        <v>0</v>
      </c>
      <c r="L11" s="25">
        <f>'Fluxos Energia'!L9*'Energia Demanda Final'!L$4</f>
        <v>0</v>
      </c>
      <c r="M11" s="25">
        <f>'Fluxos Energia'!M9*'Energia Demanda Final'!M$4</f>
        <v>0</v>
      </c>
      <c r="N11" s="25">
        <f>'Fluxos Energia'!N9*'Energia Demanda Final'!N$4</f>
        <v>0</v>
      </c>
      <c r="O11" s="25">
        <f>'Fluxos Energia'!O9*'Energia Demanda Final'!O$4</f>
        <v>0</v>
      </c>
      <c r="P11" s="25">
        <f>'Fluxos Energia'!P9*'Energia Demanda Final'!P$4</f>
        <v>0</v>
      </c>
      <c r="Q11" s="25">
        <f>'Fluxos Energia'!Q9*'Energia Demanda Final'!Q$4</f>
        <v>0</v>
      </c>
      <c r="R11" s="25">
        <f>'Fluxos Energia'!R9*'Energia Demanda Final'!R$4</f>
        <v>0</v>
      </c>
      <c r="S11" s="25">
        <f>'Fluxos Energia'!S9*'Energia Demanda Final'!S$4</f>
        <v>0</v>
      </c>
      <c r="T11" s="25">
        <f>'Fluxos Energia'!T9*'Energia Demanda Final'!T$4</f>
        <v>0</v>
      </c>
      <c r="U11" s="25">
        <f>'Fluxos Energia'!U9*'Energia Demanda Final'!U$4</f>
        <v>0</v>
      </c>
      <c r="V11" s="25">
        <f>'Fluxos Energia'!V9*'Energia Demanda Final'!V$4</f>
        <v>0</v>
      </c>
      <c r="W11" s="25">
        <f>'Fluxos Energia'!W9*'Energia Demanda Final'!W$4</f>
        <v>0</v>
      </c>
      <c r="X11" s="25">
        <f>'Fluxos Energia'!X9*'Energia Demanda Final'!X$4</f>
        <v>0</v>
      </c>
      <c r="Y11" s="25">
        <f>'Fluxos Energia'!Y9*'Energia Demanda Final'!Y$4</f>
        <v>0</v>
      </c>
      <c r="Z11" s="25">
        <f>'Fluxos Energia'!Z9*'Energia Demanda Final'!Z$4</f>
        <v>0</v>
      </c>
      <c r="AA11" s="25">
        <f>'Fluxos Energia'!AA9*'Energia Demanda Final'!AA$4</f>
        <v>0</v>
      </c>
      <c r="AB11" s="25">
        <f>'Fluxos Energia'!AB9*'Energia Demanda Final'!AB$4</f>
        <v>0</v>
      </c>
      <c r="AC11" s="25">
        <f>'Fluxos Energia'!AC9*'Energia Demanda Final'!AC$4</f>
        <v>0</v>
      </c>
      <c r="AD11" s="25">
        <f>'Fluxos Energia'!AD9*'Energia Demanda Final'!AD$4</f>
        <v>0</v>
      </c>
      <c r="AE11" s="25">
        <f>'Fluxos Energia'!AE9*'Energia Demanda Final'!AE$4</f>
        <v>0</v>
      </c>
      <c r="AF11" s="25">
        <f>'Fluxos Energia'!AF9*'Energia Demanda Final'!AF$4</f>
        <v>0</v>
      </c>
      <c r="AG11" s="25">
        <f>'Fluxos Energia'!AG9*'Energia Demanda Final'!AG$4</f>
        <v>0</v>
      </c>
      <c r="AH11" s="25">
        <f>'Fluxos Energia'!AH9*'Energia Demanda Final'!AH$4</f>
        <v>0</v>
      </c>
      <c r="AI11" s="25">
        <f>'Fluxos Energia'!AI9*'Energia Demanda Final'!AI$4</f>
        <v>0</v>
      </c>
      <c r="AJ11" s="25">
        <f>'Fluxos Energia'!AJ9*'Energia Demanda Final'!AJ$4</f>
        <v>0</v>
      </c>
      <c r="AK11" s="25">
        <f>'Fluxos Energia'!AK9*'Energia Demanda Final'!AK$4</f>
        <v>0</v>
      </c>
      <c r="AL11" s="25">
        <f>'Fluxos Energia'!AL9*'Energia Demanda Final'!AL$4</f>
        <v>0</v>
      </c>
      <c r="AM11" s="25">
        <f>'Fluxos Energia'!AM9*'Energia Demanda Final'!AM$4</f>
        <v>0</v>
      </c>
      <c r="AN11" s="25">
        <f>'Fluxos Energia'!AN9*'Energia Demanda Final'!AN$4</f>
        <v>0</v>
      </c>
      <c r="AO11" s="25">
        <f>'Fluxos Energia'!AO9*'Energia Demanda Final'!AO$4</f>
        <v>0</v>
      </c>
      <c r="AP11" s="25">
        <f>'Fluxos Energia'!AP9*'Energia Demanda Final'!AP$4</f>
        <v>0</v>
      </c>
      <c r="AQ11" s="25">
        <f>'Fluxos Energia'!AQ9*'Energia Demanda Final'!AQ$4</f>
        <v>0</v>
      </c>
      <c r="AR11" s="25">
        <f>'Fluxos Energia'!AR9*'Energia Demanda Final'!AR$4</f>
        <v>0</v>
      </c>
      <c r="AS11" s="25">
        <f>'Fluxos Energia'!AS9*'Energia Demanda Final'!AS$4</f>
        <v>0</v>
      </c>
      <c r="AT11" s="25">
        <f>'Fluxos Energia'!AT9*'Energia Demanda Final'!AT$4</f>
        <v>0</v>
      </c>
      <c r="AU11" s="25">
        <f>'Fluxos Energia'!AU9*'Energia Demanda Final'!AU$4</f>
        <v>0</v>
      </c>
      <c r="AV11" s="25">
        <f>'Fluxos Energia'!AV9*'Energia Demanda Final'!AV$4</f>
        <v>0</v>
      </c>
      <c r="AW11" s="25">
        <f>'Fluxos Energia'!AW9*'Energia Demanda Final'!AW$4</f>
        <v>0</v>
      </c>
      <c r="AX11" s="40">
        <f>'Fluxos Energia'!AX9*'Energia Demanda Final'!AX$4</f>
        <v>5298.1950924881567</v>
      </c>
      <c r="AY11" s="25">
        <f>'Fluxos Energia'!AY9*'Energia Demanda Final'!AY$4</f>
        <v>0</v>
      </c>
      <c r="AZ11" s="25">
        <f>'Fluxos Energia'!AZ9*'Energia Demanda Final'!AZ$4</f>
        <v>0</v>
      </c>
      <c r="BA11" s="25">
        <f>'Fluxos Energia'!BA9*'Energia Demanda Final'!BA$4</f>
        <v>0</v>
      </c>
      <c r="BB11" s="25">
        <f>'Fluxos Energia'!BB9*'Energia Demanda Final'!BB$4</f>
        <v>0</v>
      </c>
      <c r="BC11" s="25">
        <f>'Fluxos Energia'!BC9*'Energia Demanda Final'!BC$4</f>
        <v>0</v>
      </c>
      <c r="BD11" s="25">
        <f>'Fluxos Energia'!BD9*'Energia Demanda Final'!BD$4</f>
        <v>0</v>
      </c>
      <c r="BE11" s="25">
        <f>'Fluxos Energia'!BE9*'Energia Demanda Final'!BE$4</f>
        <v>0</v>
      </c>
      <c r="BF11" s="25">
        <f>'Fluxos Energia'!BF9*'Energia Demanda Final'!BF$4</f>
        <v>0</v>
      </c>
      <c r="BG11" s="25">
        <f>'Fluxos Energia'!BG9*'Energia Demanda Final'!BG$4</f>
        <v>0</v>
      </c>
      <c r="BH11" s="25">
        <f>'Fluxos Energia'!BH9*'Energia Demanda Final'!BH$4</f>
        <v>0</v>
      </c>
      <c r="BI11" s="25">
        <f>'Fluxos Energia'!BI9*'Energia Demanda Final'!BI$4</f>
        <v>0</v>
      </c>
      <c r="BJ11" s="25">
        <f>'Fluxos Energia'!BJ9*'Energia Demanda Final'!BJ$4</f>
        <v>0</v>
      </c>
      <c r="BK11" s="25">
        <f>'Fluxos Energia'!BK9*'Energia Demanda Final'!BK$4</f>
        <v>0</v>
      </c>
      <c r="BL11" s="25">
        <f>'Fluxos Energia'!BL9*'Energia Demanda Final'!BL$4</f>
        <v>0</v>
      </c>
      <c r="BM11" s="25">
        <f>'Fluxos Energia'!BM9*'Energia Demanda Final'!BM$4</f>
        <v>0</v>
      </c>
      <c r="BN11" s="25">
        <f>'Fluxos Energia'!BN9*'Energia Demanda Final'!BN$4</f>
        <v>0</v>
      </c>
      <c r="BO11" s="25">
        <f>'Fluxos Energia'!BO9*'Energia Demanda Final'!BO$4</f>
        <v>0</v>
      </c>
      <c r="BP11" s="25">
        <f>'Fluxos Energia'!BP9*'Energia Demanda Final'!BP$4</f>
        <v>0</v>
      </c>
      <c r="BQ11" s="25">
        <f>'Fluxos Energia'!BQ9*'Energia Demanda Final'!BQ$4</f>
        <v>0</v>
      </c>
      <c r="BR11" s="25">
        <f>'Fluxos Energia'!BR9*'Energia Demanda Final'!BR$4</f>
        <v>0</v>
      </c>
      <c r="BS11" s="25">
        <f>'Fluxos Energia'!BS9*'Energia Demanda Final'!BS$4</f>
        <v>0</v>
      </c>
      <c r="BT11" s="25">
        <f>'Fluxos Energia'!BT9*'Energia Demanda Final'!BT$4</f>
        <v>0</v>
      </c>
      <c r="BU11" s="25">
        <f>'Fluxos Energia'!BU9*'Energia Demanda Final'!BU$4</f>
        <v>0</v>
      </c>
      <c r="BV11" s="25">
        <f>'Fluxos Energia'!BV9*'Energia Demanda Final'!BV$4</f>
        <v>0</v>
      </c>
      <c r="BW11" s="25">
        <f>'Fluxos Energia'!BW9*'Energia Demanda Final'!BW$4</f>
        <v>0</v>
      </c>
    </row>
    <row r="12" spans="1:75" x14ac:dyDescent="0.3">
      <c r="A12" s="1" t="s">
        <v>2</v>
      </c>
      <c r="B12" s="1" t="s">
        <v>6</v>
      </c>
      <c r="C12" s="25">
        <f>'Fluxos Energia'!C10*'Energia Demanda Final'!C$4</f>
        <v>720.60079131503562</v>
      </c>
      <c r="D12" s="25">
        <f>'Fluxos Energia'!D10*'Energia Demanda Final'!D$4</f>
        <v>250.08248335514585</v>
      </c>
      <c r="E12" s="25">
        <f>'Fluxos Energia'!E10*'Energia Demanda Final'!E$4</f>
        <v>38.624208298927677</v>
      </c>
      <c r="F12" s="25">
        <f>'Fluxos Energia'!F10*'Energia Demanda Final'!F$4</f>
        <v>23.416506216935375</v>
      </c>
      <c r="G12" s="25">
        <f>'Fluxos Energia'!G10*'Energia Demanda Final'!G$4</f>
        <v>74.188000274405056</v>
      </c>
      <c r="H12" s="25">
        <f>'Fluxos Energia'!H10*'Energia Demanda Final'!H$4</f>
        <v>468.50065294266125</v>
      </c>
      <c r="I12" s="25">
        <f>'Fluxos Energia'!I10*'Energia Demanda Final'!I$4</f>
        <v>82.42444984550184</v>
      </c>
      <c r="J12" s="25">
        <f>'Fluxos Energia'!J10*'Energia Demanda Final'!J$4</f>
        <v>396.75990485644138</v>
      </c>
      <c r="K12" s="25">
        <f>'Fluxos Energia'!K10*'Energia Demanda Final'!K$4</f>
        <v>19.94868875782435</v>
      </c>
      <c r="L12" s="25">
        <f>'Fluxos Energia'!L10*'Energia Demanda Final'!L$4</f>
        <v>661.9109195675926</v>
      </c>
      <c r="M12" s="25">
        <f>'Fluxos Energia'!M10*'Energia Demanda Final'!M$4</f>
        <v>106.49136572499729</v>
      </c>
      <c r="N12" s="25">
        <f>'Fluxos Energia'!N10*'Energia Demanda Final'!N$4</f>
        <v>14.745690979404612</v>
      </c>
      <c r="O12" s="25">
        <f>'Fluxos Energia'!O10*'Energia Demanda Final'!O$4</f>
        <v>89.541145117791075</v>
      </c>
      <c r="P12" s="25">
        <f>'Fluxos Energia'!P10*'Energia Demanda Final'!P$4</f>
        <v>32.07570304207529</v>
      </c>
      <c r="Q12" s="25">
        <f>'Fluxos Energia'!Q10*'Energia Demanda Final'!Q$4</f>
        <v>39.465542936458149</v>
      </c>
      <c r="R12" s="25">
        <f>'Fluxos Energia'!R10*'Energia Demanda Final'!R$4</f>
        <v>52.96126875485821</v>
      </c>
      <c r="S12" s="25">
        <f>'Fluxos Energia'!S10*'Energia Demanda Final'!S$4</f>
        <v>713.69087868249846</v>
      </c>
      <c r="T12" s="25">
        <f>'Fluxos Energia'!T10*'Energia Demanda Final'!T$4</f>
        <v>5.491389068118715</v>
      </c>
      <c r="U12" s="25">
        <f>'Fluxos Energia'!U10*'Energia Demanda Final'!U$4</f>
        <v>3.2577275491623348</v>
      </c>
      <c r="V12" s="25">
        <f>'Fluxos Energia'!V10*'Energia Demanda Final'!V$4</f>
        <v>9.8842241333506799E-3</v>
      </c>
      <c r="W12" s="25">
        <f>'Fluxos Energia'!W10*'Energia Demanda Final'!W$4</f>
        <v>9.9774878840339217E-4</v>
      </c>
      <c r="X12" s="25">
        <f>'Fluxos Energia'!X10*'Energia Demanda Final'!X$4</f>
        <v>17.810133296696048</v>
      </c>
      <c r="Y12" s="25">
        <f>'Fluxos Energia'!Y10*'Energia Demanda Final'!Y$4</f>
        <v>128.41495587284194</v>
      </c>
      <c r="Z12" s="25">
        <f>'Fluxos Energia'!Z10*'Energia Demanda Final'!Z$4</f>
        <v>25.61419636563469</v>
      </c>
      <c r="AA12" s="25">
        <f>'Fluxos Energia'!AA10*'Energia Demanda Final'!AA$4</f>
        <v>37.379576816535732</v>
      </c>
      <c r="AB12" s="25">
        <f>'Fluxos Energia'!AB10*'Energia Demanda Final'!AB$4</f>
        <v>49.332863347904997</v>
      </c>
      <c r="AC12" s="25">
        <f>'Fluxos Energia'!AC10*'Energia Demanda Final'!AC$4</f>
        <v>109.47784805214997</v>
      </c>
      <c r="AD12" s="25">
        <f>'Fluxos Energia'!AD10*'Energia Demanda Final'!AD$4</f>
        <v>99.745726729358253</v>
      </c>
      <c r="AE12" s="25">
        <f>'Fluxos Energia'!AE10*'Energia Demanda Final'!AE$4</f>
        <v>766.23523862521768</v>
      </c>
      <c r="AF12" s="25">
        <f>'Fluxos Energia'!AF10*'Energia Demanda Final'!AF$4</f>
        <v>508.59867919346181</v>
      </c>
      <c r="AG12" s="25">
        <f>'Fluxos Energia'!AG10*'Energia Demanda Final'!AG$4</f>
        <v>152.50760570745248</v>
      </c>
      <c r="AH12" s="25">
        <f>'Fluxos Energia'!AH10*'Energia Demanda Final'!AH$4</f>
        <v>11.423541452114671</v>
      </c>
      <c r="AI12" s="25">
        <f>'Fluxos Energia'!AI10*'Energia Demanda Final'!AI$4</f>
        <v>27.754223416505575</v>
      </c>
      <c r="AJ12" s="25">
        <f>'Fluxos Energia'!AJ10*'Energia Demanda Final'!AJ$4</f>
        <v>41.346798085244934</v>
      </c>
      <c r="AK12" s="25">
        <f>'Fluxos Energia'!AK10*'Energia Demanda Final'!AK$4</f>
        <v>55.149726932356295</v>
      </c>
      <c r="AL12" s="25">
        <f>'Fluxos Energia'!AL10*'Energia Demanda Final'!AL$4</f>
        <v>22.791875512541846</v>
      </c>
      <c r="AM12" s="25">
        <f>'Fluxos Energia'!AM10*'Energia Demanda Final'!AM$4</f>
        <v>23.253824788548634</v>
      </c>
      <c r="AN12" s="25">
        <f>'Fluxos Energia'!AN10*'Energia Demanda Final'!AN$4</f>
        <v>27.780457928893583</v>
      </c>
      <c r="AO12" s="25">
        <f>'Fluxos Energia'!AO10*'Energia Demanda Final'!AO$4</f>
        <v>5.5766040396046996</v>
      </c>
      <c r="AP12" s="25">
        <f>'Fluxos Energia'!AP10*'Energia Demanda Final'!AP$4</f>
        <v>751.38891527425596</v>
      </c>
      <c r="AQ12" s="25">
        <f>'Fluxos Energia'!AQ10*'Energia Demanda Final'!AQ$4</f>
        <v>18.389614746149263</v>
      </c>
      <c r="AR12" s="25">
        <f>'Fluxos Energia'!AR10*'Energia Demanda Final'!AR$4</f>
        <v>2.7748346284907973E-4</v>
      </c>
      <c r="AS12" s="25">
        <f>'Fluxos Energia'!AS10*'Energia Demanda Final'!AS$4</f>
        <v>29.931455440891273</v>
      </c>
      <c r="AT12" s="25">
        <f>'Fluxos Energia'!AT10*'Energia Demanda Final'!AT$4</f>
        <v>500.94377507117844</v>
      </c>
      <c r="AU12" s="25">
        <f>'Fluxos Energia'!AU10*'Energia Demanda Final'!AU$4</f>
        <v>53.102522302456244</v>
      </c>
      <c r="AV12" s="25">
        <f>'Fluxos Energia'!AV10*'Energia Demanda Final'!AV$4</f>
        <v>128.1215060559353</v>
      </c>
      <c r="AW12" s="25">
        <f>'Fluxos Energia'!AW10*'Energia Demanda Final'!AW$4</f>
        <v>1408.6708538060677</v>
      </c>
      <c r="AX12" s="40">
        <f>'Fluxos Energia'!AX10*'Energia Demanda Final'!AX$4</f>
        <v>54.992925773004096</v>
      </c>
      <c r="AY12" s="25">
        <f>'Fluxos Energia'!AY10*'Energia Demanda Final'!AY$4</f>
        <v>0</v>
      </c>
      <c r="AZ12" s="25">
        <f>'Fluxos Energia'!AZ10*'Energia Demanda Final'!AZ$4</f>
        <v>0</v>
      </c>
      <c r="BA12" s="25">
        <f>'Fluxos Energia'!BA10*'Energia Demanda Final'!BA$4</f>
        <v>51.915559882557076</v>
      </c>
      <c r="BB12" s="25">
        <f>'Fluxos Energia'!BB10*'Energia Demanda Final'!BB$4</f>
        <v>77.740197364528427</v>
      </c>
      <c r="BC12" s="25">
        <f>'Fluxos Energia'!BC10*'Energia Demanda Final'!BC$4</f>
        <v>202.79132277906461</v>
      </c>
      <c r="BD12" s="25">
        <f>'Fluxos Energia'!BD10*'Energia Demanda Final'!BD$4</f>
        <v>6.9823835364176379</v>
      </c>
      <c r="BE12" s="25">
        <f>'Fluxos Energia'!BE10*'Energia Demanda Final'!BE$4</f>
        <v>2.7046028607409132</v>
      </c>
      <c r="BF12" s="25">
        <f>'Fluxos Energia'!BF10*'Energia Demanda Final'!BF$4</f>
        <v>130.31199639351979</v>
      </c>
      <c r="BG12" s="25">
        <f>'Fluxos Energia'!BG10*'Energia Demanda Final'!BG$4</f>
        <v>41.787590436376092</v>
      </c>
      <c r="BH12" s="25">
        <f>'Fluxos Energia'!BH10*'Energia Demanda Final'!BH$4</f>
        <v>129.98188442819816</v>
      </c>
      <c r="BI12" s="25">
        <f>'Fluxos Energia'!BI10*'Energia Demanda Final'!BI$4</f>
        <v>74.207110092121226</v>
      </c>
      <c r="BJ12" s="25">
        <f>'Fluxos Energia'!BJ10*'Energia Demanda Final'!BJ$4</f>
        <v>21.611171932473177</v>
      </c>
      <c r="BK12" s="25">
        <f>'Fluxos Energia'!BK10*'Energia Demanda Final'!BK$4</f>
        <v>17.704830830067056</v>
      </c>
      <c r="BL12" s="25">
        <f>'Fluxos Energia'!BL10*'Energia Demanda Final'!BL$4</f>
        <v>1.3742507150535503</v>
      </c>
      <c r="BM12" s="25">
        <f>'Fluxos Energia'!BM10*'Energia Demanda Final'!BM$4</f>
        <v>4.2469124451204099</v>
      </c>
      <c r="BN12" s="25">
        <f>'Fluxos Energia'!BN10*'Energia Demanda Final'!BN$4</f>
        <v>197.88892737747275</v>
      </c>
      <c r="BO12" s="25">
        <f>'Fluxos Energia'!BO10*'Energia Demanda Final'!BO$4</f>
        <v>0.15101424095411947</v>
      </c>
      <c r="BP12" s="25">
        <f>'Fluxos Energia'!BP10*'Energia Demanda Final'!BP$4</f>
        <v>1493.6425186437891</v>
      </c>
      <c r="BQ12" s="25">
        <f>'Fluxos Energia'!BQ10*'Energia Demanda Final'!BQ$4</f>
        <v>497.29087506166377</v>
      </c>
      <c r="BR12" s="25">
        <f>'Fluxos Energia'!BR10*'Energia Demanda Final'!BR$4</f>
        <v>244.13759851417308</v>
      </c>
      <c r="BS12" s="25">
        <f>'Fluxos Energia'!BS10*'Energia Demanda Final'!BS$4</f>
        <v>329.77061526921483</v>
      </c>
      <c r="BT12" s="25">
        <f>'Fluxos Energia'!BT10*'Energia Demanda Final'!BT$4</f>
        <v>189.36431146634359</v>
      </c>
      <c r="BU12" s="25">
        <f>'Fluxos Energia'!BU10*'Energia Demanda Final'!BU$4</f>
        <v>104.76489935201542</v>
      </c>
      <c r="BV12" s="25">
        <f>'Fluxos Energia'!BV10*'Energia Demanda Final'!BV$4</f>
        <v>290.92566875039114</v>
      </c>
      <c r="BW12" s="25">
        <f>'Fluxos Energia'!BW10*'Energia Demanda Final'!BW$4</f>
        <v>0</v>
      </c>
    </row>
    <row r="13" spans="1:75" x14ac:dyDescent="0.3">
      <c r="A13" s="1" t="s">
        <v>2</v>
      </c>
      <c r="B13" s="1" t="s">
        <v>7</v>
      </c>
      <c r="C13" s="25">
        <f>'Fluxos Energia'!C11*'Energia Demanda Final'!C$4</f>
        <v>157.74958333485597</v>
      </c>
      <c r="D13" s="25">
        <f>'Fluxos Energia'!D11*'Energia Demanda Final'!D$4</f>
        <v>54.745998458779873</v>
      </c>
      <c r="E13" s="25">
        <f>'Fluxos Energia'!E11*'Energia Demanda Final'!E$4</f>
        <v>8.4520727699800933</v>
      </c>
      <c r="F13" s="25">
        <f>'Fluxos Energia'!F11*'Energia Demanda Final'!F$4</f>
        <v>1.1570115634307425</v>
      </c>
      <c r="G13" s="25">
        <f>'Fluxos Energia'!G11*'Energia Demanda Final'!G$4</f>
        <v>3.6329190524570332</v>
      </c>
      <c r="H13" s="25">
        <f>'Fluxos Energia'!H11*'Energia Demanda Final'!H$4</f>
        <v>23.140012361638011</v>
      </c>
      <c r="I13" s="25">
        <f>'Fluxos Energia'!I11*'Energia Demanda Final'!I$4</f>
        <v>4.0722478207593014</v>
      </c>
      <c r="J13" s="25">
        <f>'Fluxos Energia'!J11*'Energia Demanda Final'!J$4</f>
        <v>85.668873926206956</v>
      </c>
      <c r="K13" s="25">
        <f>'Fluxos Energia'!K11*'Energia Demanda Final'!K$4</f>
        <v>4.1934001104581515</v>
      </c>
      <c r="L13" s="25">
        <f>'Fluxos Energia'!L11*'Energia Demanda Final'!L$4</f>
        <v>144.14697239171133</v>
      </c>
      <c r="M13" s="25">
        <f>'Fluxos Energia'!M11*'Energia Demanda Final'!M$4</f>
        <v>23.210059897464578</v>
      </c>
      <c r="N13" s="25">
        <f>'Fluxos Energia'!N11*'Energia Demanda Final'!N$4</f>
        <v>3.1786837980149736</v>
      </c>
      <c r="O13" s="25">
        <f>'Fluxos Energia'!O11*'Energia Demanda Final'!O$4</f>
        <v>19.461663559610027</v>
      </c>
      <c r="P13" s="25">
        <f>'Fluxos Energia'!P11*'Energia Demanda Final'!P$4</f>
        <v>6.6397910777348752</v>
      </c>
      <c r="Q13" s="25">
        <f>'Fluxos Energia'!Q11*'Energia Demanda Final'!Q$4</f>
        <v>8.5384522616053964</v>
      </c>
      <c r="R13" s="25">
        <f>'Fluxos Energia'!R11*'Energia Demanda Final'!R$4</f>
        <v>11.576977016537167</v>
      </c>
      <c r="S13" s="25">
        <f>'Fluxos Energia'!S11*'Energia Demanda Final'!S$4</f>
        <v>155.80447183554992</v>
      </c>
      <c r="T13" s="25">
        <f>'Fluxos Energia'!T11*'Energia Demanda Final'!T$4</f>
        <v>0.54929064055574384</v>
      </c>
      <c r="U13" s="25">
        <f>'Fluxos Energia'!U11*'Energia Demanda Final'!U$4</f>
        <v>0.28544435628237114</v>
      </c>
      <c r="V13" s="25">
        <f>'Fluxos Energia'!V11*'Energia Demanda Final'!V$4</f>
        <v>8.4099792951919676E-4</v>
      </c>
      <c r="W13" s="25">
        <f>'Fluxos Energia'!W11*'Energia Demanda Final'!W$4</f>
        <v>9.8587065097088889E-5</v>
      </c>
      <c r="X13" s="25">
        <f>'Fluxos Energia'!X11*'Energia Demanda Final'!X$4</f>
        <v>1.7092651627885191</v>
      </c>
      <c r="Y13" s="25">
        <f>'Fluxos Energia'!Y11*'Energia Demanda Final'!Y$4</f>
        <v>12.931707093510839</v>
      </c>
      <c r="Z13" s="25">
        <f>'Fluxos Energia'!Z11*'Energia Demanda Final'!Z$4</f>
        <v>2.5688262460191531</v>
      </c>
      <c r="AA13" s="25">
        <f>'Fluxos Energia'!AA11*'Energia Demanda Final'!AA$4</f>
        <v>3.6556723501117667</v>
      </c>
      <c r="AB13" s="25">
        <f>'Fluxos Energia'!AB11*'Energia Demanda Final'!AB$4</f>
        <v>4.7917446549142868</v>
      </c>
      <c r="AC13" s="25">
        <f>'Fluxos Energia'!AC11*'Energia Demanda Final'!AC$4</f>
        <v>10.967914281457977</v>
      </c>
      <c r="AD13" s="25">
        <f>'Fluxos Energia'!AD11*'Energia Demanda Final'!AD$4</f>
        <v>10.052604502950725</v>
      </c>
      <c r="AE13" s="25">
        <f>'Fluxos Energia'!AE11*'Energia Demanda Final'!AE$4</f>
        <v>77.121665396398797</v>
      </c>
      <c r="AF13" s="25">
        <f>'Fluxos Energia'!AF11*'Energia Demanda Final'!AF$4</f>
        <v>51.284813152511667</v>
      </c>
      <c r="AG13" s="25">
        <f>'Fluxos Energia'!AG11*'Energia Demanda Final'!AG$4</f>
        <v>15.322721709938369</v>
      </c>
      <c r="AH13" s="25">
        <f>'Fluxos Energia'!AH11*'Energia Demanda Final'!AH$4</f>
        <v>1.126407015793639</v>
      </c>
      <c r="AI13" s="25">
        <f>'Fluxos Energia'!AI11*'Energia Demanda Final'!AI$4</f>
        <v>2.7858502101781459</v>
      </c>
      <c r="AJ13" s="25">
        <f>'Fluxos Energia'!AJ11*'Energia Demanda Final'!AJ$4</f>
        <v>4.1329130558171849</v>
      </c>
      <c r="AK13" s="25">
        <f>'Fluxos Energia'!AK11*'Energia Demanda Final'!AK$4</f>
        <v>5.5287094747023762</v>
      </c>
      <c r="AL13" s="25">
        <f>'Fluxos Energia'!AL11*'Energia Demanda Final'!AL$4</f>
        <v>2.2902101408604691</v>
      </c>
      <c r="AM13" s="25">
        <f>'Fluxos Energia'!AM11*'Energia Demanda Final'!AM$4</f>
        <v>2.333392815780909</v>
      </c>
      <c r="AN13" s="25">
        <f>'Fluxos Energia'!AN11*'Energia Demanda Final'!AN$4</f>
        <v>2.7687665636442218</v>
      </c>
      <c r="AO13" s="25">
        <f>'Fluxos Energia'!AO11*'Energia Demanda Final'!AO$4</f>
        <v>0.27518172754027204</v>
      </c>
      <c r="AP13" s="25">
        <f>'Fluxos Energia'!AP11*'Energia Demanda Final'!AP$4</f>
        <v>31.231447183578638</v>
      </c>
      <c r="AQ13" s="25">
        <f>'Fluxos Energia'!AQ11*'Energia Demanda Final'!AQ$4</f>
        <v>72.682184299355796</v>
      </c>
      <c r="AR13" s="25">
        <f>'Fluxos Energia'!AR11*'Energia Demanda Final'!AR$4</f>
        <v>1.039192635646174E-5</v>
      </c>
      <c r="AS13" s="25">
        <f>'Fluxos Energia'!AS11*'Energia Demanda Final'!AS$4</f>
        <v>6.5502327837145131</v>
      </c>
      <c r="AT13" s="25">
        <f>'Fluxos Energia'!AT11*'Energia Demanda Final'!AT$4</f>
        <v>24.747488902719127</v>
      </c>
      <c r="AU13" s="25">
        <f>'Fluxos Energia'!AU11*'Energia Demanda Final'!AU$4</f>
        <v>11.162727405052712</v>
      </c>
      <c r="AV13" s="25">
        <f>'Fluxos Energia'!AV11*'Energia Demanda Final'!AV$4</f>
        <v>26.724595203971202</v>
      </c>
      <c r="AW13" s="25">
        <f>'Fluxos Energia'!AW11*'Energia Demanda Final'!AW$4</f>
        <v>296.25311211685556</v>
      </c>
      <c r="AX13" s="40">
        <f>'Fluxos Energia'!AX11*'Energia Demanda Final'!AX$4</f>
        <v>2.0655002642956952</v>
      </c>
      <c r="AY13" s="25">
        <f>'Fluxos Energia'!AY11*'Energia Demanda Final'!AY$4</f>
        <v>0</v>
      </c>
      <c r="AZ13" s="25">
        <f>'Fluxos Energia'!AZ11*'Energia Demanda Final'!AZ$4</f>
        <v>0</v>
      </c>
      <c r="BA13" s="25">
        <f>'Fluxos Energia'!BA11*'Energia Demanda Final'!BA$4</f>
        <v>5.070021133615624</v>
      </c>
      <c r="BB13" s="25">
        <f>'Fluxos Energia'!BB11*'Energia Demanda Final'!BB$4</f>
        <v>16.716231652524677</v>
      </c>
      <c r="BC13" s="25">
        <f>'Fluxos Energia'!BC11*'Energia Demanda Final'!BC$4</f>
        <v>41.849487436695476</v>
      </c>
      <c r="BD13" s="25">
        <f>'Fluxos Energia'!BD11*'Energia Demanda Final'!BD$4</f>
        <v>1.481049229991418</v>
      </c>
      <c r="BE13" s="25">
        <f>'Fluxos Energia'!BE11*'Energia Demanda Final'!BE$4</f>
        <v>0.57803894221693697</v>
      </c>
      <c r="BF13" s="25">
        <f>'Fluxos Energia'!BF11*'Energia Demanda Final'!BF$4</f>
        <v>27.816822193985658</v>
      </c>
      <c r="BG13" s="25">
        <f>'Fluxos Energia'!BG11*'Energia Demanda Final'!BG$4</f>
        <v>8.6578590808354772</v>
      </c>
      <c r="BH13" s="25">
        <f>'Fluxos Energia'!BH11*'Energia Demanda Final'!BH$4</f>
        <v>27.178443419945971</v>
      </c>
      <c r="BI13" s="25">
        <f>'Fluxos Energia'!BI11*'Energia Demanda Final'!BI$4</f>
        <v>15.265308990060189</v>
      </c>
      <c r="BJ13" s="25">
        <f>'Fluxos Energia'!BJ11*'Energia Demanda Final'!BJ$4</f>
        <v>4.3495584738453035</v>
      </c>
      <c r="BK13" s="25">
        <f>'Fluxos Energia'!BK11*'Energia Demanda Final'!BK$4</f>
        <v>3.6231493545034499</v>
      </c>
      <c r="BL13" s="25">
        <f>'Fluxos Energia'!BL11*'Energia Demanda Final'!BL$4</f>
        <v>0.27316935515256391</v>
      </c>
      <c r="BM13" s="25">
        <f>'Fluxos Energia'!BM11*'Energia Demanda Final'!BM$4</f>
        <v>0.82204415303040557</v>
      </c>
      <c r="BN13" s="25">
        <f>'Fluxos Energia'!BN11*'Energia Demanda Final'!BN$4</f>
        <v>42.906426344115459</v>
      </c>
      <c r="BO13" s="25">
        <f>'Fluxos Energia'!BO11*'Energia Demanda Final'!BO$4</f>
        <v>3.14107023013128E-2</v>
      </c>
      <c r="BP13" s="25">
        <f>'Fluxos Energia'!BP11*'Energia Demanda Final'!BP$4</f>
        <v>165.9602798493099</v>
      </c>
      <c r="BQ13" s="25">
        <f>'Fluxos Energia'!BQ11*'Energia Demanda Final'!BQ$4</f>
        <v>55.254541673518204</v>
      </c>
      <c r="BR13" s="25">
        <f>'Fluxos Energia'!BR11*'Energia Demanda Final'!BR$4</f>
        <v>51.21440008196474</v>
      </c>
      <c r="BS13" s="25">
        <f>'Fluxos Energia'!BS11*'Energia Demanda Final'!BS$4</f>
        <v>36.641179474357209</v>
      </c>
      <c r="BT13" s="25">
        <f>'Fluxos Energia'!BT11*'Energia Demanda Final'!BT$4</f>
        <v>40.271241994071637</v>
      </c>
      <c r="BU13" s="25">
        <f>'Fluxos Energia'!BU11*'Energia Demanda Final'!BU$4</f>
        <v>21.337582380330335</v>
      </c>
      <c r="BV13" s="25">
        <f>'Fluxos Energia'!BV11*'Energia Demanda Final'!BV$4</f>
        <v>62.093627819635827</v>
      </c>
      <c r="BW13" s="25">
        <f>'Fluxos Energia'!BW11*'Energia Demanda Final'!BW$4</f>
        <v>0</v>
      </c>
    </row>
    <row r="14" spans="1:75" x14ac:dyDescent="0.3">
      <c r="A14" s="1" t="s">
        <v>2</v>
      </c>
      <c r="B14" s="1" t="s">
        <v>8</v>
      </c>
      <c r="C14" s="25">
        <f>'Fluxos Energia'!C12*'Energia Demanda Final'!C$4</f>
        <v>0</v>
      </c>
      <c r="D14" s="25">
        <f>'Fluxos Energia'!D12*'Energia Demanda Final'!D$4</f>
        <v>0</v>
      </c>
      <c r="E14" s="25">
        <f>'Fluxos Energia'!E12*'Energia Demanda Final'!E$4</f>
        <v>0</v>
      </c>
      <c r="F14" s="25">
        <f>'Fluxos Energia'!F12*'Energia Demanda Final'!F$4</f>
        <v>9.4594412506093111</v>
      </c>
      <c r="G14" s="25">
        <f>'Fluxos Energia'!G12*'Energia Demanda Final'!G$4</f>
        <v>28.926962341815461</v>
      </c>
      <c r="H14" s="25">
        <f>'Fluxos Energia'!H12*'Energia Demanda Final'!H$4</f>
        <v>189.01895159968444</v>
      </c>
      <c r="I14" s="25">
        <f>'Fluxos Energia'!I12*'Energia Demanda Final'!I$4</f>
        <v>34.733769919386681</v>
      </c>
      <c r="J14" s="25">
        <f>'Fluxos Energia'!J12*'Energia Demanda Final'!J$4</f>
        <v>190.14141663249961</v>
      </c>
      <c r="K14" s="25">
        <f>'Fluxos Energia'!K12*'Energia Demanda Final'!K$4</f>
        <v>9.2764794933277663</v>
      </c>
      <c r="L14" s="25">
        <f>'Fluxos Energia'!L12*'Energia Demanda Final'!L$4</f>
        <v>320.25916739271395</v>
      </c>
      <c r="M14" s="25">
        <f>'Fluxos Energia'!M12*'Energia Demanda Final'!M$4</f>
        <v>51.574854700765279</v>
      </c>
      <c r="N14" s="25">
        <f>'Fluxos Energia'!N12*'Energia Demanda Final'!N$4</f>
        <v>7.0545402463384912</v>
      </c>
      <c r="O14" s="25">
        <f>'Fluxos Energia'!O12*'Energia Demanda Final'!O$4</f>
        <v>45.84699272805377</v>
      </c>
      <c r="P14" s="25">
        <f>'Fluxos Energia'!P12*'Energia Demanda Final'!P$4</f>
        <v>15.54422855021347</v>
      </c>
      <c r="Q14" s="25">
        <f>'Fluxos Energia'!Q12*'Energia Demanda Final'!Q$4</f>
        <v>20.103723026885707</v>
      </c>
      <c r="R14" s="25">
        <f>'Fluxos Energia'!R12*'Energia Demanda Final'!R$4</f>
        <v>27.292173896251398</v>
      </c>
      <c r="S14" s="25">
        <f>'Fluxos Energia'!S12*'Energia Demanda Final'!S$4</f>
        <v>409.22438999381251</v>
      </c>
      <c r="T14" s="25">
        <f>'Fluxos Energia'!T12*'Energia Demanda Final'!T$4</f>
        <v>2.8821871515810336</v>
      </c>
      <c r="U14" s="25">
        <f>'Fluxos Energia'!U12*'Energia Demanda Final'!U$4</f>
        <v>3.5882745022997669</v>
      </c>
      <c r="V14" s="25">
        <f>'Fluxos Energia'!V12*'Energia Demanda Final'!V$4</f>
        <v>1.0354803175362753E-2</v>
      </c>
      <c r="W14" s="25">
        <f>'Fluxos Energia'!W12*'Energia Demanda Final'!W$4</f>
        <v>1.3360811775888002E-3</v>
      </c>
      <c r="X14" s="25">
        <f>'Fluxos Energia'!X12*'Energia Demanda Final'!X$4</f>
        <v>22.775982220690135</v>
      </c>
      <c r="Y14" s="25">
        <f>'Fluxos Energia'!Y12*'Energia Demanda Final'!Y$4</f>
        <v>177.12730629175047</v>
      </c>
      <c r="Z14" s="25">
        <f>'Fluxos Energia'!Z12*'Energia Demanda Final'!Z$4</f>
        <v>35.106443994520127</v>
      </c>
      <c r="AA14" s="25">
        <f>'Fluxos Energia'!AA12*'Energia Demanda Final'!AA$4</f>
        <v>49.27062116961784</v>
      </c>
      <c r="AB14" s="25">
        <f>'Fluxos Energia'!AB12*'Energia Demanda Final'!AB$4</f>
        <v>64.364215197325748</v>
      </c>
      <c r="AC14" s="25">
        <f>'Fluxos Energia'!AC12*'Energia Demanda Final'!AC$4</f>
        <v>149.79965002401701</v>
      </c>
      <c r="AD14" s="25">
        <f>'Fluxos Energia'!AD12*'Energia Demanda Final'!AD$4</f>
        <v>165.98187802460393</v>
      </c>
      <c r="AE14" s="25">
        <f>'Fluxos Energia'!AE12*'Energia Demanda Final'!AE$4</f>
        <v>453.44666231487048</v>
      </c>
      <c r="AF14" s="25">
        <f>'Fluxos Energia'!AF12*'Energia Demanda Final'!AF$4</f>
        <v>108.99296168507443</v>
      </c>
      <c r="AG14" s="25">
        <f>'Fluxos Energia'!AG12*'Energia Demanda Final'!AG$4</f>
        <v>32.519465814301689</v>
      </c>
      <c r="AH14" s="25">
        <f>'Fluxos Energia'!AH12*'Energia Demanda Final'!AH$4</f>
        <v>0.54382694375215923</v>
      </c>
      <c r="AI14" s="25">
        <f>'Fluxos Energia'!AI12*'Energia Demanda Final'!AI$4</f>
        <v>1.3541169778523854</v>
      </c>
      <c r="AJ14" s="25">
        <f>'Fluxos Energia'!AJ12*'Energia Demanda Final'!AJ$4</f>
        <v>2.0053445391838709</v>
      </c>
      <c r="AK14" s="25">
        <f>'Fluxos Energia'!AK12*'Energia Demanda Final'!AK$4</f>
        <v>2.6864514352893942</v>
      </c>
      <c r="AL14" s="25">
        <f>'Fluxos Energia'!AL12*'Energia Demanda Final'!AL$4</f>
        <v>1.1135528596747628</v>
      </c>
      <c r="AM14" s="25">
        <f>'Fluxos Energia'!AM12*'Energia Demanda Final'!AM$4</f>
        <v>1.1339318196150985</v>
      </c>
      <c r="AN14" s="25">
        <f>'Fluxos Energia'!AN12*'Energia Demanda Final'!AN$4</f>
        <v>1.3420160980761446</v>
      </c>
      <c r="AO14" s="25">
        <f>'Fluxos Energia'!AO12*'Energia Demanda Final'!AO$4</f>
        <v>0.26396692623711293</v>
      </c>
      <c r="AP14" s="25">
        <f>'Fluxos Energia'!AP12*'Energia Demanda Final'!AP$4</f>
        <v>2298.9306321205431</v>
      </c>
      <c r="AQ14" s="25">
        <f>'Fluxos Energia'!AQ12*'Energia Demanda Final'!AQ$4</f>
        <v>84.582963160852572</v>
      </c>
      <c r="AR14" s="25">
        <f>'Fluxos Energia'!AR12*'Energia Demanda Final'!AR$4</f>
        <v>2.5063730070759343E-4</v>
      </c>
      <c r="AS14" s="25">
        <f>'Fluxos Energia'!AS12*'Energia Demanda Final'!AS$4</f>
        <v>135.01968995621675</v>
      </c>
      <c r="AT14" s="25">
        <f>'Fluxos Energia'!AT12*'Energia Demanda Final'!AT$4</f>
        <v>5.5249376871431144</v>
      </c>
      <c r="AU14" s="25">
        <f>'Fluxos Energia'!AU12*'Energia Demanda Final'!AU$4</f>
        <v>0.81110489274442388</v>
      </c>
      <c r="AV14" s="25">
        <f>'Fluxos Energia'!AV12*'Energia Demanda Final'!AV$4</f>
        <v>1.9463955257956813</v>
      </c>
      <c r="AW14" s="25">
        <f>'Fluxos Energia'!AW12*'Energia Demanda Final'!AW$4</f>
        <v>21.520049741280118</v>
      </c>
      <c r="AX14" s="40">
        <f>'Fluxos Energia'!AX12*'Energia Demanda Final'!AX$4</f>
        <v>656.08053520487897</v>
      </c>
      <c r="AY14" s="25">
        <f>'Fluxos Energia'!AY12*'Energia Demanda Final'!AY$4</f>
        <v>0</v>
      </c>
      <c r="AZ14" s="25">
        <f>'Fluxos Energia'!AZ12*'Energia Demanda Final'!AZ$4</f>
        <v>0</v>
      </c>
      <c r="BA14" s="25">
        <f>'Fluxos Energia'!BA12*'Energia Demanda Final'!BA$4</f>
        <v>0.79391608493797206</v>
      </c>
      <c r="BB14" s="25">
        <f>'Fluxos Energia'!BB12*'Energia Demanda Final'!BB$4</f>
        <v>1.2057594560368707</v>
      </c>
      <c r="BC14" s="25">
        <f>'Fluxos Energia'!BC12*'Energia Demanda Final'!BC$4</f>
        <v>3.0584859586126316</v>
      </c>
      <c r="BD14" s="25">
        <f>'Fluxos Energia'!BD12*'Energia Demanda Final'!BD$4</f>
        <v>0.10729296475607263</v>
      </c>
      <c r="BE14" s="25">
        <f>'Fluxos Energia'!BE12*'Energia Demanda Final'!BE$4</f>
        <v>4.1774486801444285E-2</v>
      </c>
      <c r="BF14" s="25">
        <f>'Fluxos Energia'!BF12*'Energia Demanda Final'!BF$4</f>
        <v>2.0111437298883907</v>
      </c>
      <c r="BG14" s="25">
        <f>'Fluxos Energia'!BG12*'Energia Demanda Final'!BG$4</f>
        <v>0.63201259011628663</v>
      </c>
      <c r="BH14" s="25">
        <f>'Fluxos Energia'!BH12*'Energia Demanda Final'!BH$4</f>
        <v>1.9779093114936439</v>
      </c>
      <c r="BI14" s="25">
        <f>'Fluxos Energia'!BI12*'Energia Demanda Final'!BI$4</f>
        <v>1.1167835158633563</v>
      </c>
      <c r="BJ14" s="25">
        <f>'Fluxos Energia'!BJ12*'Energia Demanda Final'!BJ$4</f>
        <v>0.32048552781130119</v>
      </c>
      <c r="BK14" s="25">
        <f>'Fluxos Energia'!BK12*'Energia Demanda Final'!BK$4</f>
        <v>0.26607833807700909</v>
      </c>
      <c r="BL14" s="25">
        <f>'Fluxos Energia'!BL12*'Energia Demanda Final'!BL$4</f>
        <v>2.0210602678502911E-2</v>
      </c>
      <c r="BM14" s="25">
        <f>'Fluxos Energia'!BM12*'Energia Demanda Final'!BM$4</f>
        <v>6.1371628964158181E-2</v>
      </c>
      <c r="BN14" s="25">
        <f>'Fluxos Energia'!BN12*'Energia Demanda Final'!BN$4</f>
        <v>3.0868476697116249</v>
      </c>
      <c r="BO14" s="25">
        <f>'Fluxos Energia'!BO12*'Energia Demanda Final'!BO$4</f>
        <v>2.2897660774622254E-3</v>
      </c>
      <c r="BP14" s="25">
        <f>'Fluxos Energia'!BP12*'Energia Demanda Final'!BP$4</f>
        <v>16.484838655891028</v>
      </c>
      <c r="BQ14" s="25">
        <f>'Fluxos Energia'!BQ12*'Energia Demanda Final'!BQ$4</f>
        <v>5.4986439763179806</v>
      </c>
      <c r="BR14" s="25">
        <f>'Fluxos Energia'!BR12*'Energia Demanda Final'!BR$4</f>
        <v>3.7232273553583455</v>
      </c>
      <c r="BS14" s="25">
        <f>'Fluxos Energia'!BS12*'Energia Demanda Final'!BS$4</f>
        <v>3.6451163282835122</v>
      </c>
      <c r="BT14" s="25">
        <f>'Fluxos Energia'!BT12*'Energia Demanda Final'!BT$4</f>
        <v>2.91496878749233</v>
      </c>
      <c r="BU14" s="25">
        <f>'Fluxos Energia'!BU12*'Energia Demanda Final'!BU$4</f>
        <v>1.5660912811902186</v>
      </c>
      <c r="BV14" s="25">
        <f>'Fluxos Energia'!BV12*'Energia Demanda Final'!BV$4</f>
        <v>4.4893869307857033</v>
      </c>
      <c r="BW14" s="25">
        <f>'Fluxos Energia'!BW12*'Energia Demanda Final'!BW$4</f>
        <v>0</v>
      </c>
    </row>
    <row r="15" spans="1:75" x14ac:dyDescent="0.3">
      <c r="A15" s="24" t="s">
        <v>2</v>
      </c>
      <c r="B15" s="24" t="s">
        <v>219</v>
      </c>
      <c r="C15" s="30">
        <f>SUM(C9:C14)</f>
        <v>3456.0463763966645</v>
      </c>
      <c r="D15" s="30">
        <f t="shared" ref="D15:BO15" si="0">SUM(D9:D14)</f>
        <v>857.35684121828569</v>
      </c>
      <c r="E15" s="30">
        <f t="shared" si="0"/>
        <v>197.47380024479693</v>
      </c>
      <c r="F15" s="30">
        <f t="shared" si="0"/>
        <v>41.472825180639894</v>
      </c>
      <c r="G15" s="30">
        <f t="shared" si="0"/>
        <v>227.08292866063377</v>
      </c>
      <c r="H15" s="30">
        <f t="shared" si="0"/>
        <v>1038.2950862001171</v>
      </c>
      <c r="I15" s="30">
        <f t="shared" si="0"/>
        <v>602.99948480587682</v>
      </c>
      <c r="J15" s="30">
        <f t="shared" si="0"/>
        <v>2461.5577555106056</v>
      </c>
      <c r="K15" s="30">
        <f t="shared" si="0"/>
        <v>448.9853007449284</v>
      </c>
      <c r="L15" s="30">
        <f t="shared" si="0"/>
        <v>2961.8122978158863</v>
      </c>
      <c r="M15" s="30">
        <f t="shared" si="0"/>
        <v>467.68821406997779</v>
      </c>
      <c r="N15" s="30">
        <f t="shared" si="0"/>
        <v>38.736861423984884</v>
      </c>
      <c r="O15" s="30">
        <f t="shared" si="0"/>
        <v>159.60502351767761</v>
      </c>
      <c r="P15" s="30">
        <f t="shared" si="0"/>
        <v>58.62716377508076</v>
      </c>
      <c r="Q15" s="30">
        <f t="shared" si="0"/>
        <v>76.102167841261263</v>
      </c>
      <c r="R15" s="30">
        <f t="shared" si="0"/>
        <v>96.110513870404645</v>
      </c>
      <c r="S15" s="30">
        <f t="shared" si="0"/>
        <v>1513.6084644761552</v>
      </c>
      <c r="T15" s="30">
        <f t="shared" si="0"/>
        <v>9.2380703035624077</v>
      </c>
      <c r="U15" s="30">
        <f t="shared" si="0"/>
        <v>2232.0909835802931</v>
      </c>
      <c r="V15" s="30">
        <f t="shared" si="0"/>
        <v>8.0931631109648325</v>
      </c>
      <c r="W15" s="30">
        <f t="shared" si="0"/>
        <v>5.3259777774322092</v>
      </c>
      <c r="X15" s="30">
        <f t="shared" si="0"/>
        <v>56.559274251456813</v>
      </c>
      <c r="Y15" s="30">
        <f t="shared" si="0"/>
        <v>412.7527545707552</v>
      </c>
      <c r="Z15" s="30">
        <f t="shared" si="0"/>
        <v>74.14423013368355</v>
      </c>
      <c r="AA15" s="30">
        <f t="shared" si="0"/>
        <v>114.42053837136007</v>
      </c>
      <c r="AB15" s="30">
        <f t="shared" si="0"/>
        <v>127.3551294266791</v>
      </c>
      <c r="AC15" s="30">
        <f t="shared" si="0"/>
        <v>294.2091748253132</v>
      </c>
      <c r="AD15" s="30">
        <f t="shared" si="0"/>
        <v>676.63839318932628</v>
      </c>
      <c r="AE15" s="30">
        <f t="shared" si="0"/>
        <v>1418.9270646379061</v>
      </c>
      <c r="AF15" s="30">
        <f t="shared" si="0"/>
        <v>1021.354763927739</v>
      </c>
      <c r="AG15" s="30">
        <f t="shared" si="0"/>
        <v>239.12034171705648</v>
      </c>
      <c r="AH15" s="30">
        <f t="shared" si="0"/>
        <v>14.751721897073267</v>
      </c>
      <c r="AI15" s="30">
        <f t="shared" si="0"/>
        <v>35.086651038113999</v>
      </c>
      <c r="AJ15" s="30">
        <f t="shared" si="0"/>
        <v>51.104213034455377</v>
      </c>
      <c r="AK15" s="30">
        <f t="shared" si="0"/>
        <v>74.808478460732331</v>
      </c>
      <c r="AL15" s="30">
        <f t="shared" si="0"/>
        <v>26.995610287039327</v>
      </c>
      <c r="AM15" s="30">
        <f t="shared" si="0"/>
        <v>27.863842308850277</v>
      </c>
      <c r="AN15" s="30">
        <f t="shared" si="0"/>
        <v>34.256672158014666</v>
      </c>
      <c r="AO15" s="30">
        <f t="shared" si="0"/>
        <v>6.868490572319625</v>
      </c>
      <c r="AP15" s="30">
        <f t="shared" si="0"/>
        <v>4253.3027053263395</v>
      </c>
      <c r="AQ15" s="30">
        <f t="shared" si="0"/>
        <v>292.37733525015653</v>
      </c>
      <c r="AR15" s="30">
        <f t="shared" si="0"/>
        <v>1.1961577789973479</v>
      </c>
      <c r="AS15" s="30">
        <f t="shared" si="0"/>
        <v>184.78314798078205</v>
      </c>
      <c r="AT15" s="30">
        <f t="shared" si="0"/>
        <v>561.53297248646209</v>
      </c>
      <c r="AU15" s="30">
        <f t="shared" si="0"/>
        <v>128.50765728824624</v>
      </c>
      <c r="AV15" s="30">
        <f t="shared" si="0"/>
        <v>164.71355522435317</v>
      </c>
      <c r="AW15" s="30">
        <f t="shared" si="0"/>
        <v>1835.1138894457188</v>
      </c>
      <c r="AX15" s="41">
        <f t="shared" si="0"/>
        <v>26116.054973403283</v>
      </c>
      <c r="AY15" s="30">
        <f t="shared" si="0"/>
        <v>444.83922356656905</v>
      </c>
      <c r="AZ15" s="30">
        <f t="shared" si="0"/>
        <v>1388.5411814264155</v>
      </c>
      <c r="BA15" s="30">
        <f t="shared" si="0"/>
        <v>65.38240652492108</v>
      </c>
      <c r="BB15" s="30">
        <f t="shared" si="0"/>
        <v>96.138739988446702</v>
      </c>
      <c r="BC15" s="30">
        <f t="shared" si="0"/>
        <v>270.95460548041859</v>
      </c>
      <c r="BD15" s="30">
        <f t="shared" si="0"/>
        <v>8.7104533745752004</v>
      </c>
      <c r="BE15" s="30">
        <f t="shared" si="0"/>
        <v>3.3650758092188187</v>
      </c>
      <c r="BF15" s="30">
        <f t="shared" si="0"/>
        <v>160.79280983840866</v>
      </c>
      <c r="BG15" s="30">
        <f t="shared" si="0"/>
        <v>52.112631188398247</v>
      </c>
      <c r="BH15" s="30">
        <f t="shared" si="0"/>
        <v>162.4725033479144</v>
      </c>
      <c r="BI15" s="30">
        <f t="shared" si="0"/>
        <v>91.635224272380697</v>
      </c>
      <c r="BJ15" s="30">
        <f t="shared" si="0"/>
        <v>27.246056505697688</v>
      </c>
      <c r="BK15" s="30">
        <f t="shared" si="0"/>
        <v>23.900711181080787</v>
      </c>
      <c r="BL15" s="30">
        <f t="shared" si="0"/>
        <v>1.7443368734101454</v>
      </c>
      <c r="BM15" s="30">
        <f t="shared" si="0"/>
        <v>6.7046282371166841</v>
      </c>
      <c r="BN15" s="30">
        <f t="shared" si="0"/>
        <v>245.40960843365579</v>
      </c>
      <c r="BO15" s="30">
        <f t="shared" si="0"/>
        <v>0.24705793906896109</v>
      </c>
      <c r="BP15" s="30">
        <f t="shared" ref="BP15:BW15" si="1">SUM(BP9:BP14)</f>
        <v>1831.9399797455558</v>
      </c>
      <c r="BQ15" s="30">
        <f t="shared" si="1"/>
        <v>581.02448542905506</v>
      </c>
      <c r="BR15" s="30">
        <f t="shared" si="1"/>
        <v>300.45683729157901</v>
      </c>
      <c r="BS15" s="30">
        <f t="shared" si="1"/>
        <v>375.58767356354991</v>
      </c>
      <c r="BT15" s="30">
        <f t="shared" si="1"/>
        <v>236.23168363887845</v>
      </c>
      <c r="BU15" s="30">
        <f t="shared" si="1"/>
        <v>129.07538172443478</v>
      </c>
      <c r="BV15" s="30">
        <f t="shared" si="1"/>
        <v>364.62983358459689</v>
      </c>
      <c r="BW15" s="30">
        <f t="shared" si="1"/>
        <v>0</v>
      </c>
    </row>
    <row r="16" spans="1:75" x14ac:dyDescent="0.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25.8" customHeight="1" x14ac:dyDescent="0.3">
      <c r="I17" s="5"/>
      <c r="J17" s="61"/>
      <c r="K17" s="61"/>
      <c r="L17" s="61"/>
      <c r="M17" s="5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33.6" customHeight="1" x14ac:dyDescent="0.3">
      <c r="I18" s="5"/>
      <c r="J18" s="53"/>
      <c r="K18" s="54"/>
      <c r="L18" s="54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BA18" s="2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x14ac:dyDescent="0.3">
      <c r="A19" s="45"/>
      <c r="B19" s="1"/>
      <c r="I19" s="5"/>
      <c r="J19" s="55"/>
      <c r="K19" s="56"/>
      <c r="L19" s="55"/>
      <c r="M19" s="5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BA19" s="5"/>
      <c r="BB19" s="5" t="e">
        <f>VLOOKUP(A19,'Fluxos Monetários'!$A$6:$BX$78,51,TRUE)</f>
        <v>#N/A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x14ac:dyDescent="0.3">
      <c r="A20" s="45"/>
      <c r="B20" s="1"/>
      <c r="I20" s="5"/>
      <c r="J20" s="55"/>
      <c r="K20" s="56"/>
      <c r="L20" s="55"/>
      <c r="M20" s="5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x14ac:dyDescent="0.3">
      <c r="A21" s="45"/>
      <c r="B21" s="1"/>
      <c r="J21" s="55"/>
      <c r="K21" s="56"/>
      <c r="L21" s="55"/>
      <c r="O21" s="5"/>
    </row>
    <row r="22" spans="1:75" x14ac:dyDescent="0.3">
      <c r="A22" s="35"/>
      <c r="B22" s="1"/>
      <c r="J22" s="55"/>
      <c r="K22" s="56"/>
      <c r="L22" s="55"/>
      <c r="O22" s="5"/>
    </row>
    <row r="23" spans="1:75" x14ac:dyDescent="0.3">
      <c r="A23" s="35"/>
      <c r="B23" s="1"/>
      <c r="J23" s="55"/>
      <c r="K23" s="56"/>
      <c r="L23" s="55"/>
      <c r="O23" s="5"/>
    </row>
    <row r="24" spans="1:75" x14ac:dyDescent="0.3">
      <c r="A24" s="45"/>
      <c r="B24" s="1"/>
      <c r="J24" s="55"/>
      <c r="K24" s="56"/>
      <c r="L24" s="55"/>
      <c r="O24" s="5"/>
    </row>
    <row r="25" spans="1:75" x14ac:dyDescent="0.3">
      <c r="B25" s="24"/>
      <c r="J25" s="57"/>
      <c r="K25" s="57"/>
      <c r="L25" s="57"/>
    </row>
    <row r="27" spans="1:75" x14ac:dyDescent="0.3">
      <c r="L27" s="58"/>
      <c r="M27" s="29"/>
    </row>
    <row r="28" spans="1:75" x14ac:dyDescent="0.3">
      <c r="L28" s="58"/>
      <c r="M28" s="29"/>
    </row>
    <row r="29" spans="1:75" x14ac:dyDescent="0.3">
      <c r="L29" s="59"/>
      <c r="M29" s="29"/>
    </row>
    <row r="30" spans="1:75" x14ac:dyDescent="0.3">
      <c r="L30" s="60"/>
      <c r="M30" s="29"/>
    </row>
    <row r="31" spans="1:75" x14ac:dyDescent="0.3">
      <c r="L31" s="60"/>
      <c r="M31" s="29"/>
    </row>
    <row r="32" spans="1:75" x14ac:dyDescent="0.3">
      <c r="L32" s="60"/>
      <c r="M32" s="29"/>
    </row>
  </sheetData>
  <mergeCells count="3">
    <mergeCell ref="A3:B3"/>
    <mergeCell ref="A4:B4"/>
    <mergeCell ref="A6:B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29-9592-410F-86B4-14B41643DA4E}">
  <sheetPr codeName="Planilha7"/>
  <dimension ref="A1:CJ15"/>
  <sheetViews>
    <sheetView showGridLines="0" workbookViewId="0">
      <pane xSplit="2" topLeftCell="C1" activePane="topRight" state="frozen"/>
      <selection pane="topRight" activeCell="C9" sqref="A8:C9"/>
    </sheetView>
  </sheetViews>
  <sheetFormatPr defaultRowHeight="14.4" x14ac:dyDescent="0.3"/>
  <cols>
    <col min="1" max="1" width="20.44140625" customWidth="1"/>
    <col min="2" max="2" width="12" customWidth="1"/>
    <col min="3" max="4" width="12.33203125" bestFit="1" customWidth="1"/>
    <col min="5" max="6" width="10.77734375" bestFit="1" customWidth="1"/>
    <col min="7" max="9" width="9.77734375" bestFit="1" customWidth="1"/>
    <col min="10" max="11" width="10.77734375" bestFit="1" customWidth="1"/>
    <col min="12" max="12" width="12.33203125" bestFit="1" customWidth="1"/>
    <col min="13" max="13" width="10.77734375" bestFit="1" customWidth="1"/>
    <col min="14" max="14" width="9.77734375" bestFit="1" customWidth="1"/>
    <col min="15" max="15" width="10.77734375" bestFit="1" customWidth="1"/>
    <col min="16" max="16" width="12.33203125" bestFit="1" customWidth="1"/>
    <col min="17" max="20" width="10.77734375" bestFit="1" customWidth="1"/>
    <col min="21" max="21" width="9.77734375" bestFit="1" customWidth="1"/>
    <col min="22" max="23" width="9" bestFit="1" customWidth="1"/>
    <col min="24" max="26" width="9.77734375" bestFit="1" customWidth="1"/>
    <col min="27" max="31" width="10.77734375" bestFit="1" customWidth="1"/>
    <col min="32" max="32" width="9.77734375" bestFit="1" customWidth="1"/>
    <col min="33" max="38" width="10.77734375" bestFit="1" customWidth="1"/>
    <col min="39" max="39" width="9.77734375" bestFit="1" customWidth="1"/>
    <col min="40" max="41" width="10.77734375" bestFit="1" customWidth="1"/>
    <col min="42" max="45" width="9.77734375" bestFit="1" customWidth="1"/>
    <col min="46" max="46" width="10.77734375" bestFit="1" customWidth="1"/>
    <col min="47" max="48" width="12.33203125" bestFit="1" customWidth="1"/>
    <col min="49" max="49" width="13.44140625" bestFit="1" customWidth="1"/>
    <col min="50" max="50" width="12.33203125" bestFit="1" customWidth="1"/>
    <col min="51" max="52" width="9.77734375" bestFit="1" customWidth="1"/>
    <col min="53" max="54" width="10.77734375" bestFit="1" customWidth="1"/>
    <col min="55" max="55" width="12.33203125" bestFit="1" customWidth="1"/>
    <col min="56" max="59" width="10.77734375" bestFit="1" customWidth="1"/>
    <col min="60" max="60" width="12.33203125" bestFit="1" customWidth="1"/>
    <col min="61" max="61" width="10.77734375" bestFit="1" customWidth="1"/>
    <col min="62" max="62" width="12.33203125" bestFit="1" customWidth="1"/>
    <col min="63" max="65" width="10.77734375" bestFit="1" customWidth="1"/>
    <col min="66" max="66" width="12.33203125" bestFit="1" customWidth="1"/>
    <col min="67" max="67" width="10.77734375" bestFit="1" customWidth="1"/>
    <col min="68" max="72" width="12.33203125" bestFit="1" customWidth="1"/>
    <col min="73" max="73" width="10.77734375" bestFit="1" customWidth="1"/>
    <col min="74" max="75" width="12.33203125" bestFit="1" customWidth="1"/>
  </cols>
  <sheetData>
    <row r="1" spans="1:88" x14ac:dyDescent="0.3">
      <c r="A1" t="s">
        <v>201</v>
      </c>
    </row>
    <row r="5" spans="1:88" s="5" customFormat="1" x14ac:dyDescent="0.3">
      <c r="A5" s="3"/>
      <c r="B5" s="4"/>
      <c r="C5" s="28" t="s">
        <v>10</v>
      </c>
      <c r="D5" s="28" t="s">
        <v>11</v>
      </c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8" t="s">
        <v>21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  <c r="V5" s="28" t="s">
        <v>29</v>
      </c>
      <c r="W5" s="28" t="s">
        <v>30</v>
      </c>
      <c r="X5" s="28" t="s">
        <v>31</v>
      </c>
      <c r="Y5" s="28" t="s">
        <v>32</v>
      </c>
      <c r="Z5" s="28" t="s">
        <v>33</v>
      </c>
      <c r="AA5" s="28" t="s">
        <v>34</v>
      </c>
      <c r="AB5" s="28" t="s">
        <v>35</v>
      </c>
      <c r="AC5" s="28" t="s">
        <v>36</v>
      </c>
      <c r="AD5" s="28" t="s">
        <v>37</v>
      </c>
      <c r="AE5" s="28" t="s">
        <v>38</v>
      </c>
      <c r="AF5" s="28" t="s">
        <v>39</v>
      </c>
      <c r="AG5" s="28" t="s">
        <v>40</v>
      </c>
      <c r="AH5" s="28" t="s">
        <v>41</v>
      </c>
      <c r="AI5" s="28" t="s">
        <v>42</v>
      </c>
      <c r="AJ5" s="28" t="s">
        <v>43</v>
      </c>
      <c r="AK5" s="28" t="s">
        <v>44</v>
      </c>
      <c r="AL5" s="28" t="s">
        <v>45</v>
      </c>
      <c r="AM5" s="28" t="s">
        <v>46</v>
      </c>
      <c r="AN5" s="28" t="s">
        <v>47</v>
      </c>
      <c r="AO5" s="28" t="s">
        <v>48</v>
      </c>
      <c r="AP5" s="28" t="s">
        <v>49</v>
      </c>
      <c r="AQ5" s="28" t="s">
        <v>50</v>
      </c>
      <c r="AR5" s="28" t="s">
        <v>51</v>
      </c>
      <c r="AS5" s="28" t="s">
        <v>52</v>
      </c>
      <c r="AT5" s="28" t="s">
        <v>53</v>
      </c>
      <c r="AU5" s="28" t="s">
        <v>54</v>
      </c>
      <c r="AV5" s="28" t="s">
        <v>55</v>
      </c>
      <c r="AW5" s="28" t="s">
        <v>56</v>
      </c>
      <c r="AX5" s="34" t="s">
        <v>57</v>
      </c>
      <c r="AY5" s="28" t="s">
        <v>58</v>
      </c>
      <c r="AZ5" s="28" t="s">
        <v>59</v>
      </c>
      <c r="BA5" s="28" t="s">
        <v>60</v>
      </c>
      <c r="BB5" s="28" t="s">
        <v>61</v>
      </c>
      <c r="BC5" s="28" t="s">
        <v>62</v>
      </c>
      <c r="BD5" s="28" t="s">
        <v>63</v>
      </c>
      <c r="BE5" s="28" t="s">
        <v>64</v>
      </c>
      <c r="BF5" s="28" t="s">
        <v>65</v>
      </c>
      <c r="BG5" s="28" t="s">
        <v>66</v>
      </c>
      <c r="BH5" s="28" t="s">
        <v>67</v>
      </c>
      <c r="BI5" s="28" t="s">
        <v>68</v>
      </c>
      <c r="BJ5" s="28" t="s">
        <v>69</v>
      </c>
      <c r="BK5" s="28" t="s">
        <v>70</v>
      </c>
      <c r="BL5" s="28" t="s">
        <v>71</v>
      </c>
      <c r="BM5" s="28" t="s">
        <v>72</v>
      </c>
      <c r="BN5" s="28" t="s">
        <v>73</v>
      </c>
      <c r="BO5" s="28" t="s">
        <v>74</v>
      </c>
      <c r="BP5" s="28" t="s">
        <v>75</v>
      </c>
      <c r="BQ5" s="28" t="s">
        <v>76</v>
      </c>
      <c r="BR5" s="28" t="s">
        <v>77</v>
      </c>
      <c r="BS5" s="28" t="s">
        <v>78</v>
      </c>
      <c r="BT5" s="28" t="s">
        <v>79</v>
      </c>
      <c r="BU5" s="28" t="s">
        <v>80</v>
      </c>
      <c r="BV5" s="28" t="s">
        <v>81</v>
      </c>
      <c r="BW5" s="28" t="s">
        <v>82</v>
      </c>
      <c r="BX5"/>
      <c r="BY5"/>
      <c r="BZ5"/>
      <c r="CA5"/>
      <c r="CB5"/>
      <c r="CC5"/>
      <c r="CD5"/>
      <c r="CE5"/>
      <c r="CF5"/>
      <c r="CG5"/>
      <c r="CH5"/>
    </row>
    <row r="6" spans="1:88" s="5" customFormat="1" ht="36.75" customHeight="1" x14ac:dyDescent="0.3">
      <c r="A6" s="9" t="s">
        <v>214</v>
      </c>
      <c r="B6" s="4"/>
      <c r="C6" s="10" t="s">
        <v>84</v>
      </c>
      <c r="D6" s="10" t="s">
        <v>85</v>
      </c>
      <c r="E6" s="10" t="s">
        <v>86</v>
      </c>
      <c r="F6" s="10" t="s">
        <v>87</v>
      </c>
      <c r="G6" s="21" t="s">
        <v>88</v>
      </c>
      <c r="H6" s="10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 t="s">
        <v>97</v>
      </c>
      <c r="Q6" s="10" t="s">
        <v>98</v>
      </c>
      <c r="R6" s="10" t="s">
        <v>99</v>
      </c>
      <c r="S6" s="10" t="s">
        <v>100</v>
      </c>
      <c r="T6" s="10" t="s">
        <v>101</v>
      </c>
      <c r="U6" s="21" t="s">
        <v>102</v>
      </c>
      <c r="V6" s="21" t="s">
        <v>103</v>
      </c>
      <c r="W6" s="10" t="s">
        <v>104</v>
      </c>
      <c r="X6" s="21" t="s">
        <v>105</v>
      </c>
      <c r="Y6" s="10" t="s">
        <v>106</v>
      </c>
      <c r="Z6" s="10" t="s">
        <v>107</v>
      </c>
      <c r="AA6" s="10" t="s">
        <v>108</v>
      </c>
      <c r="AB6" s="10" t="s">
        <v>109</v>
      </c>
      <c r="AC6" s="10" t="s">
        <v>110</v>
      </c>
      <c r="AD6" s="10" t="s">
        <v>111</v>
      </c>
      <c r="AE6" s="10" t="s">
        <v>112</v>
      </c>
      <c r="AF6" s="10" t="s">
        <v>113</v>
      </c>
      <c r="AG6" s="10" t="s">
        <v>114</v>
      </c>
      <c r="AH6" s="10" t="s">
        <v>115</v>
      </c>
      <c r="AI6" s="10" t="s">
        <v>116</v>
      </c>
      <c r="AJ6" s="10" t="s">
        <v>117</v>
      </c>
      <c r="AK6" s="10" t="s">
        <v>118</v>
      </c>
      <c r="AL6" s="10" t="s">
        <v>119</v>
      </c>
      <c r="AM6" s="10" t="s">
        <v>120</v>
      </c>
      <c r="AN6" s="10" t="s">
        <v>121</v>
      </c>
      <c r="AO6" s="10" t="s">
        <v>122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10" t="s">
        <v>127</v>
      </c>
      <c r="AU6" s="10" t="s">
        <v>128</v>
      </c>
      <c r="AV6" s="10" t="s">
        <v>129</v>
      </c>
      <c r="AW6" s="10" t="s">
        <v>130</v>
      </c>
      <c r="AX6" s="32" t="s">
        <v>131</v>
      </c>
      <c r="AY6" s="10" t="s">
        <v>132</v>
      </c>
      <c r="AZ6" s="10" t="s">
        <v>133</v>
      </c>
      <c r="BA6" s="10" t="s">
        <v>134</v>
      </c>
      <c r="BB6" s="10" t="s">
        <v>135</v>
      </c>
      <c r="BC6" s="10" t="s">
        <v>136</v>
      </c>
      <c r="BD6" s="10" t="s">
        <v>137</v>
      </c>
      <c r="BE6" s="10" t="s">
        <v>138</v>
      </c>
      <c r="BF6" s="10" t="s">
        <v>139</v>
      </c>
      <c r="BG6" s="10" t="s">
        <v>140</v>
      </c>
      <c r="BH6" s="10" t="s">
        <v>141</v>
      </c>
      <c r="BI6" s="10" t="s">
        <v>142</v>
      </c>
      <c r="BJ6" s="10" t="s">
        <v>143</v>
      </c>
      <c r="BK6" s="10" t="s">
        <v>144</v>
      </c>
      <c r="BL6" s="10" t="s">
        <v>145</v>
      </c>
      <c r="BM6" s="10" t="s">
        <v>146</v>
      </c>
      <c r="BN6" s="10" t="s">
        <v>147</v>
      </c>
      <c r="BO6" s="10" t="s">
        <v>148</v>
      </c>
      <c r="BP6" s="10" t="s">
        <v>149</v>
      </c>
      <c r="BQ6" s="10" t="s">
        <v>150</v>
      </c>
      <c r="BR6" s="10" t="s">
        <v>151</v>
      </c>
      <c r="BS6" s="10" t="s">
        <v>152</v>
      </c>
      <c r="BT6" s="10" t="s">
        <v>153</v>
      </c>
      <c r="BU6" s="10" t="s">
        <v>154</v>
      </c>
      <c r="BV6" s="10" t="s">
        <v>155</v>
      </c>
      <c r="BW6" s="10" t="s">
        <v>156</v>
      </c>
      <c r="BX6"/>
      <c r="BY6"/>
      <c r="BZ6"/>
      <c r="CA6"/>
      <c r="CB6"/>
      <c r="CC6"/>
      <c r="CD6"/>
      <c r="CE6"/>
      <c r="CF6"/>
      <c r="CG6"/>
      <c r="CH6"/>
    </row>
    <row r="7" spans="1:88" s="5" customFormat="1" x14ac:dyDescent="0.3">
      <c r="C7" s="25">
        <v>1</v>
      </c>
      <c r="D7" s="25">
        <v>2</v>
      </c>
      <c r="E7" s="25">
        <v>3</v>
      </c>
      <c r="F7" s="25">
        <v>4</v>
      </c>
      <c r="G7" s="25">
        <v>5</v>
      </c>
      <c r="H7" s="25">
        <v>6</v>
      </c>
      <c r="I7" s="25">
        <v>7</v>
      </c>
      <c r="J7" s="25">
        <v>8</v>
      </c>
      <c r="K7" s="25">
        <v>9</v>
      </c>
      <c r="L7" s="25">
        <v>10</v>
      </c>
      <c r="M7" s="25">
        <v>11</v>
      </c>
      <c r="N7" s="25">
        <v>12</v>
      </c>
      <c r="O7" s="25">
        <v>13</v>
      </c>
      <c r="P7" s="25">
        <v>14</v>
      </c>
      <c r="Q7" s="25">
        <v>15</v>
      </c>
      <c r="R7" s="25">
        <v>16</v>
      </c>
      <c r="S7" s="25">
        <v>17</v>
      </c>
      <c r="T7" s="25">
        <v>18</v>
      </c>
      <c r="U7" s="25">
        <v>19</v>
      </c>
      <c r="V7" s="25">
        <v>20</v>
      </c>
      <c r="W7" s="25">
        <v>21</v>
      </c>
      <c r="X7" s="25">
        <v>22</v>
      </c>
      <c r="Y7" s="25">
        <v>23</v>
      </c>
      <c r="Z7" s="25">
        <v>24</v>
      </c>
      <c r="AA7" s="25">
        <v>25</v>
      </c>
      <c r="AB7" s="25">
        <v>26</v>
      </c>
      <c r="AC7" s="25">
        <v>27</v>
      </c>
      <c r="AD7" s="25">
        <v>28</v>
      </c>
      <c r="AE7" s="25">
        <v>29</v>
      </c>
      <c r="AF7" s="25">
        <v>30</v>
      </c>
      <c r="AG7" s="25">
        <v>31</v>
      </c>
      <c r="AH7" s="25">
        <v>32</v>
      </c>
      <c r="AI7" s="25">
        <v>33</v>
      </c>
      <c r="AJ7" s="25">
        <v>34</v>
      </c>
      <c r="AK7" s="25">
        <v>35</v>
      </c>
      <c r="AL7" s="25">
        <v>36</v>
      </c>
      <c r="AM7" s="25">
        <v>37</v>
      </c>
      <c r="AN7" s="25">
        <v>38</v>
      </c>
      <c r="AO7" s="25">
        <v>39</v>
      </c>
      <c r="AP7" s="25">
        <v>40</v>
      </c>
      <c r="AQ7" s="25">
        <v>41</v>
      </c>
      <c r="AR7" s="25">
        <v>42</v>
      </c>
      <c r="AS7" s="25">
        <v>43</v>
      </c>
      <c r="AT7" s="25">
        <v>44</v>
      </c>
      <c r="AU7" s="25">
        <v>45</v>
      </c>
      <c r="AV7" s="25">
        <v>46</v>
      </c>
      <c r="AW7" s="25">
        <v>47</v>
      </c>
      <c r="AX7" s="40">
        <v>48</v>
      </c>
      <c r="AY7" s="25">
        <v>49</v>
      </c>
      <c r="AZ7" s="25">
        <v>50</v>
      </c>
      <c r="BA7" s="25">
        <v>51</v>
      </c>
      <c r="BB7" s="25">
        <v>52</v>
      </c>
      <c r="BC7" s="25">
        <v>53</v>
      </c>
      <c r="BD7" s="25">
        <v>54</v>
      </c>
      <c r="BE7" s="25">
        <v>55</v>
      </c>
      <c r="BF7" s="25">
        <v>56</v>
      </c>
      <c r="BG7" s="25">
        <v>57</v>
      </c>
      <c r="BH7" s="25">
        <v>58</v>
      </c>
      <c r="BI7" s="25">
        <v>59</v>
      </c>
      <c r="BJ7" s="25">
        <v>60</v>
      </c>
      <c r="BK7" s="25">
        <v>61</v>
      </c>
      <c r="BL7" s="25">
        <v>62</v>
      </c>
      <c r="BM7" s="25">
        <v>63</v>
      </c>
      <c r="BN7" s="25">
        <v>64</v>
      </c>
      <c r="BO7" s="25">
        <v>65</v>
      </c>
      <c r="BP7" s="25">
        <v>66</v>
      </c>
      <c r="BQ7" s="25">
        <v>67</v>
      </c>
      <c r="BR7" s="25">
        <v>68</v>
      </c>
      <c r="BS7" s="25">
        <v>69</v>
      </c>
      <c r="BT7" s="25">
        <v>70</v>
      </c>
      <c r="BU7" s="25">
        <v>71</v>
      </c>
      <c r="BV7" s="25">
        <v>72</v>
      </c>
      <c r="BW7" s="25">
        <v>73</v>
      </c>
      <c r="BX7"/>
      <c r="BY7"/>
      <c r="BZ7"/>
      <c r="CA7"/>
      <c r="CB7"/>
      <c r="CC7"/>
      <c r="CD7"/>
      <c r="CE7"/>
      <c r="CF7"/>
      <c r="CG7"/>
      <c r="CH7"/>
    </row>
    <row r="8" spans="1:88" s="1" customFormat="1" x14ac:dyDescent="0.3">
      <c r="A8" s="1" t="s">
        <v>202</v>
      </c>
      <c r="B8" s="20" t="s">
        <v>203</v>
      </c>
      <c r="C8" s="26">
        <v>4819730.9376112465</v>
      </c>
      <c r="D8" s="26">
        <v>4201684.574000095</v>
      </c>
      <c r="E8" s="26">
        <v>535573.00773491431</v>
      </c>
      <c r="F8" s="26">
        <v>28367.366666966376</v>
      </c>
      <c r="G8" s="26">
        <v>1230.3817094315868</v>
      </c>
      <c r="H8" s="26">
        <v>523.67681695203373</v>
      </c>
      <c r="I8" s="26">
        <v>13390.57013545165</v>
      </c>
      <c r="J8" s="26">
        <v>100067.16687916103</v>
      </c>
      <c r="K8" s="26">
        <v>4978.5594377991483</v>
      </c>
      <c r="L8" s="26">
        <v>271166.55160194496</v>
      </c>
      <c r="M8" s="26">
        <v>14892.19055850451</v>
      </c>
      <c r="N8" s="26">
        <v>979.44992935436665</v>
      </c>
      <c r="O8" s="26">
        <v>248505.81134527811</v>
      </c>
      <c r="P8" s="26">
        <v>767757.60934639117</v>
      </c>
      <c r="Q8" s="26">
        <v>72800.933471459008</v>
      </c>
      <c r="R8" s="26">
        <v>141744.50274566963</v>
      </c>
      <c r="S8" s="26">
        <v>18359.925335136526</v>
      </c>
      <c r="T8" s="26">
        <v>35117.506289199664</v>
      </c>
      <c r="U8" s="26">
        <v>592.85293736396784</v>
      </c>
      <c r="V8" s="26">
        <v>82.3501774666952</v>
      </c>
      <c r="W8" s="26">
        <v>8.2008475485505627</v>
      </c>
      <c r="X8" s="26">
        <v>1271.1615707657759</v>
      </c>
      <c r="Y8" s="26">
        <v>6123.1643086861122</v>
      </c>
      <c r="Z8" s="26">
        <v>6525.6694745627155</v>
      </c>
      <c r="AA8" s="26">
        <v>13267.474990484572</v>
      </c>
      <c r="AB8" s="26">
        <v>2512.797080758578</v>
      </c>
      <c r="AC8" s="26">
        <v>29041.406073690283</v>
      </c>
      <c r="AD8" s="26">
        <v>124638.7819923928</v>
      </c>
      <c r="AE8" s="26">
        <v>2724.0185043313027</v>
      </c>
      <c r="AF8" s="26">
        <v>9524.6049412645261</v>
      </c>
      <c r="AG8" s="26">
        <v>145694.59649110024</v>
      </c>
      <c r="AH8" s="26">
        <v>3975.9219471133833</v>
      </c>
      <c r="AI8" s="26">
        <v>4079.5749613822163</v>
      </c>
      <c r="AJ8" s="26">
        <v>24461.295464051051</v>
      </c>
      <c r="AK8" s="26">
        <v>3412.621796847021</v>
      </c>
      <c r="AL8" s="26">
        <v>11148.246801457428</v>
      </c>
      <c r="AM8" s="26">
        <v>5196.3799744637599</v>
      </c>
      <c r="AN8" s="26">
        <v>210998.27604952743</v>
      </c>
      <c r="AO8" s="26">
        <v>105970.00140818594</v>
      </c>
      <c r="AP8" s="26">
        <v>5761.3389419114919</v>
      </c>
      <c r="AQ8" s="26">
        <v>914.60733423054944</v>
      </c>
      <c r="AR8" s="26">
        <v>700.78994058949615</v>
      </c>
      <c r="AS8" s="26">
        <v>1526.7022961907624</v>
      </c>
      <c r="AT8" s="26">
        <v>154863.8982223428</v>
      </c>
      <c r="AU8" s="26">
        <v>4477219.297262894</v>
      </c>
      <c r="AV8" s="26">
        <v>969171.12137996824</v>
      </c>
      <c r="AW8" s="26">
        <v>5319010.797695783</v>
      </c>
      <c r="AX8" s="51">
        <v>1195108.5820810429</v>
      </c>
      <c r="AY8" s="26">
        <v>10118.554333247395</v>
      </c>
      <c r="AZ8" s="26">
        <v>3978.8755079823186</v>
      </c>
      <c r="BA8" s="26">
        <v>169268.14961775122</v>
      </c>
      <c r="BB8" s="26">
        <v>71581.108687230051</v>
      </c>
      <c r="BC8" s="26">
        <v>2725275.4748019022</v>
      </c>
      <c r="BD8" s="26">
        <v>23683.132422412353</v>
      </c>
      <c r="BE8" s="26">
        <v>31086.991931136501</v>
      </c>
      <c r="BF8" s="26">
        <v>19217.124906673082</v>
      </c>
      <c r="BG8" s="26">
        <v>128444.15780833531</v>
      </c>
      <c r="BH8" s="26">
        <v>103213.61666204875</v>
      </c>
      <c r="BI8" s="26">
        <v>155662.31920782686</v>
      </c>
      <c r="BJ8" s="26">
        <v>410674.42205667007</v>
      </c>
      <c r="BK8" s="26">
        <v>132961.70090559308</v>
      </c>
      <c r="BL8" s="26">
        <v>204704.12143473988</v>
      </c>
      <c r="BM8" s="26">
        <v>77034.320424898149</v>
      </c>
      <c r="BN8" s="26">
        <v>508233.44596843625</v>
      </c>
      <c r="BO8" s="26">
        <v>77669.055416393967</v>
      </c>
      <c r="BP8" s="26">
        <v>0</v>
      </c>
      <c r="BQ8" s="26">
        <v>243134.40482903412</v>
      </c>
      <c r="BR8" s="26">
        <v>537381.87079493143</v>
      </c>
      <c r="BS8" s="26">
        <v>92213.428004052854</v>
      </c>
      <c r="BT8" s="26">
        <v>487852.09553160286</v>
      </c>
      <c r="BU8" s="26">
        <v>530092.77616968378</v>
      </c>
      <c r="BV8" s="26">
        <v>2467093.3314037151</v>
      </c>
      <c r="BW8" s="26">
        <v>3972770.9437564551</v>
      </c>
      <c r="BX8"/>
      <c r="BY8"/>
      <c r="BZ8"/>
      <c r="CA8"/>
      <c r="CB8"/>
      <c r="CC8"/>
      <c r="CD8"/>
      <c r="CE8"/>
      <c r="CF8"/>
      <c r="CG8"/>
      <c r="CH8"/>
      <c r="CI8" s="2"/>
      <c r="CJ8" s="2"/>
    </row>
    <row r="9" spans="1:88" s="1" customFormat="1" x14ac:dyDescent="0.3">
      <c r="B9" s="20" t="s">
        <v>204</v>
      </c>
      <c r="C9" s="26">
        <v>1867868.0623887535</v>
      </c>
      <c r="D9" s="26">
        <v>1689641.425999905</v>
      </c>
      <c r="E9" s="26">
        <v>265522.99226508569</v>
      </c>
      <c r="F9" s="26">
        <v>89908.63333303362</v>
      </c>
      <c r="G9" s="26">
        <v>48913.618290568411</v>
      </c>
      <c r="H9" s="26">
        <v>34916.323183047964</v>
      </c>
      <c r="I9" s="26">
        <v>15558.429864548354</v>
      </c>
      <c r="J9" s="26">
        <v>665134.83312083897</v>
      </c>
      <c r="K9" s="26">
        <v>151463.44056220085</v>
      </c>
      <c r="L9" s="26">
        <v>1013967.4483980548</v>
      </c>
      <c r="M9" s="26">
        <v>176063.80944149551</v>
      </c>
      <c r="N9" s="26">
        <v>16804.550070645633</v>
      </c>
      <c r="O9" s="26">
        <v>383651.18865472183</v>
      </c>
      <c r="P9" s="26">
        <v>908828.39065360872</v>
      </c>
      <c r="Q9" s="26">
        <v>395734.06652854098</v>
      </c>
      <c r="R9" s="26">
        <v>234652.49725433037</v>
      </c>
      <c r="S9" s="26">
        <v>183417.0746648635</v>
      </c>
      <c r="T9" s="26">
        <v>145475.49371080034</v>
      </c>
      <c r="U9" s="26">
        <v>18250.114562636034</v>
      </c>
      <c r="V9" s="26">
        <v>2535.0303225333037</v>
      </c>
      <c r="W9" s="26">
        <v>252.45115245144945</v>
      </c>
      <c r="X9" s="26">
        <v>96983.838429234238</v>
      </c>
      <c r="Y9" s="26">
        <v>86161.835691313885</v>
      </c>
      <c r="Z9" s="26">
        <v>78785.330525437283</v>
      </c>
      <c r="AA9" s="26">
        <v>124186.52500951542</v>
      </c>
      <c r="AB9" s="26">
        <v>101601.20291924142</v>
      </c>
      <c r="AC9" s="26">
        <v>415585.59392630972</v>
      </c>
      <c r="AD9" s="26">
        <v>438906.21800760721</v>
      </c>
      <c r="AE9" s="26">
        <v>120085.9814956687</v>
      </c>
      <c r="AF9" s="26">
        <v>90683.395058735478</v>
      </c>
      <c r="AG9" s="26">
        <v>523788.40350889979</v>
      </c>
      <c r="AH9" s="26">
        <v>123257.0780528866</v>
      </c>
      <c r="AI9" s="26">
        <v>194252.42503861777</v>
      </c>
      <c r="AJ9" s="26">
        <v>353917.70453594893</v>
      </c>
      <c r="AK9" s="26">
        <v>157210.37820315297</v>
      </c>
      <c r="AL9" s="26">
        <v>293871.75319854257</v>
      </c>
      <c r="AM9" s="26">
        <v>76141.620025536235</v>
      </c>
      <c r="AN9" s="26">
        <v>533312.72395047254</v>
      </c>
      <c r="AO9" s="26">
        <v>426630.99859181407</v>
      </c>
      <c r="AP9" s="26">
        <v>96736.652637003412</v>
      </c>
      <c r="AQ9" s="26">
        <v>15356.855911928318</v>
      </c>
      <c r="AR9" s="26">
        <v>11766.721891876814</v>
      </c>
      <c r="AS9" s="26">
        <v>25634.331046269159</v>
      </c>
      <c r="AT9" s="26">
        <v>409041.10177765723</v>
      </c>
      <c r="AU9" s="26">
        <v>3140655.7027371065</v>
      </c>
      <c r="AV9" s="26">
        <v>1999677.8786200315</v>
      </c>
      <c r="AW9" s="26">
        <v>10974644.202304216</v>
      </c>
      <c r="AX9" s="51">
        <v>2881516.4179189568</v>
      </c>
      <c r="AY9" s="26">
        <v>42614.445666752603</v>
      </c>
      <c r="AZ9" s="26">
        <v>56550.124492017683</v>
      </c>
      <c r="BA9" s="26">
        <v>639207.85038224875</v>
      </c>
      <c r="BB9" s="26">
        <v>367029.89131276996</v>
      </c>
      <c r="BC9" s="26">
        <v>2896932.5251980983</v>
      </c>
      <c r="BD9" s="26">
        <v>112428.86757758765</v>
      </c>
      <c r="BE9" s="26">
        <v>135518.00806886351</v>
      </c>
      <c r="BF9" s="26">
        <v>232888.87509332693</v>
      </c>
      <c r="BG9" s="26">
        <v>623572.84219166473</v>
      </c>
      <c r="BH9" s="26">
        <v>1137929.3833379515</v>
      </c>
      <c r="BI9" s="26">
        <v>310746.68079217314</v>
      </c>
      <c r="BJ9" s="26">
        <v>1477068.5779433297</v>
      </c>
      <c r="BK9" s="26">
        <v>497590.29909440695</v>
      </c>
      <c r="BL9" s="26">
        <v>408304.87856526015</v>
      </c>
      <c r="BM9" s="26">
        <v>221420.67957510185</v>
      </c>
      <c r="BN9" s="26">
        <v>3670467.5540315639</v>
      </c>
      <c r="BO9" s="26">
        <v>704243.94458360609</v>
      </c>
      <c r="BP9" s="26">
        <v>4825230</v>
      </c>
      <c r="BQ9" s="26">
        <v>3958904.5951709659</v>
      </c>
      <c r="BR9" s="26">
        <v>2341285.1292050686</v>
      </c>
      <c r="BS9" s="26">
        <v>2126358.571995947</v>
      </c>
      <c r="BT9" s="26">
        <v>2940149.9044683971</v>
      </c>
      <c r="BU9" s="26">
        <v>592756.22383031622</v>
      </c>
      <c r="BV9" s="26">
        <v>2035714.6685962849</v>
      </c>
      <c r="BW9" s="26">
        <v>2590665.0562435444</v>
      </c>
      <c r="BX9"/>
      <c r="BY9"/>
      <c r="BZ9"/>
      <c r="CA9"/>
      <c r="CB9"/>
      <c r="CC9"/>
      <c r="CD9"/>
      <c r="CE9"/>
      <c r="CF9"/>
      <c r="CG9"/>
      <c r="CH9"/>
      <c r="CI9" s="2"/>
      <c r="CJ9" s="2"/>
    </row>
    <row r="10" spans="1:88" s="1" customFormat="1" x14ac:dyDescent="0.3">
      <c r="A10" s="1" t="s">
        <v>205</v>
      </c>
      <c r="B10" s="20" t="s">
        <v>206</v>
      </c>
      <c r="C10" s="26">
        <v>4260537.8836659603</v>
      </c>
      <c r="D10" s="26">
        <v>3638090.2637961912</v>
      </c>
      <c r="E10" s="26">
        <v>618614.5981234496</v>
      </c>
      <c r="F10" s="26">
        <v>63512.752352606105</v>
      </c>
      <c r="G10" s="26">
        <v>20343.230529267432</v>
      </c>
      <c r="H10" s="26">
        <v>22490.92082194837</v>
      </c>
      <c r="I10" s="26">
        <v>20380.025647112292</v>
      </c>
      <c r="J10" s="26">
        <v>401870.9426938711</v>
      </c>
      <c r="K10" s="26">
        <v>93020.131452623347</v>
      </c>
      <c r="L10" s="26">
        <v>652691.0497603626</v>
      </c>
      <c r="M10" s="26">
        <v>108929.53888297475</v>
      </c>
      <c r="N10" s="26">
        <v>3306.4803593793972</v>
      </c>
      <c r="O10" s="26">
        <v>297598.66996251361</v>
      </c>
      <c r="P10" s="26">
        <v>815466.21041849628</v>
      </c>
      <c r="Q10" s="26">
        <v>204141.65017485016</v>
      </c>
      <c r="R10" s="26">
        <v>179261.34423441271</v>
      </c>
      <c r="S10" s="26">
        <v>73331.547406325437</v>
      </c>
      <c r="T10" s="26">
        <v>80444.311655809855</v>
      </c>
      <c r="U10" s="26">
        <v>8393.5122075069157</v>
      </c>
      <c r="V10" s="26">
        <v>1165.8999665758881</v>
      </c>
      <c r="W10" s="26">
        <v>116.10622073784782</v>
      </c>
      <c r="X10" s="26">
        <v>56113.316779284236</v>
      </c>
      <c r="Y10" s="26">
        <v>38313.9903235327</v>
      </c>
      <c r="Z10" s="26">
        <v>38519.050334952095</v>
      </c>
      <c r="AA10" s="26">
        <v>56733.168323362188</v>
      </c>
      <c r="AB10" s="26">
        <v>32978.346641173601</v>
      </c>
      <c r="AC10" s="26">
        <v>192770.8408359976</v>
      </c>
      <c r="AD10" s="26">
        <v>299928.94019124465</v>
      </c>
      <c r="AE10" s="26">
        <v>63206.724287861354</v>
      </c>
      <c r="AF10" s="26">
        <v>42587.279854375956</v>
      </c>
      <c r="AG10" s="26">
        <v>303181.33131290914</v>
      </c>
      <c r="AH10" s="26">
        <v>48169.449029298004</v>
      </c>
      <c r="AI10" s="26">
        <v>74915.286412590678</v>
      </c>
      <c r="AJ10" s="26">
        <v>109574.68748990455</v>
      </c>
      <c r="AK10" s="26">
        <v>54447.413150623433</v>
      </c>
      <c r="AL10" s="26">
        <v>118903.71920986161</v>
      </c>
      <c r="AM10" s="26">
        <v>37504.770510111681</v>
      </c>
      <c r="AN10" s="26">
        <v>326683.13975467335</v>
      </c>
      <c r="AO10" s="26">
        <v>262544.59825303411</v>
      </c>
      <c r="AP10" s="26">
        <v>52368.752206878489</v>
      </c>
      <c r="AQ10" s="26">
        <v>8313.491939257814</v>
      </c>
      <c r="AR10" s="26">
        <v>6369.9593302574031</v>
      </c>
      <c r="AS10" s="26">
        <v>13877.241913554248</v>
      </c>
      <c r="AT10" s="26">
        <v>321254.64437017275</v>
      </c>
      <c r="AU10" s="26">
        <v>5084554.0396912396</v>
      </c>
      <c r="AV10" s="26">
        <v>1485352.1175326491</v>
      </c>
      <c r="AW10" s="26">
        <v>8151918.4561412307</v>
      </c>
      <c r="AX10" s="51">
        <v>2041337.869995075</v>
      </c>
      <c r="AY10" s="26">
        <v>36364.612681252198</v>
      </c>
      <c r="AZ10" s="26">
        <v>16776.135590703056</v>
      </c>
      <c r="BA10" s="26">
        <v>422933.0678045908</v>
      </c>
      <c r="BB10" s="26">
        <v>245015.18029786713</v>
      </c>
      <c r="BC10" s="26">
        <v>3269908.422827092</v>
      </c>
      <c r="BD10" s="26">
        <v>38540.11044709733</v>
      </c>
      <c r="BE10" s="26">
        <v>68287.662498719365</v>
      </c>
      <c r="BF10" s="26">
        <v>114997.89526338792</v>
      </c>
      <c r="BG10" s="26">
        <v>200090.79210390855</v>
      </c>
      <c r="BH10" s="26">
        <v>371884.24876323697</v>
      </c>
      <c r="BI10" s="26">
        <v>187559.20664127593</v>
      </c>
      <c r="BJ10" s="26">
        <v>627776.27622076799</v>
      </c>
      <c r="BK10" s="26">
        <v>257203.26075950306</v>
      </c>
      <c r="BL10" s="26">
        <v>198872.39878904246</v>
      </c>
      <c r="BM10" s="26">
        <v>135746.5826495644</v>
      </c>
      <c r="BN10" s="26">
        <v>2444464.6837042123</v>
      </c>
      <c r="BO10" s="26">
        <v>490403.04314180586</v>
      </c>
      <c r="BP10" s="26">
        <v>2556155.3628712716</v>
      </c>
      <c r="BQ10" s="26">
        <v>1993239.5984417321</v>
      </c>
      <c r="BR10" s="26">
        <v>1225779.4164746194</v>
      </c>
      <c r="BS10" s="26">
        <v>927938.15445988229</v>
      </c>
      <c r="BT10" s="26">
        <v>1382121.9750553602</v>
      </c>
      <c r="BU10" s="26">
        <v>550288.31343148451</v>
      </c>
      <c r="BV10" s="26">
        <v>2453856.2029507034</v>
      </c>
      <c r="BW10" s="26">
        <v>4322352.674855859</v>
      </c>
      <c r="BX10"/>
      <c r="BY10"/>
      <c r="BZ10"/>
      <c r="CA10"/>
      <c r="CB10"/>
      <c r="CC10"/>
      <c r="CD10"/>
      <c r="CE10"/>
      <c r="CF10"/>
      <c r="CG10"/>
      <c r="CH10"/>
      <c r="CI10" s="2"/>
      <c r="CJ10" s="2"/>
    </row>
    <row r="11" spans="1:88" s="1" customFormat="1" x14ac:dyDescent="0.3">
      <c r="B11" s="20" t="s">
        <v>207</v>
      </c>
      <c r="C11" s="26">
        <v>2427061.1163340397</v>
      </c>
      <c r="D11" s="26">
        <v>2253235.7362038093</v>
      </c>
      <c r="E11" s="26">
        <v>182481.40187655046</v>
      </c>
      <c r="F11" s="26">
        <v>54763.24764739388</v>
      </c>
      <c r="G11" s="26">
        <v>29800.769470732572</v>
      </c>
      <c r="H11" s="26">
        <v>12949.079178051634</v>
      </c>
      <c r="I11" s="26">
        <v>8568.9743528877098</v>
      </c>
      <c r="J11" s="26">
        <v>363331.05730612896</v>
      </c>
      <c r="K11" s="26">
        <v>63421.868547376653</v>
      </c>
      <c r="L11" s="26">
        <v>632442.9502396374</v>
      </c>
      <c r="M11" s="26">
        <v>82026.461117025261</v>
      </c>
      <c r="N11" s="26">
        <v>14477.519640620603</v>
      </c>
      <c r="O11" s="26">
        <v>334558.33003748645</v>
      </c>
      <c r="P11" s="26">
        <v>861119.7895815036</v>
      </c>
      <c r="Q11" s="26">
        <v>264393.34982514987</v>
      </c>
      <c r="R11" s="26">
        <v>197135.65576558732</v>
      </c>
      <c r="S11" s="26">
        <v>128445.45259367456</v>
      </c>
      <c r="T11" s="26">
        <v>100148.68834419014</v>
      </c>
      <c r="U11" s="26">
        <v>10449.455292493087</v>
      </c>
      <c r="V11" s="26">
        <v>1451.4805334241109</v>
      </c>
      <c r="W11" s="26">
        <v>144.54577926215219</v>
      </c>
      <c r="X11" s="26">
        <v>42141.683220715771</v>
      </c>
      <c r="Y11" s="26">
        <v>53971.0096764673</v>
      </c>
      <c r="Z11" s="26">
        <v>46791.949665047905</v>
      </c>
      <c r="AA11" s="26">
        <v>80720.831676637798</v>
      </c>
      <c r="AB11" s="26">
        <v>71135.653358826399</v>
      </c>
      <c r="AC11" s="26">
        <v>251856.1591640024</v>
      </c>
      <c r="AD11" s="26">
        <v>263616.05980875529</v>
      </c>
      <c r="AE11" s="26">
        <v>59603.275712138653</v>
      </c>
      <c r="AF11" s="26">
        <v>57620.720145624036</v>
      </c>
      <c r="AG11" s="26">
        <v>366301.66868709086</v>
      </c>
      <c r="AH11" s="26">
        <v>79063.550970701996</v>
      </c>
      <c r="AI11" s="26">
        <v>123416.71358740932</v>
      </c>
      <c r="AJ11" s="26">
        <v>268804.31251009548</v>
      </c>
      <c r="AK11" s="26">
        <v>106175.58684937657</v>
      </c>
      <c r="AL11" s="26">
        <v>186116.28079013841</v>
      </c>
      <c r="AM11" s="26">
        <v>43833.229489888319</v>
      </c>
      <c r="AN11" s="26">
        <v>417627.86024532671</v>
      </c>
      <c r="AO11" s="26">
        <v>270056.40174696589</v>
      </c>
      <c r="AP11" s="26">
        <v>50129.23937203642</v>
      </c>
      <c r="AQ11" s="26">
        <v>7957.9713069010531</v>
      </c>
      <c r="AR11" s="26">
        <v>6097.5525022089068</v>
      </c>
      <c r="AS11" s="26">
        <v>13283.791428905675</v>
      </c>
      <c r="AT11" s="26">
        <v>242650.35562982725</v>
      </c>
      <c r="AU11" s="26">
        <v>2533320.9603087604</v>
      </c>
      <c r="AV11" s="26">
        <v>1483496.8824673512</v>
      </c>
      <c r="AW11" s="26">
        <v>8141736.5438587703</v>
      </c>
      <c r="AX11" s="51">
        <v>2035287.1300049252</v>
      </c>
      <c r="AY11" s="26">
        <v>16368.387318747802</v>
      </c>
      <c r="AZ11" s="26">
        <v>43752.864409296941</v>
      </c>
      <c r="BA11" s="26">
        <v>385542.93219540908</v>
      </c>
      <c r="BB11" s="26">
        <v>193595.81970213287</v>
      </c>
      <c r="BC11" s="26">
        <v>2352299.5771729085</v>
      </c>
      <c r="BD11" s="26">
        <v>97571.889552902663</v>
      </c>
      <c r="BE11" s="26">
        <v>98317.337501280621</v>
      </c>
      <c r="BF11" s="26">
        <v>137108.10473661206</v>
      </c>
      <c r="BG11" s="26">
        <v>551926.20789609139</v>
      </c>
      <c r="BH11" s="26">
        <v>869258.75123676308</v>
      </c>
      <c r="BI11" s="26">
        <v>278849.7933587241</v>
      </c>
      <c r="BJ11" s="26">
        <v>1259966.7237792318</v>
      </c>
      <c r="BK11" s="26">
        <v>373348.73924049689</v>
      </c>
      <c r="BL11" s="26">
        <v>414136.60121095757</v>
      </c>
      <c r="BM11" s="26">
        <v>162708.41735043557</v>
      </c>
      <c r="BN11" s="26">
        <v>1734236.3162957875</v>
      </c>
      <c r="BO11" s="26">
        <v>291509.95685819414</v>
      </c>
      <c r="BP11" s="26">
        <v>2269074.637128728</v>
      </c>
      <c r="BQ11" s="26">
        <v>2208799.4015582679</v>
      </c>
      <c r="BR11" s="26">
        <v>1652887.5835253804</v>
      </c>
      <c r="BS11" s="26">
        <v>1290633.8455401177</v>
      </c>
      <c r="BT11" s="26">
        <v>2045880.0249446395</v>
      </c>
      <c r="BU11" s="26">
        <v>572560.68656851549</v>
      </c>
      <c r="BV11" s="26">
        <v>2048951.7970492961</v>
      </c>
      <c r="BW11" s="26">
        <v>2241083.3251441405</v>
      </c>
      <c r="BX11"/>
      <c r="BY11"/>
      <c r="BZ11"/>
      <c r="CA11"/>
      <c r="CB11"/>
      <c r="CC11"/>
      <c r="CD11"/>
      <c r="CE11"/>
      <c r="CF11"/>
      <c r="CG11"/>
      <c r="CH11"/>
      <c r="CI11" s="2"/>
      <c r="CJ11" s="2"/>
    </row>
    <row r="12" spans="1:88" s="1" customFormat="1" x14ac:dyDescent="0.3">
      <c r="A12" s="1" t="s">
        <v>208</v>
      </c>
      <c r="B12" s="20" t="s">
        <v>209</v>
      </c>
      <c r="C12" s="26">
        <v>5225173.9090617765</v>
      </c>
      <c r="D12" s="26">
        <v>4881843.7329506846</v>
      </c>
      <c r="E12" s="26">
        <v>629302.15356152283</v>
      </c>
      <c r="F12" s="26">
        <v>110490.07103584445</v>
      </c>
      <c r="G12" s="26">
        <v>39893.131379171013</v>
      </c>
      <c r="H12" s="26">
        <v>30326.399823208099</v>
      </c>
      <c r="I12" s="26">
        <v>28155.337687912397</v>
      </c>
      <c r="J12" s="26">
        <v>493848.50519341254</v>
      </c>
      <c r="K12" s="26">
        <v>143212.98643928627</v>
      </c>
      <c r="L12" s="26">
        <v>794611.37410744152</v>
      </c>
      <c r="M12" s="26">
        <v>164437.67873636144</v>
      </c>
      <c r="N12" s="26">
        <v>11435.573879551404</v>
      </c>
      <c r="O12" s="26">
        <v>242781.04010687189</v>
      </c>
      <c r="P12" s="26">
        <v>336503.07320593699</v>
      </c>
      <c r="Q12" s="26">
        <v>249950.70272940423</v>
      </c>
      <c r="R12" s="26">
        <v>291177.92195804848</v>
      </c>
      <c r="S12" s="26">
        <v>141817.0782740865</v>
      </c>
      <c r="T12" s="26">
        <v>133948.94602451721</v>
      </c>
      <c r="U12" s="26">
        <v>17315.855788417517</v>
      </c>
      <c r="V12" s="26">
        <v>2405.2572017340744</v>
      </c>
      <c r="W12" s="26">
        <v>239.52768813949299</v>
      </c>
      <c r="X12" s="26">
        <v>86619.624521170132</v>
      </c>
      <c r="Y12" s="26">
        <v>69633.26573733156</v>
      </c>
      <c r="Z12" s="26">
        <v>62327.073486177491</v>
      </c>
      <c r="AA12" s="26">
        <v>81927.88545463809</v>
      </c>
      <c r="AB12" s="26">
        <v>49831.571924657605</v>
      </c>
      <c r="AC12" s="26">
        <v>320819.83689123596</v>
      </c>
      <c r="AD12" s="26">
        <v>474933.88709130185</v>
      </c>
      <c r="AE12" s="26">
        <v>113428.17024005186</v>
      </c>
      <c r="AF12" s="26">
        <v>86819.501152817058</v>
      </c>
      <c r="AG12" s="26">
        <v>586017.03951866541</v>
      </c>
      <c r="AH12" s="26">
        <v>73577.54919852734</v>
      </c>
      <c r="AI12" s="26">
        <v>134347.98853837</v>
      </c>
      <c r="AJ12" s="26">
        <v>318607.68712020281</v>
      </c>
      <c r="AK12" s="26">
        <v>142828.63526323059</v>
      </c>
      <c r="AL12" s="26">
        <v>234080.28610797302</v>
      </c>
      <c r="AM12" s="26">
        <v>71492.319400340639</v>
      </c>
      <c r="AN12" s="26">
        <v>573329.10147490061</v>
      </c>
      <c r="AO12" s="26">
        <v>492681.63571760932</v>
      </c>
      <c r="AP12" s="26">
        <v>84266.891872890541</v>
      </c>
      <c r="AQ12" s="26">
        <v>13377.292694775526</v>
      </c>
      <c r="AR12" s="26">
        <v>10249.942026440087</v>
      </c>
      <c r="AS12" s="26">
        <v>22329.958124719724</v>
      </c>
      <c r="AT12" s="26">
        <v>435792.93063845264</v>
      </c>
      <c r="AU12" s="26">
        <v>7353781.365480572</v>
      </c>
      <c r="AV12" s="26">
        <v>1699440.8450355784</v>
      </c>
      <c r="AW12" s="26">
        <v>9326881.5025345441</v>
      </c>
      <c r="AX12" s="51">
        <v>3638673.109871625</v>
      </c>
      <c r="AY12" s="26">
        <v>44888.123474031701</v>
      </c>
      <c r="AZ12" s="26">
        <v>44979.508107342139</v>
      </c>
      <c r="BA12" s="26">
        <v>665738.20845625468</v>
      </c>
      <c r="BB12" s="26">
        <v>179445.39321244651</v>
      </c>
      <c r="BC12" s="26">
        <v>2432013.0596414451</v>
      </c>
      <c r="BD12" s="26">
        <v>72846.16661464241</v>
      </c>
      <c r="BE12" s="26">
        <v>113962.45306304688</v>
      </c>
      <c r="BF12" s="26">
        <v>169169.90141798291</v>
      </c>
      <c r="BG12" s="26">
        <v>591830.51306093624</v>
      </c>
      <c r="BH12" s="26">
        <v>614900.65497280483</v>
      </c>
      <c r="BI12" s="26">
        <v>285368.08207514085</v>
      </c>
      <c r="BJ12" s="26">
        <v>913933.74204046116</v>
      </c>
      <c r="BK12" s="26">
        <v>471300.90852496232</v>
      </c>
      <c r="BL12" s="26">
        <v>324672.21680159622</v>
      </c>
      <c r="BM12" s="26">
        <v>188715.47069093862</v>
      </c>
      <c r="BN12" s="26">
        <v>2113466.7726793522</v>
      </c>
      <c r="BO12" s="26">
        <v>698335.94362402172</v>
      </c>
      <c r="BP12" s="26">
        <v>2873802.2058312073</v>
      </c>
      <c r="BQ12" s="26">
        <v>910455.71979586012</v>
      </c>
      <c r="BR12" s="26">
        <v>880283.14721434168</v>
      </c>
      <c r="BS12" s="26">
        <v>570473.27095096197</v>
      </c>
      <c r="BT12" s="26">
        <v>830995.5075111019</v>
      </c>
      <c r="BU12" s="26">
        <v>704890.52428974595</v>
      </c>
      <c r="BV12" s="26">
        <v>1637156.9886173785</v>
      </c>
      <c r="BW12" s="26">
        <v>456561.48112262244</v>
      </c>
      <c r="BX12"/>
      <c r="BY12"/>
      <c r="BZ12"/>
      <c r="CA12"/>
      <c r="CB12"/>
      <c r="CC12"/>
      <c r="CD12"/>
      <c r="CE12"/>
      <c r="CF12"/>
      <c r="CG12"/>
      <c r="CH12"/>
      <c r="CI12" s="2"/>
      <c r="CJ12" s="2"/>
    </row>
    <row r="13" spans="1:88" s="1" customFormat="1" x14ac:dyDescent="0.3">
      <c r="B13" s="20" t="s">
        <v>210</v>
      </c>
      <c r="C13" s="26">
        <v>1462425.0909382235</v>
      </c>
      <c r="D13" s="26">
        <v>1009482.2670493155</v>
      </c>
      <c r="E13" s="26">
        <v>171793.84643847714</v>
      </c>
      <c r="F13" s="26">
        <v>7785.9289641555579</v>
      </c>
      <c r="G13" s="26">
        <v>10250.868620828984</v>
      </c>
      <c r="H13" s="26">
        <v>5113.6001767918951</v>
      </c>
      <c r="I13" s="26">
        <v>793.66231208760439</v>
      </c>
      <c r="J13" s="26">
        <v>271353.49480658746</v>
      </c>
      <c r="K13" s="26">
        <v>13229.013560713747</v>
      </c>
      <c r="L13" s="26">
        <v>490522.62589255837</v>
      </c>
      <c r="M13" s="26">
        <v>26518.321263638572</v>
      </c>
      <c r="N13" s="26">
        <v>6348.4261204485965</v>
      </c>
      <c r="O13" s="26">
        <v>389375.95989312819</v>
      </c>
      <c r="P13" s="26">
        <v>1340082.9267940631</v>
      </c>
      <c r="Q13" s="26">
        <v>218584.29727059577</v>
      </c>
      <c r="R13" s="26">
        <v>85219.078041951521</v>
      </c>
      <c r="S13" s="26">
        <v>59959.921725913511</v>
      </c>
      <c r="T13" s="26">
        <v>46644.053975482813</v>
      </c>
      <c r="U13" s="26">
        <v>1527.1117115824866</v>
      </c>
      <c r="V13" s="26">
        <v>212.12329826592452</v>
      </c>
      <c r="W13" s="26">
        <v>21.124311860507014</v>
      </c>
      <c r="X13" s="26">
        <v>11635.375478829879</v>
      </c>
      <c r="Y13" s="26">
        <v>22651.734262668433</v>
      </c>
      <c r="Z13" s="26">
        <v>22983.926513822502</v>
      </c>
      <c r="AA13" s="26">
        <v>55526.114545361925</v>
      </c>
      <c r="AB13" s="26">
        <v>54282.428075342395</v>
      </c>
      <c r="AC13" s="26">
        <v>123807.163108764</v>
      </c>
      <c r="AD13" s="26">
        <v>88611.112908698138</v>
      </c>
      <c r="AE13" s="26">
        <v>9381.8297599481539</v>
      </c>
      <c r="AF13" s="26">
        <v>13388.498847182938</v>
      </c>
      <c r="AG13" s="26">
        <v>83465.960481334536</v>
      </c>
      <c r="AH13" s="26">
        <v>53655.450801472667</v>
      </c>
      <c r="AI13" s="26">
        <v>63984.011461630005</v>
      </c>
      <c r="AJ13" s="26">
        <v>59771.312879797209</v>
      </c>
      <c r="AK13" s="26">
        <v>17794.364736769403</v>
      </c>
      <c r="AL13" s="26">
        <v>70939.713892026979</v>
      </c>
      <c r="AM13" s="26">
        <v>9845.6805996593612</v>
      </c>
      <c r="AN13" s="26">
        <v>170981.89852509936</v>
      </c>
      <c r="AO13" s="26">
        <v>39919.36428239067</v>
      </c>
      <c r="AP13" s="26">
        <v>18231.099706024357</v>
      </c>
      <c r="AQ13" s="26">
        <v>2894.1705513833394</v>
      </c>
      <c r="AR13" s="26">
        <v>2217.5698060262225</v>
      </c>
      <c r="AS13" s="26">
        <v>4831.0752177401928</v>
      </c>
      <c r="AT13" s="26">
        <v>128112.06936154739</v>
      </c>
      <c r="AU13" s="26">
        <v>264093.63451942714</v>
      </c>
      <c r="AV13" s="26">
        <v>1269408.1549644216</v>
      </c>
      <c r="AW13" s="26">
        <v>6966773.4974654568</v>
      </c>
      <c r="AX13" s="51">
        <v>437951.8901283748</v>
      </c>
      <c r="AY13" s="26">
        <v>7844.8765259682987</v>
      </c>
      <c r="AZ13" s="26">
        <v>15549.491892657859</v>
      </c>
      <c r="BA13" s="26">
        <v>142737.79154374535</v>
      </c>
      <c r="BB13" s="26">
        <v>259165.60678755349</v>
      </c>
      <c r="BC13" s="26">
        <v>3190194.9403585559</v>
      </c>
      <c r="BD13" s="26">
        <v>63265.833385357582</v>
      </c>
      <c r="BE13" s="26">
        <v>52642.546936953113</v>
      </c>
      <c r="BF13" s="26">
        <v>82936.098582017075</v>
      </c>
      <c r="BG13" s="26">
        <v>160186.4869390637</v>
      </c>
      <c r="BH13" s="26">
        <v>626242.34502719517</v>
      </c>
      <c r="BI13" s="26">
        <v>181040.91792485912</v>
      </c>
      <c r="BJ13" s="26">
        <v>973809.25795953884</v>
      </c>
      <c r="BK13" s="26">
        <v>159251.09147503763</v>
      </c>
      <c r="BL13" s="26">
        <v>288336.78319840383</v>
      </c>
      <c r="BM13" s="26">
        <v>109739.5293090614</v>
      </c>
      <c r="BN13" s="26">
        <v>2065234.2273206478</v>
      </c>
      <c r="BO13" s="26">
        <v>83577.056375978296</v>
      </c>
      <c r="BP13" s="26">
        <v>1951427.7941687922</v>
      </c>
      <c r="BQ13" s="26">
        <v>3291583.2802041396</v>
      </c>
      <c r="BR13" s="26">
        <v>1998383.8527856586</v>
      </c>
      <c r="BS13" s="26">
        <v>1648098.7290490381</v>
      </c>
      <c r="BT13" s="26">
        <v>2597006.4924888979</v>
      </c>
      <c r="BU13" s="26">
        <v>417958.47571025405</v>
      </c>
      <c r="BV13" s="26">
        <v>2865651.0113826217</v>
      </c>
      <c r="BW13" s="26">
        <v>6106874.5188773768</v>
      </c>
      <c r="BX13"/>
      <c r="BY13"/>
      <c r="BZ13"/>
      <c r="CA13"/>
      <c r="CB13"/>
      <c r="CC13"/>
      <c r="CD13"/>
      <c r="CE13"/>
      <c r="CF13"/>
      <c r="CG13"/>
      <c r="CH13"/>
      <c r="CI13" s="2"/>
      <c r="CJ13" s="2"/>
    </row>
    <row r="14" spans="1:88" s="1" customFormat="1" x14ac:dyDescent="0.3">
      <c r="A14" s="1" t="s">
        <v>211</v>
      </c>
      <c r="B14" s="20" t="s">
        <v>212</v>
      </c>
      <c r="C14" s="26">
        <v>6580516.4917478813</v>
      </c>
      <c r="D14" s="26">
        <v>5763771.693477395</v>
      </c>
      <c r="E14" s="26">
        <v>793277.86467511987</v>
      </c>
      <c r="F14" s="26">
        <v>107471.75543790041</v>
      </c>
      <c r="G14" s="26">
        <v>26048.992176666143</v>
      </c>
      <c r="H14" s="26">
        <v>27698.831795160066</v>
      </c>
      <c r="I14" s="26">
        <v>25968.207222747988</v>
      </c>
      <c r="J14" s="26">
        <v>719951.4305503167</v>
      </c>
      <c r="K14" s="26">
        <v>146951.32949982857</v>
      </c>
      <c r="L14" s="26">
        <v>1139971.550715717</v>
      </c>
      <c r="M14" s="26">
        <v>164667.02746432004</v>
      </c>
      <c r="N14" s="26">
        <v>11375.430053048512</v>
      </c>
      <c r="O14" s="26">
        <v>578344.60795245506</v>
      </c>
      <c r="P14" s="26">
        <v>1595689.8897298463</v>
      </c>
      <c r="Q14" s="26">
        <v>450182.04197727435</v>
      </c>
      <c r="R14" s="26">
        <v>352989.68314324535</v>
      </c>
      <c r="S14" s="26">
        <v>180014.58949672632</v>
      </c>
      <c r="T14" s="26">
        <v>154484.46751648915</v>
      </c>
      <c r="U14" s="26">
        <v>12999.332755296247</v>
      </c>
      <c r="V14" s="26">
        <v>1805.6710052025326</v>
      </c>
      <c r="W14" s="26">
        <v>179.81785943925641</v>
      </c>
      <c r="X14" s="26">
        <v>91333.091528469726</v>
      </c>
      <c r="Y14" s="26">
        <v>67672.449789457605</v>
      </c>
      <c r="Z14" s="26">
        <v>71640.41192342565</v>
      </c>
      <c r="AA14" s="26">
        <v>99077.863852496288</v>
      </c>
      <c r="AB14" s="26">
        <v>53189.313126836576</v>
      </c>
      <c r="AC14" s="26">
        <v>393825.92122746486</v>
      </c>
      <c r="AD14" s="26">
        <v>527889.19572627638</v>
      </c>
      <c r="AE14" s="26">
        <v>102236.24782143357</v>
      </c>
      <c r="AF14" s="26">
        <v>80955.243904997929</v>
      </c>
      <c r="AG14" s="26">
        <v>610677.9858457162</v>
      </c>
      <c r="AH14" s="26">
        <v>92063.060451947676</v>
      </c>
      <c r="AI14" s="26">
        <v>164253.47057841191</v>
      </c>
      <c r="AJ14" s="26">
        <v>313260.95084637625</v>
      </c>
      <c r="AK14" s="26">
        <v>115029.86984188831</v>
      </c>
      <c r="AL14" s="26">
        <v>260832.00286548553</v>
      </c>
      <c r="AM14" s="26">
        <v>67823.62976174611</v>
      </c>
      <c r="AN14" s="26">
        <v>687261.83527609729</v>
      </c>
      <c r="AO14" s="26">
        <v>490028.36982137227</v>
      </c>
      <c r="AP14" s="26">
        <v>73260.633347426672</v>
      </c>
      <c r="AQ14" s="26">
        <v>11630.059131306869</v>
      </c>
      <c r="AR14" s="26">
        <v>8911.1776635134684</v>
      </c>
      <c r="AS14" s="26">
        <v>19413.399954351113</v>
      </c>
      <c r="AT14" s="26">
        <v>513127.7116670651</v>
      </c>
      <c r="AU14" s="26">
        <v>7346265.0770060588</v>
      </c>
      <c r="AV14" s="26">
        <v>2692947.1066698385</v>
      </c>
      <c r="AW14" s="26">
        <v>14779448.563846309</v>
      </c>
      <c r="AX14" s="51">
        <v>3885442.320433463</v>
      </c>
      <c r="AY14" s="26">
        <v>45086.843822401628</v>
      </c>
      <c r="AZ14" s="26">
        <v>37928.305317579216</v>
      </c>
      <c r="BA14" s="26">
        <v>686857.520760271</v>
      </c>
      <c r="BB14" s="26">
        <v>404893.04923764977</v>
      </c>
      <c r="BC14" s="26">
        <v>5347292.9423883995</v>
      </c>
      <c r="BD14" s="26">
        <v>73939.123099027827</v>
      </c>
      <c r="BE14" s="26">
        <v>109559.46549068645</v>
      </c>
      <c r="BF14" s="26">
        <v>191648.34483263353</v>
      </c>
      <c r="BG14" s="26">
        <v>317779.97989126085</v>
      </c>
      <c r="BH14" s="26">
        <v>559386.71197531593</v>
      </c>
      <c r="BI14" s="26">
        <v>345178.60135147435</v>
      </c>
      <c r="BJ14" s="26">
        <v>787059.55728970631</v>
      </c>
      <c r="BK14" s="26">
        <v>358464.18085266469</v>
      </c>
      <c r="BL14" s="26">
        <v>334658.15758262499</v>
      </c>
      <c r="BM14" s="26">
        <v>247393.65832087974</v>
      </c>
      <c r="BN14" s="26">
        <v>3807119.0940968813</v>
      </c>
      <c r="BO14" s="26">
        <v>748794.49006135168</v>
      </c>
      <c r="BP14" s="26">
        <v>3080169.7414881992</v>
      </c>
      <c r="BQ14" s="26">
        <v>1448799.3710618368</v>
      </c>
      <c r="BR14" s="26">
        <v>1473627.0570462928</v>
      </c>
      <c r="BS14" s="26">
        <v>1329992.1017457068</v>
      </c>
      <c r="BT14" s="26">
        <v>2115016.0410282905</v>
      </c>
      <c r="BU14" s="26">
        <v>845510.71315330686</v>
      </c>
      <c r="BV14" s="26">
        <v>4094226.0544836223</v>
      </c>
      <c r="BW14" s="26">
        <v>6527579.2268099608</v>
      </c>
      <c r="BX14"/>
      <c r="BY14"/>
      <c r="BZ14"/>
      <c r="CA14"/>
      <c r="CB14"/>
      <c r="CC14"/>
      <c r="CD14"/>
      <c r="CE14"/>
      <c r="CF14"/>
      <c r="CG14"/>
      <c r="CH14"/>
      <c r="CI14" s="2"/>
      <c r="CJ14" s="2"/>
    </row>
    <row r="15" spans="1:88" s="1" customFormat="1" x14ac:dyDescent="0.3">
      <c r="B15" s="20" t="s">
        <v>213</v>
      </c>
      <c r="C15" s="26">
        <v>107082.5082521187</v>
      </c>
      <c r="D15" s="26">
        <v>127554.3065226044</v>
      </c>
      <c r="E15" s="26">
        <v>7818.1353248801133</v>
      </c>
      <c r="F15" s="26">
        <v>10804.244562099604</v>
      </c>
      <c r="G15" s="26">
        <v>24095.007823333854</v>
      </c>
      <c r="H15" s="26">
        <v>7741.168204839938</v>
      </c>
      <c r="I15" s="26">
        <v>2980.792777252012</v>
      </c>
      <c r="J15" s="26">
        <v>45250.569449683215</v>
      </c>
      <c r="K15" s="26">
        <v>9490.670500171429</v>
      </c>
      <c r="L15" s="26">
        <v>145162.44928428286</v>
      </c>
      <c r="M15" s="26">
        <v>26288.972535679939</v>
      </c>
      <c r="N15" s="26">
        <v>6408.5699469514857</v>
      </c>
      <c r="O15" s="26">
        <v>53812.392047544919</v>
      </c>
      <c r="P15" s="26">
        <v>80896.110270153615</v>
      </c>
      <c r="Q15" s="26">
        <v>18352.958022725652</v>
      </c>
      <c r="R15" s="26">
        <v>23407.31685675466</v>
      </c>
      <c r="S15" s="26">
        <v>21762.410503273684</v>
      </c>
      <c r="T15" s="26">
        <v>26108.532483510848</v>
      </c>
      <c r="U15" s="26">
        <v>5843.6347447037551</v>
      </c>
      <c r="V15" s="26">
        <v>811.70949479746639</v>
      </c>
      <c r="W15" s="26">
        <v>80.834140560743577</v>
      </c>
      <c r="X15" s="26">
        <v>6921.9084715302743</v>
      </c>
      <c r="Y15" s="26">
        <v>24612.550210542391</v>
      </c>
      <c r="Z15" s="26">
        <v>13670.588076574348</v>
      </c>
      <c r="AA15" s="26">
        <v>38376.136147503719</v>
      </c>
      <c r="AB15" s="26">
        <v>50924.686873163424</v>
      </c>
      <c r="AC15" s="26">
        <v>50801.078772535126</v>
      </c>
      <c r="AD15" s="26">
        <v>35655.804273723617</v>
      </c>
      <c r="AE15" s="26">
        <v>20573.752178566432</v>
      </c>
      <c r="AF15" s="26">
        <v>19252.756095002071</v>
      </c>
      <c r="AG15" s="26">
        <v>58805.01415428389</v>
      </c>
      <c r="AH15" s="26">
        <v>35169.939548052331</v>
      </c>
      <c r="AI15" s="26">
        <v>34078.529421588093</v>
      </c>
      <c r="AJ15" s="26">
        <v>65118.049153623724</v>
      </c>
      <c r="AK15" s="26">
        <v>45593.130158111679</v>
      </c>
      <c r="AL15" s="26">
        <v>44187.997134514473</v>
      </c>
      <c r="AM15" s="26">
        <v>13514.370238253889</v>
      </c>
      <c r="AN15" s="26">
        <v>57049.164723902635</v>
      </c>
      <c r="AO15" s="26">
        <v>42572.630178627733</v>
      </c>
      <c r="AP15" s="26">
        <v>29237.358231488215</v>
      </c>
      <c r="AQ15" s="26">
        <v>4641.4041148519964</v>
      </c>
      <c r="AR15" s="26">
        <v>3556.3341689528406</v>
      </c>
      <c r="AS15" s="26">
        <v>7747.6333881088067</v>
      </c>
      <c r="AT15" s="26">
        <v>50777.288332934855</v>
      </c>
      <c r="AU15" s="26">
        <v>271609.92299394112</v>
      </c>
      <c r="AV15" s="26">
        <v>275901.89333016094</v>
      </c>
      <c r="AW15" s="26">
        <v>1514206.4361536889</v>
      </c>
      <c r="AX15" s="51">
        <v>191182.67956653686</v>
      </c>
      <c r="AY15" s="26">
        <v>7646.1561775983682</v>
      </c>
      <c r="AZ15" s="26">
        <v>22600.694682420792</v>
      </c>
      <c r="BA15" s="26">
        <v>121618.479239729</v>
      </c>
      <c r="BB15" s="26">
        <v>33717.95076235025</v>
      </c>
      <c r="BC15" s="26">
        <v>274915.05761160015</v>
      </c>
      <c r="BD15" s="26">
        <v>62172.876900972173</v>
      </c>
      <c r="BE15" s="26">
        <v>57045.53450931354</v>
      </c>
      <c r="BF15" s="26">
        <v>60457.655167366443</v>
      </c>
      <c r="BG15" s="26">
        <v>434237.02010873915</v>
      </c>
      <c r="BH15" s="26">
        <v>681756.28802468395</v>
      </c>
      <c r="BI15" s="26">
        <v>121230.39864852569</v>
      </c>
      <c r="BJ15" s="26">
        <v>1100683.4427102937</v>
      </c>
      <c r="BK15" s="26">
        <v>272087.81914733525</v>
      </c>
      <c r="BL15" s="26">
        <v>278350.84241737495</v>
      </c>
      <c r="BM15" s="26">
        <v>51061.341679120291</v>
      </c>
      <c r="BN15" s="26">
        <v>371581.9059031186</v>
      </c>
      <c r="BO15" s="26">
        <v>33118.509938648342</v>
      </c>
      <c r="BP15" s="26">
        <v>1745060.2585118006</v>
      </c>
      <c r="BQ15" s="26">
        <v>2753239.6289381632</v>
      </c>
      <c r="BR15" s="26">
        <v>1405039.9429537067</v>
      </c>
      <c r="BS15" s="26">
        <v>888579.89825429337</v>
      </c>
      <c r="BT15" s="26">
        <v>1312985.9589717097</v>
      </c>
      <c r="BU15" s="26">
        <v>277338.28684669296</v>
      </c>
      <c r="BV15" s="26">
        <v>408581.94551637798</v>
      </c>
      <c r="BW15" s="26">
        <v>35856.773190038723</v>
      </c>
      <c r="BX15"/>
      <c r="BY15"/>
      <c r="BZ15"/>
      <c r="CA15"/>
      <c r="CB15"/>
      <c r="CC15"/>
      <c r="CD15"/>
      <c r="CE15"/>
      <c r="CF15"/>
      <c r="CG15"/>
      <c r="CH1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DF5F-02CE-4CA5-962B-24C1868DC092}">
  <dimension ref="A1:K75"/>
  <sheetViews>
    <sheetView showGridLines="0" workbookViewId="0">
      <selection activeCell="E2" sqref="E2"/>
    </sheetView>
  </sheetViews>
  <sheetFormatPr defaultRowHeight="14.4" x14ac:dyDescent="0.3"/>
  <cols>
    <col min="1" max="1" width="7.88671875" style="78" customWidth="1"/>
    <col min="2" max="2" width="66.77734375" style="78" bestFit="1" customWidth="1"/>
    <col min="3" max="5" width="14.77734375" style="76" customWidth="1"/>
  </cols>
  <sheetData>
    <row r="1" spans="1:11" x14ac:dyDescent="0.3">
      <c r="A1" s="33" t="s">
        <v>233</v>
      </c>
      <c r="B1" s="33" t="s">
        <v>234</v>
      </c>
      <c r="C1" s="72" t="s">
        <v>235</v>
      </c>
      <c r="D1" s="72" t="s">
        <v>236</v>
      </c>
      <c r="E1" s="33" t="s">
        <v>237</v>
      </c>
    </row>
    <row r="2" spans="1:11" ht="13.8" customHeight="1" x14ac:dyDescent="0.3">
      <c r="A2" s="72">
        <v>1</v>
      </c>
      <c r="B2" s="73" t="s">
        <v>84</v>
      </c>
      <c r="C2" s="79">
        <v>4819730.9376112465</v>
      </c>
      <c r="D2" s="79">
        <v>1867868.0623887535</v>
      </c>
      <c r="E2" s="79">
        <f>C2+D2</f>
        <v>6687599</v>
      </c>
      <c r="F2" s="20"/>
      <c r="G2" s="20"/>
      <c r="H2" s="20"/>
      <c r="I2" s="20"/>
      <c r="J2" s="20"/>
      <c r="K2" s="20"/>
    </row>
    <row r="3" spans="1:11" ht="13.95" customHeight="1" x14ac:dyDescent="0.3">
      <c r="A3" s="72">
        <v>2</v>
      </c>
      <c r="B3" s="73" t="s">
        <v>85</v>
      </c>
      <c r="C3" s="79">
        <v>4201684.574000095</v>
      </c>
      <c r="D3" s="79">
        <v>1689641.425999905</v>
      </c>
      <c r="E3" s="79">
        <f t="shared" ref="E3:E66" si="0">C3+D3</f>
        <v>5891326</v>
      </c>
      <c r="F3" s="2"/>
      <c r="G3" s="2"/>
      <c r="H3" s="2"/>
      <c r="I3" s="2"/>
      <c r="J3" s="2"/>
      <c r="K3" s="2"/>
    </row>
    <row r="4" spans="1:11" ht="13.95" customHeight="1" x14ac:dyDescent="0.3">
      <c r="A4" s="72">
        <v>3</v>
      </c>
      <c r="B4" s="73" t="s">
        <v>86</v>
      </c>
      <c r="C4" s="79">
        <v>535573.00773491431</v>
      </c>
      <c r="D4" s="79">
        <v>265522.99226508569</v>
      </c>
      <c r="E4" s="79">
        <f t="shared" si="0"/>
        <v>801096</v>
      </c>
      <c r="F4" s="2"/>
      <c r="G4" s="2"/>
      <c r="H4" s="2"/>
      <c r="I4" s="2"/>
      <c r="J4" s="2"/>
      <c r="K4" s="2"/>
    </row>
    <row r="5" spans="1:11" ht="13.95" customHeight="1" x14ac:dyDescent="0.3">
      <c r="A5" s="72">
        <v>4</v>
      </c>
      <c r="B5" s="73" t="s">
        <v>87</v>
      </c>
      <c r="C5" s="79">
        <v>28367.366666966376</v>
      </c>
      <c r="D5" s="79">
        <v>89908.63333303362</v>
      </c>
      <c r="E5" s="79">
        <f t="shared" si="0"/>
        <v>118276</v>
      </c>
      <c r="F5" s="2"/>
      <c r="G5" s="2"/>
      <c r="H5" s="2"/>
      <c r="I5" s="2"/>
      <c r="J5" s="2"/>
      <c r="K5" s="2"/>
    </row>
    <row r="6" spans="1:11" ht="13.95" customHeight="1" x14ac:dyDescent="0.3">
      <c r="A6" s="72">
        <v>5</v>
      </c>
      <c r="B6" s="74" t="s">
        <v>88</v>
      </c>
      <c r="C6" s="79">
        <v>1230.3817094315868</v>
      </c>
      <c r="D6" s="79">
        <v>48913.618290568411</v>
      </c>
      <c r="E6" s="79">
        <f t="shared" si="0"/>
        <v>50144</v>
      </c>
      <c r="F6" s="2"/>
      <c r="G6" s="2"/>
      <c r="H6" s="2"/>
      <c r="I6" s="2"/>
      <c r="J6" s="2"/>
      <c r="K6" s="2"/>
    </row>
    <row r="7" spans="1:11" ht="13.95" customHeight="1" x14ac:dyDescent="0.3">
      <c r="A7" s="72">
        <v>6</v>
      </c>
      <c r="B7" s="73" t="s">
        <v>89</v>
      </c>
      <c r="C7" s="79">
        <v>523.67681695203373</v>
      </c>
      <c r="D7" s="79">
        <v>34916.323183047964</v>
      </c>
      <c r="E7" s="79">
        <f t="shared" si="0"/>
        <v>35440</v>
      </c>
      <c r="F7" s="2"/>
      <c r="G7" s="2"/>
      <c r="H7" s="2"/>
      <c r="I7" s="2"/>
      <c r="J7" s="2"/>
      <c r="K7" s="2"/>
    </row>
    <row r="8" spans="1:11" ht="13.95" customHeight="1" x14ac:dyDescent="0.3">
      <c r="A8" s="72">
        <v>7</v>
      </c>
      <c r="B8" s="73" t="s">
        <v>90</v>
      </c>
      <c r="C8" s="79">
        <v>13390.57013545165</v>
      </c>
      <c r="D8" s="79">
        <v>15558.429864548354</v>
      </c>
      <c r="E8" s="79">
        <f t="shared" si="0"/>
        <v>28949.000000000004</v>
      </c>
      <c r="F8" s="2"/>
      <c r="G8" s="2"/>
      <c r="H8" s="2"/>
      <c r="I8" s="2"/>
      <c r="J8" s="2"/>
      <c r="K8" s="2"/>
    </row>
    <row r="9" spans="1:11" ht="13.95" customHeight="1" x14ac:dyDescent="0.3">
      <c r="A9" s="72">
        <v>8</v>
      </c>
      <c r="B9" s="73" t="s">
        <v>91</v>
      </c>
      <c r="C9" s="79">
        <v>100067.16687916103</v>
      </c>
      <c r="D9" s="79">
        <v>665134.83312083897</v>
      </c>
      <c r="E9" s="79">
        <f t="shared" si="0"/>
        <v>765202</v>
      </c>
      <c r="F9" s="2"/>
      <c r="G9" s="2"/>
      <c r="H9" s="2"/>
      <c r="I9" s="2"/>
      <c r="J9" s="2"/>
      <c r="K9" s="2"/>
    </row>
    <row r="10" spans="1:11" ht="13.95" customHeight="1" x14ac:dyDescent="0.3">
      <c r="A10" s="72">
        <v>9</v>
      </c>
      <c r="B10" s="73" t="s">
        <v>92</v>
      </c>
      <c r="C10" s="79">
        <v>4978.5594377991483</v>
      </c>
      <c r="D10" s="79">
        <v>151463.44056220085</v>
      </c>
      <c r="E10" s="79">
        <f t="shared" si="0"/>
        <v>156442</v>
      </c>
      <c r="F10" s="2"/>
      <c r="G10" s="2"/>
      <c r="H10" s="2"/>
      <c r="I10" s="2"/>
      <c r="J10" s="2"/>
      <c r="K10" s="2"/>
    </row>
    <row r="11" spans="1:11" ht="13.95" customHeight="1" x14ac:dyDescent="0.3">
      <c r="A11" s="72">
        <v>10</v>
      </c>
      <c r="B11" s="73" t="s">
        <v>93</v>
      </c>
      <c r="C11" s="79">
        <v>271166.55160194496</v>
      </c>
      <c r="D11" s="79">
        <v>1013967.4483980548</v>
      </c>
      <c r="E11" s="79">
        <f t="shared" si="0"/>
        <v>1285133.9999999998</v>
      </c>
      <c r="F11" s="2"/>
      <c r="G11" s="2"/>
      <c r="H11" s="2"/>
      <c r="I11" s="2"/>
      <c r="J11" s="2"/>
      <c r="K11" s="2"/>
    </row>
    <row r="12" spans="1:11" ht="13.95" customHeight="1" x14ac:dyDescent="0.3">
      <c r="A12" s="72">
        <v>11</v>
      </c>
      <c r="B12" s="73" t="s">
        <v>94</v>
      </c>
      <c r="C12" s="79">
        <v>14892.19055850451</v>
      </c>
      <c r="D12" s="79">
        <v>176063.80944149551</v>
      </c>
      <c r="E12" s="79">
        <f t="shared" si="0"/>
        <v>190956.00000000003</v>
      </c>
      <c r="F12" s="2"/>
      <c r="G12" s="2"/>
      <c r="H12" s="2"/>
      <c r="I12" s="2"/>
      <c r="J12" s="2"/>
      <c r="K12" s="2"/>
    </row>
    <row r="13" spans="1:11" ht="13.95" customHeight="1" x14ac:dyDescent="0.3">
      <c r="A13" s="72">
        <v>12</v>
      </c>
      <c r="B13" s="73" t="s">
        <v>95</v>
      </c>
      <c r="C13" s="79">
        <v>979.44992935436665</v>
      </c>
      <c r="D13" s="79">
        <v>16804.550070645633</v>
      </c>
      <c r="E13" s="79">
        <f t="shared" si="0"/>
        <v>17784</v>
      </c>
      <c r="F13" s="2"/>
      <c r="G13" s="2"/>
      <c r="H13" s="2"/>
      <c r="I13" s="2"/>
      <c r="J13" s="2"/>
      <c r="K13" s="2"/>
    </row>
    <row r="14" spans="1:11" ht="13.95" customHeight="1" x14ac:dyDescent="0.3">
      <c r="A14" s="72">
        <v>13</v>
      </c>
      <c r="B14" s="73" t="s">
        <v>96</v>
      </c>
      <c r="C14" s="79">
        <v>248505.81134527811</v>
      </c>
      <c r="D14" s="79">
        <v>383651.18865472183</v>
      </c>
      <c r="E14" s="79">
        <f t="shared" si="0"/>
        <v>632157</v>
      </c>
      <c r="F14" s="2"/>
      <c r="G14" s="2"/>
      <c r="H14" s="2"/>
      <c r="I14" s="2"/>
      <c r="J14" s="2"/>
      <c r="K14" s="2"/>
    </row>
    <row r="15" spans="1:11" ht="13.95" customHeight="1" x14ac:dyDescent="0.3">
      <c r="A15" s="72">
        <v>14</v>
      </c>
      <c r="B15" s="73" t="s">
        <v>97</v>
      </c>
      <c r="C15" s="79">
        <v>767757.60934639117</v>
      </c>
      <c r="D15" s="79">
        <v>908828.39065360872</v>
      </c>
      <c r="E15" s="79">
        <f t="shared" si="0"/>
        <v>1676586</v>
      </c>
      <c r="F15" s="2"/>
      <c r="G15" s="2"/>
      <c r="H15" s="2"/>
      <c r="I15" s="2"/>
      <c r="J15" s="2"/>
      <c r="K15" s="2"/>
    </row>
    <row r="16" spans="1:11" ht="13.95" customHeight="1" x14ac:dyDescent="0.3">
      <c r="A16" s="72">
        <v>15</v>
      </c>
      <c r="B16" s="73" t="s">
        <v>98</v>
      </c>
      <c r="C16" s="79">
        <v>72800.933471459008</v>
      </c>
      <c r="D16" s="79">
        <v>395734.06652854098</v>
      </c>
      <c r="E16" s="79">
        <f t="shared" si="0"/>
        <v>468535</v>
      </c>
      <c r="F16" s="2"/>
      <c r="G16" s="2"/>
      <c r="H16" s="2"/>
      <c r="I16" s="2"/>
      <c r="J16" s="2"/>
      <c r="K16" s="2"/>
    </row>
    <row r="17" spans="1:11" ht="13.95" customHeight="1" x14ac:dyDescent="0.3">
      <c r="A17" s="72">
        <v>16</v>
      </c>
      <c r="B17" s="73" t="s">
        <v>99</v>
      </c>
      <c r="C17" s="79">
        <v>141744.50274566963</v>
      </c>
      <c r="D17" s="79">
        <v>234652.49725433037</v>
      </c>
      <c r="E17" s="79">
        <f t="shared" si="0"/>
        <v>376397</v>
      </c>
      <c r="F17" s="2"/>
      <c r="G17" s="2"/>
      <c r="H17" s="2"/>
      <c r="I17" s="2"/>
      <c r="J17" s="2"/>
      <c r="K17" s="2"/>
    </row>
    <row r="18" spans="1:11" ht="13.95" customHeight="1" x14ac:dyDescent="0.3">
      <c r="A18" s="72">
        <v>17</v>
      </c>
      <c r="B18" s="73" t="s">
        <v>100</v>
      </c>
      <c r="C18" s="79">
        <v>18359.925335136526</v>
      </c>
      <c r="D18" s="79">
        <v>183417.0746648635</v>
      </c>
      <c r="E18" s="79">
        <f t="shared" si="0"/>
        <v>201777.00000000003</v>
      </c>
      <c r="F18" s="2"/>
      <c r="G18" s="2"/>
      <c r="H18" s="2"/>
      <c r="I18" s="2"/>
      <c r="J18" s="2"/>
      <c r="K18" s="2"/>
    </row>
    <row r="19" spans="1:11" ht="13.95" customHeight="1" x14ac:dyDescent="0.3">
      <c r="A19" s="72">
        <v>18</v>
      </c>
      <c r="B19" s="73" t="s">
        <v>101</v>
      </c>
      <c r="C19" s="79">
        <v>35117.506289199664</v>
      </c>
      <c r="D19" s="79">
        <v>145475.49371080034</v>
      </c>
      <c r="E19" s="79">
        <f t="shared" si="0"/>
        <v>180593</v>
      </c>
      <c r="F19" s="2"/>
      <c r="G19" s="2"/>
      <c r="H19" s="2"/>
      <c r="I19" s="2"/>
      <c r="J19" s="2"/>
      <c r="K19" s="2"/>
    </row>
    <row r="20" spans="1:11" ht="13.95" customHeight="1" x14ac:dyDescent="0.3">
      <c r="A20" s="72">
        <v>19</v>
      </c>
      <c r="B20" s="74" t="s">
        <v>102</v>
      </c>
      <c r="C20" s="79">
        <v>592.85293736396784</v>
      </c>
      <c r="D20" s="79">
        <v>18250.114562636034</v>
      </c>
      <c r="E20" s="79">
        <f t="shared" si="0"/>
        <v>18842.967500000002</v>
      </c>
      <c r="F20" s="2"/>
      <c r="G20" s="2"/>
      <c r="H20" s="2"/>
      <c r="I20" s="2"/>
      <c r="J20" s="2"/>
      <c r="K20" s="2"/>
    </row>
    <row r="21" spans="1:11" ht="13.95" customHeight="1" x14ac:dyDescent="0.3">
      <c r="A21" s="72">
        <v>20</v>
      </c>
      <c r="B21" s="74" t="s">
        <v>103</v>
      </c>
      <c r="C21" s="79">
        <v>82.3501774666952</v>
      </c>
      <c r="D21" s="79">
        <v>2535.0303225333037</v>
      </c>
      <c r="E21" s="79">
        <f t="shared" si="0"/>
        <v>2617.3804999999988</v>
      </c>
      <c r="F21" s="2"/>
      <c r="G21" s="2"/>
      <c r="H21" s="2"/>
      <c r="I21" s="2"/>
      <c r="J21" s="2"/>
      <c r="K21" s="2"/>
    </row>
    <row r="22" spans="1:11" ht="13.95" customHeight="1" x14ac:dyDescent="0.3">
      <c r="A22" s="72">
        <v>21</v>
      </c>
      <c r="B22" s="73" t="s">
        <v>104</v>
      </c>
      <c r="C22" s="79">
        <v>8.2008475485505627</v>
      </c>
      <c r="D22" s="79">
        <v>252.45115245144945</v>
      </c>
      <c r="E22" s="79">
        <f t="shared" si="0"/>
        <v>260.65199999999999</v>
      </c>
      <c r="F22" s="2"/>
      <c r="G22" s="2"/>
      <c r="H22" s="2"/>
      <c r="I22" s="2"/>
      <c r="J22" s="2"/>
      <c r="K22" s="2"/>
    </row>
    <row r="23" spans="1:11" ht="13.95" customHeight="1" x14ac:dyDescent="0.3">
      <c r="A23" s="72">
        <v>22</v>
      </c>
      <c r="B23" s="74" t="s">
        <v>105</v>
      </c>
      <c r="C23" s="79">
        <v>1271.1615707657759</v>
      </c>
      <c r="D23" s="79">
        <v>96983.838429234238</v>
      </c>
      <c r="E23" s="79">
        <f t="shared" si="0"/>
        <v>98255.000000000015</v>
      </c>
      <c r="F23" s="2"/>
      <c r="G23" s="2"/>
      <c r="H23" s="2"/>
      <c r="I23" s="2"/>
      <c r="J23" s="2"/>
      <c r="K23" s="2"/>
    </row>
    <row r="24" spans="1:11" ht="13.95" customHeight="1" x14ac:dyDescent="0.3">
      <c r="A24" s="72">
        <v>23</v>
      </c>
      <c r="B24" s="73" t="s">
        <v>106</v>
      </c>
      <c r="C24" s="79">
        <v>6123.1643086861122</v>
      </c>
      <c r="D24" s="79">
        <v>86161.835691313885</v>
      </c>
      <c r="E24" s="79">
        <f t="shared" si="0"/>
        <v>92285</v>
      </c>
      <c r="F24" s="2"/>
      <c r="G24" s="2"/>
      <c r="H24" s="2"/>
      <c r="I24" s="2"/>
      <c r="J24" s="2"/>
      <c r="K24" s="2"/>
    </row>
    <row r="25" spans="1:11" ht="13.95" customHeight="1" x14ac:dyDescent="0.3">
      <c r="A25" s="72">
        <v>24</v>
      </c>
      <c r="B25" s="73" t="s">
        <v>107</v>
      </c>
      <c r="C25" s="79">
        <v>6525.6694745627155</v>
      </c>
      <c r="D25" s="79">
        <v>78785.330525437283</v>
      </c>
      <c r="E25" s="79">
        <f t="shared" si="0"/>
        <v>85311</v>
      </c>
      <c r="F25" s="2"/>
      <c r="G25" s="2"/>
      <c r="H25" s="2"/>
      <c r="I25" s="2"/>
      <c r="J25" s="2"/>
      <c r="K25" s="2"/>
    </row>
    <row r="26" spans="1:11" ht="13.95" customHeight="1" x14ac:dyDescent="0.3">
      <c r="A26" s="72">
        <v>25</v>
      </c>
      <c r="B26" s="73" t="s">
        <v>108</v>
      </c>
      <c r="C26" s="79">
        <v>13267.474990484572</v>
      </c>
      <c r="D26" s="79">
        <v>124186.52500951542</v>
      </c>
      <c r="E26" s="79">
        <f t="shared" si="0"/>
        <v>137454</v>
      </c>
      <c r="F26" s="2"/>
      <c r="G26" s="2"/>
      <c r="H26" s="2"/>
      <c r="I26" s="2"/>
      <c r="J26" s="2"/>
      <c r="K26" s="2"/>
    </row>
    <row r="27" spans="1:11" ht="13.95" customHeight="1" x14ac:dyDescent="0.3">
      <c r="A27" s="72">
        <v>26</v>
      </c>
      <c r="B27" s="73" t="s">
        <v>109</v>
      </c>
      <c r="C27" s="79">
        <v>2512.797080758578</v>
      </c>
      <c r="D27" s="79">
        <v>101601.20291924142</v>
      </c>
      <c r="E27" s="79">
        <f t="shared" si="0"/>
        <v>104114</v>
      </c>
      <c r="F27" s="2"/>
      <c r="G27" s="2"/>
      <c r="H27" s="2"/>
      <c r="I27" s="2"/>
      <c r="J27" s="2"/>
      <c r="K27" s="2"/>
    </row>
    <row r="28" spans="1:11" ht="13.95" customHeight="1" x14ac:dyDescent="0.3">
      <c r="A28" s="72">
        <v>27</v>
      </c>
      <c r="B28" s="73" t="s">
        <v>110</v>
      </c>
      <c r="C28" s="79">
        <v>29041.406073690283</v>
      </c>
      <c r="D28" s="79">
        <v>415585.59392630972</v>
      </c>
      <c r="E28" s="79">
        <f t="shared" si="0"/>
        <v>444627</v>
      </c>
      <c r="F28" s="2"/>
      <c r="G28" s="2"/>
      <c r="H28" s="2"/>
      <c r="I28" s="2"/>
      <c r="J28" s="2"/>
      <c r="K28" s="2"/>
    </row>
    <row r="29" spans="1:11" ht="13.95" customHeight="1" x14ac:dyDescent="0.3">
      <c r="A29" s="72">
        <v>28</v>
      </c>
      <c r="B29" s="73" t="s">
        <v>111</v>
      </c>
      <c r="C29" s="79">
        <v>124638.7819923928</v>
      </c>
      <c r="D29" s="79">
        <v>438906.21800760721</v>
      </c>
      <c r="E29" s="79">
        <f t="shared" si="0"/>
        <v>563545</v>
      </c>
      <c r="F29" s="2"/>
      <c r="G29" s="2"/>
      <c r="H29" s="2"/>
      <c r="I29" s="2"/>
      <c r="J29" s="2"/>
      <c r="K29" s="2"/>
    </row>
    <row r="30" spans="1:11" ht="13.95" customHeight="1" x14ac:dyDescent="0.3">
      <c r="A30" s="72">
        <v>29</v>
      </c>
      <c r="B30" s="73" t="s">
        <v>112</v>
      </c>
      <c r="C30" s="79">
        <v>2724.0185043313027</v>
      </c>
      <c r="D30" s="79">
        <v>120085.9814956687</v>
      </c>
      <c r="E30" s="79">
        <f t="shared" si="0"/>
        <v>122810</v>
      </c>
      <c r="F30" s="2"/>
      <c r="G30" s="2"/>
      <c r="H30" s="2"/>
      <c r="I30" s="2"/>
      <c r="J30" s="2"/>
      <c r="K30" s="2"/>
    </row>
    <row r="31" spans="1:11" ht="13.95" customHeight="1" x14ac:dyDescent="0.3">
      <c r="A31" s="72">
        <v>30</v>
      </c>
      <c r="B31" s="73" t="s">
        <v>113</v>
      </c>
      <c r="C31" s="79">
        <v>9524.6049412645261</v>
      </c>
      <c r="D31" s="79">
        <v>90683.395058735478</v>
      </c>
      <c r="E31" s="79">
        <f t="shared" si="0"/>
        <v>100208</v>
      </c>
      <c r="F31" s="2"/>
      <c r="G31" s="2"/>
      <c r="H31" s="2"/>
      <c r="I31" s="2"/>
      <c r="J31" s="2"/>
      <c r="K31" s="2"/>
    </row>
    <row r="32" spans="1:11" ht="13.95" customHeight="1" x14ac:dyDescent="0.3">
      <c r="A32" s="72">
        <v>31</v>
      </c>
      <c r="B32" s="73" t="s">
        <v>114</v>
      </c>
      <c r="C32" s="79">
        <v>145694.59649110024</v>
      </c>
      <c r="D32" s="79">
        <v>523788.40350889979</v>
      </c>
      <c r="E32" s="79">
        <f t="shared" si="0"/>
        <v>669483</v>
      </c>
      <c r="F32" s="2"/>
      <c r="G32" s="2"/>
      <c r="H32" s="2"/>
      <c r="I32" s="2"/>
      <c r="J32" s="2"/>
      <c r="K32" s="2"/>
    </row>
    <row r="33" spans="1:11" ht="13.95" customHeight="1" x14ac:dyDescent="0.3">
      <c r="A33" s="72">
        <v>32</v>
      </c>
      <c r="B33" s="73" t="s">
        <v>115</v>
      </c>
      <c r="C33" s="79">
        <v>3975.9219471133833</v>
      </c>
      <c r="D33" s="79">
        <v>123257.0780528866</v>
      </c>
      <c r="E33" s="79">
        <f t="shared" si="0"/>
        <v>127232.99999999999</v>
      </c>
      <c r="F33" s="2"/>
      <c r="G33" s="2"/>
      <c r="H33" s="2"/>
      <c r="I33" s="2"/>
      <c r="J33" s="2"/>
      <c r="K33" s="2"/>
    </row>
    <row r="34" spans="1:11" ht="13.95" customHeight="1" x14ac:dyDescent="0.3">
      <c r="A34" s="72">
        <v>33</v>
      </c>
      <c r="B34" s="73" t="s">
        <v>116</v>
      </c>
      <c r="C34" s="79">
        <v>4079.5749613822163</v>
      </c>
      <c r="D34" s="79">
        <v>194252.42503861777</v>
      </c>
      <c r="E34" s="79">
        <f t="shared" si="0"/>
        <v>198332</v>
      </c>
      <c r="F34" s="2"/>
      <c r="G34" s="2"/>
      <c r="H34" s="2"/>
      <c r="I34" s="2"/>
      <c r="J34" s="2"/>
      <c r="K34" s="2"/>
    </row>
    <row r="35" spans="1:11" ht="13.95" customHeight="1" x14ac:dyDescent="0.3">
      <c r="A35" s="72">
        <v>34</v>
      </c>
      <c r="B35" s="73" t="s">
        <v>117</v>
      </c>
      <c r="C35" s="79">
        <v>24461.295464051051</v>
      </c>
      <c r="D35" s="79">
        <v>353917.70453594893</v>
      </c>
      <c r="E35" s="79">
        <f t="shared" si="0"/>
        <v>378379</v>
      </c>
      <c r="F35" s="2"/>
      <c r="G35" s="2"/>
      <c r="H35" s="2"/>
      <c r="I35" s="2"/>
      <c r="J35" s="2"/>
      <c r="K35" s="2"/>
    </row>
    <row r="36" spans="1:11" ht="13.95" customHeight="1" x14ac:dyDescent="0.3">
      <c r="A36" s="72">
        <v>35</v>
      </c>
      <c r="B36" s="73" t="s">
        <v>118</v>
      </c>
      <c r="C36" s="79">
        <v>3412.621796847021</v>
      </c>
      <c r="D36" s="79">
        <v>157210.37820315297</v>
      </c>
      <c r="E36" s="79">
        <f t="shared" si="0"/>
        <v>160623</v>
      </c>
      <c r="F36" s="2"/>
      <c r="G36" s="2"/>
      <c r="H36" s="2"/>
      <c r="I36" s="2"/>
      <c r="J36" s="2"/>
      <c r="K36" s="2"/>
    </row>
    <row r="37" spans="1:11" ht="13.95" customHeight="1" x14ac:dyDescent="0.3">
      <c r="A37" s="72">
        <v>36</v>
      </c>
      <c r="B37" s="73" t="s">
        <v>119</v>
      </c>
      <c r="C37" s="79">
        <v>11148.246801457428</v>
      </c>
      <c r="D37" s="79">
        <v>293871.75319854257</v>
      </c>
      <c r="E37" s="79">
        <f t="shared" si="0"/>
        <v>305020</v>
      </c>
      <c r="F37" s="2"/>
      <c r="G37" s="2"/>
      <c r="H37" s="2"/>
      <c r="I37" s="2"/>
      <c r="J37" s="2"/>
      <c r="K37" s="2"/>
    </row>
    <row r="38" spans="1:11" ht="13.95" customHeight="1" x14ac:dyDescent="0.3">
      <c r="A38" s="72">
        <v>37</v>
      </c>
      <c r="B38" s="73" t="s">
        <v>120</v>
      </c>
      <c r="C38" s="79">
        <v>5196.3799744637599</v>
      </c>
      <c r="D38" s="79">
        <v>76141.620025536235</v>
      </c>
      <c r="E38" s="79">
        <f t="shared" si="0"/>
        <v>81338</v>
      </c>
      <c r="F38" s="2"/>
      <c r="G38" s="2"/>
      <c r="H38" s="2"/>
      <c r="I38" s="2"/>
      <c r="J38" s="2"/>
      <c r="K38" s="2"/>
    </row>
    <row r="39" spans="1:11" ht="13.95" customHeight="1" x14ac:dyDescent="0.3">
      <c r="A39" s="72">
        <v>38</v>
      </c>
      <c r="B39" s="73" t="s">
        <v>121</v>
      </c>
      <c r="C39" s="79">
        <v>210998.27604952743</v>
      </c>
      <c r="D39" s="79">
        <v>533312.72395047254</v>
      </c>
      <c r="E39" s="79">
        <f t="shared" si="0"/>
        <v>744311</v>
      </c>
      <c r="F39" s="2"/>
      <c r="G39" s="2"/>
      <c r="H39" s="2"/>
      <c r="I39" s="2"/>
      <c r="J39" s="2"/>
      <c r="K39" s="2"/>
    </row>
    <row r="40" spans="1:11" ht="13.95" customHeight="1" x14ac:dyDescent="0.3">
      <c r="A40" s="72">
        <v>39</v>
      </c>
      <c r="B40" s="73" t="s">
        <v>122</v>
      </c>
      <c r="C40" s="79">
        <v>105970.00140818594</v>
      </c>
      <c r="D40" s="79">
        <v>426630.99859181407</v>
      </c>
      <c r="E40" s="79">
        <f t="shared" si="0"/>
        <v>532601</v>
      </c>
      <c r="F40" s="2"/>
      <c r="G40" s="2"/>
      <c r="H40" s="2"/>
      <c r="I40" s="2"/>
      <c r="J40" s="2"/>
      <c r="K40" s="2"/>
    </row>
    <row r="41" spans="1:11" ht="13.95" customHeight="1" x14ac:dyDescent="0.3">
      <c r="A41" s="72">
        <v>40</v>
      </c>
      <c r="B41" s="74" t="s">
        <v>123</v>
      </c>
      <c r="C41" s="79">
        <v>5761.3389419114919</v>
      </c>
      <c r="D41" s="79">
        <v>96736.652637003412</v>
      </c>
      <c r="E41" s="79">
        <f t="shared" si="0"/>
        <v>102497.99157891491</v>
      </c>
      <c r="F41" s="2"/>
      <c r="G41" s="2"/>
      <c r="H41" s="2"/>
      <c r="I41" s="2"/>
      <c r="J41" s="2"/>
      <c r="K41" s="2"/>
    </row>
    <row r="42" spans="1:11" ht="13.95" customHeight="1" x14ac:dyDescent="0.3">
      <c r="A42" s="72">
        <v>41</v>
      </c>
      <c r="B42" s="74" t="s">
        <v>124</v>
      </c>
      <c r="C42" s="79">
        <v>914.60733423054944</v>
      </c>
      <c r="D42" s="79">
        <v>15356.855911928318</v>
      </c>
      <c r="E42" s="79">
        <f t="shared" si="0"/>
        <v>16271.463246158868</v>
      </c>
      <c r="F42" s="2"/>
      <c r="G42" s="2"/>
      <c r="H42" s="2"/>
      <c r="I42" s="2"/>
      <c r="J42" s="2"/>
      <c r="K42" s="2"/>
    </row>
    <row r="43" spans="1:11" ht="13.95" customHeight="1" x14ac:dyDescent="0.3">
      <c r="A43" s="72">
        <v>42</v>
      </c>
      <c r="B43" s="74" t="s">
        <v>125</v>
      </c>
      <c r="C43" s="79">
        <v>700.78994058949615</v>
      </c>
      <c r="D43" s="79">
        <v>11766.721891876814</v>
      </c>
      <c r="E43" s="79">
        <f t="shared" si="0"/>
        <v>12467.511832466311</v>
      </c>
      <c r="F43" s="2"/>
      <c r="G43" s="2"/>
      <c r="H43" s="2"/>
      <c r="I43" s="2"/>
      <c r="J43" s="2"/>
      <c r="K43" s="2"/>
    </row>
    <row r="44" spans="1:11" ht="13.95" customHeight="1" x14ac:dyDescent="0.3">
      <c r="A44" s="72">
        <v>43</v>
      </c>
      <c r="B44" s="74" t="s">
        <v>126</v>
      </c>
      <c r="C44" s="79">
        <v>1526.7022961907624</v>
      </c>
      <c r="D44" s="79">
        <v>25634.331046269159</v>
      </c>
      <c r="E44" s="79">
        <f t="shared" si="0"/>
        <v>27161.033342459923</v>
      </c>
      <c r="F44" s="2"/>
      <c r="G44" s="2"/>
      <c r="H44" s="2"/>
      <c r="I44" s="2"/>
      <c r="J44" s="2"/>
      <c r="K44" s="2"/>
    </row>
    <row r="45" spans="1:11" ht="13.95" customHeight="1" x14ac:dyDescent="0.3">
      <c r="A45" s="72">
        <v>44</v>
      </c>
      <c r="B45" s="73" t="s">
        <v>127</v>
      </c>
      <c r="C45" s="79">
        <v>154863.8982223428</v>
      </c>
      <c r="D45" s="79">
        <v>409041.10177765723</v>
      </c>
      <c r="E45" s="79">
        <f t="shared" si="0"/>
        <v>563905</v>
      </c>
      <c r="F45" s="2"/>
      <c r="G45" s="2"/>
      <c r="H45" s="2"/>
      <c r="I45" s="2"/>
      <c r="J45" s="2"/>
      <c r="K45" s="2"/>
    </row>
    <row r="46" spans="1:11" ht="13.95" customHeight="1" x14ac:dyDescent="0.3">
      <c r="A46" s="72">
        <v>45</v>
      </c>
      <c r="B46" s="73" t="s">
        <v>128</v>
      </c>
      <c r="C46" s="79">
        <v>4477219.297262894</v>
      </c>
      <c r="D46" s="79">
        <v>3140655.7027371065</v>
      </c>
      <c r="E46" s="79">
        <f t="shared" si="0"/>
        <v>7617875</v>
      </c>
      <c r="F46" s="2"/>
      <c r="G46" s="2"/>
      <c r="H46" s="2"/>
      <c r="I46" s="2"/>
      <c r="J46" s="2"/>
      <c r="K46" s="2"/>
    </row>
    <row r="47" spans="1:11" ht="13.95" customHeight="1" x14ac:dyDescent="0.3">
      <c r="A47" s="72">
        <v>46</v>
      </c>
      <c r="B47" s="73" t="s">
        <v>129</v>
      </c>
      <c r="C47" s="79">
        <v>969171.12137996824</v>
      </c>
      <c r="D47" s="79">
        <v>1999677.8786200315</v>
      </c>
      <c r="E47" s="79">
        <f t="shared" si="0"/>
        <v>2968849</v>
      </c>
      <c r="F47" s="2"/>
      <c r="G47" s="2"/>
      <c r="H47" s="2"/>
      <c r="I47" s="2"/>
      <c r="J47" s="2"/>
      <c r="K47" s="2"/>
    </row>
    <row r="48" spans="1:11" ht="13.95" customHeight="1" x14ac:dyDescent="0.3">
      <c r="A48" s="72">
        <v>47</v>
      </c>
      <c r="B48" s="73" t="s">
        <v>130</v>
      </c>
      <c r="C48" s="79">
        <v>5319010.797695783</v>
      </c>
      <c r="D48" s="79">
        <v>10974644.202304216</v>
      </c>
      <c r="E48" s="79">
        <f t="shared" si="0"/>
        <v>16293655</v>
      </c>
      <c r="F48" s="2"/>
      <c r="G48" s="2"/>
      <c r="H48" s="2"/>
      <c r="I48" s="2"/>
      <c r="J48" s="2"/>
      <c r="K48" s="2"/>
    </row>
    <row r="49" spans="1:11" ht="13.95" customHeight="1" x14ac:dyDescent="0.3">
      <c r="A49" s="72">
        <v>48</v>
      </c>
      <c r="B49" s="73" t="s">
        <v>131</v>
      </c>
      <c r="C49" s="79">
        <v>1195108.5820810429</v>
      </c>
      <c r="D49" s="79">
        <v>2881516.4179189568</v>
      </c>
      <c r="E49" s="79">
        <f t="shared" si="0"/>
        <v>4076625</v>
      </c>
      <c r="F49" s="2"/>
      <c r="G49" s="2"/>
      <c r="H49" s="2"/>
      <c r="I49" s="2"/>
      <c r="J49" s="2"/>
      <c r="K49" s="2"/>
    </row>
    <row r="50" spans="1:11" ht="13.95" customHeight="1" x14ac:dyDescent="0.3">
      <c r="A50" s="72">
        <v>49</v>
      </c>
      <c r="B50" s="73" t="s">
        <v>132</v>
      </c>
      <c r="C50" s="79">
        <v>10118.554333247395</v>
      </c>
      <c r="D50" s="79">
        <v>42614.445666752603</v>
      </c>
      <c r="E50" s="79">
        <f t="shared" si="0"/>
        <v>52733</v>
      </c>
      <c r="F50" s="2"/>
      <c r="G50" s="2"/>
      <c r="H50" s="2"/>
      <c r="I50" s="2"/>
      <c r="J50" s="2"/>
      <c r="K50" s="2"/>
    </row>
    <row r="51" spans="1:11" ht="13.95" customHeight="1" x14ac:dyDescent="0.3">
      <c r="A51" s="72">
        <v>50</v>
      </c>
      <c r="B51" s="73" t="s">
        <v>133</v>
      </c>
      <c r="C51" s="79">
        <v>3978.8755079823186</v>
      </c>
      <c r="D51" s="79">
        <v>56550.124492017683</v>
      </c>
      <c r="E51" s="79">
        <f t="shared" si="0"/>
        <v>60529</v>
      </c>
      <c r="F51" s="2"/>
      <c r="G51" s="2"/>
      <c r="H51" s="2"/>
      <c r="I51" s="2"/>
      <c r="J51" s="2"/>
      <c r="K51" s="2"/>
    </row>
    <row r="52" spans="1:11" ht="13.95" customHeight="1" x14ac:dyDescent="0.3">
      <c r="A52" s="72">
        <v>51</v>
      </c>
      <c r="B52" s="73" t="s">
        <v>134</v>
      </c>
      <c r="C52" s="79">
        <v>169268.14961775122</v>
      </c>
      <c r="D52" s="79">
        <v>639207.85038224875</v>
      </c>
      <c r="E52" s="79">
        <f t="shared" si="0"/>
        <v>808476</v>
      </c>
      <c r="F52" s="2"/>
      <c r="G52" s="2"/>
      <c r="H52" s="2"/>
      <c r="I52" s="2"/>
      <c r="J52" s="2"/>
      <c r="K52" s="2"/>
    </row>
    <row r="53" spans="1:11" ht="13.95" customHeight="1" x14ac:dyDescent="0.3">
      <c r="A53" s="72">
        <v>52</v>
      </c>
      <c r="B53" s="73" t="s">
        <v>135</v>
      </c>
      <c r="C53" s="79">
        <v>71581.108687230051</v>
      </c>
      <c r="D53" s="79">
        <v>367029.89131276996</v>
      </c>
      <c r="E53" s="79">
        <f t="shared" si="0"/>
        <v>438611</v>
      </c>
      <c r="F53" s="2"/>
      <c r="G53" s="2"/>
      <c r="H53" s="2"/>
      <c r="I53" s="2"/>
      <c r="J53" s="2"/>
      <c r="K53" s="2"/>
    </row>
    <row r="54" spans="1:11" ht="13.95" customHeight="1" x14ac:dyDescent="0.3">
      <c r="A54" s="72">
        <v>53</v>
      </c>
      <c r="B54" s="73" t="s">
        <v>136</v>
      </c>
      <c r="C54" s="79">
        <v>2725275.4748019022</v>
      </c>
      <c r="D54" s="79">
        <v>2896932.5251980983</v>
      </c>
      <c r="E54" s="79">
        <f t="shared" si="0"/>
        <v>5622208</v>
      </c>
      <c r="F54" s="2"/>
      <c r="G54" s="2"/>
      <c r="H54" s="2"/>
      <c r="I54" s="2"/>
      <c r="J54" s="2"/>
      <c r="K54" s="2"/>
    </row>
    <row r="55" spans="1:11" ht="13.95" customHeight="1" x14ac:dyDescent="0.3">
      <c r="A55" s="72">
        <v>54</v>
      </c>
      <c r="B55" s="73" t="s">
        <v>137</v>
      </c>
      <c r="C55" s="79">
        <v>23683.132422412353</v>
      </c>
      <c r="D55" s="79">
        <v>112428.86757758765</v>
      </c>
      <c r="E55" s="79">
        <f t="shared" si="0"/>
        <v>136112</v>
      </c>
      <c r="F55" s="2"/>
      <c r="G55" s="2"/>
      <c r="H55" s="2"/>
      <c r="I55" s="2"/>
      <c r="J55" s="2"/>
      <c r="K55" s="2"/>
    </row>
    <row r="56" spans="1:11" ht="13.95" customHeight="1" x14ac:dyDescent="0.3">
      <c r="A56" s="72">
        <v>55</v>
      </c>
      <c r="B56" s="73" t="s">
        <v>138</v>
      </c>
      <c r="C56" s="79">
        <v>31086.991931136501</v>
      </c>
      <c r="D56" s="79">
        <v>135518.00806886351</v>
      </c>
      <c r="E56" s="79">
        <f t="shared" si="0"/>
        <v>166605</v>
      </c>
      <c r="F56" s="2"/>
      <c r="G56" s="2"/>
      <c r="H56" s="2"/>
      <c r="I56" s="2"/>
      <c r="J56" s="2"/>
      <c r="K56" s="2"/>
    </row>
    <row r="57" spans="1:11" ht="13.95" customHeight="1" x14ac:dyDescent="0.3">
      <c r="A57" s="72">
        <v>56</v>
      </c>
      <c r="B57" s="73" t="s">
        <v>139</v>
      </c>
      <c r="C57" s="79">
        <v>19217.124906673082</v>
      </c>
      <c r="D57" s="79">
        <v>232888.87509332693</v>
      </c>
      <c r="E57" s="79">
        <f t="shared" si="0"/>
        <v>252106</v>
      </c>
      <c r="F57" s="2"/>
      <c r="G57" s="2"/>
      <c r="H57" s="2"/>
      <c r="I57" s="2"/>
      <c r="J57" s="2"/>
      <c r="K57" s="2"/>
    </row>
    <row r="58" spans="1:11" ht="13.95" customHeight="1" x14ac:dyDescent="0.3">
      <c r="A58" s="72">
        <v>57</v>
      </c>
      <c r="B58" s="73" t="s">
        <v>140</v>
      </c>
      <c r="C58" s="79">
        <v>128444.15780833531</v>
      </c>
      <c r="D58" s="79">
        <v>623572.84219166473</v>
      </c>
      <c r="E58" s="79">
        <f t="shared" si="0"/>
        <v>752017</v>
      </c>
      <c r="F58" s="2"/>
      <c r="G58" s="2"/>
      <c r="H58" s="2"/>
      <c r="I58" s="2"/>
      <c r="J58" s="2"/>
      <c r="K58" s="2"/>
    </row>
    <row r="59" spans="1:11" ht="13.95" customHeight="1" x14ac:dyDescent="0.3">
      <c r="A59" s="72">
        <v>58</v>
      </c>
      <c r="B59" s="73" t="s">
        <v>141</v>
      </c>
      <c r="C59" s="79">
        <v>103213.61666204875</v>
      </c>
      <c r="D59" s="79">
        <v>1137929.3833379515</v>
      </c>
      <c r="E59" s="79">
        <f t="shared" si="0"/>
        <v>1241143.0000000002</v>
      </c>
      <c r="F59" s="2"/>
      <c r="G59" s="2"/>
      <c r="H59" s="2"/>
      <c r="I59" s="2"/>
      <c r="J59" s="2"/>
      <c r="K59" s="2"/>
    </row>
    <row r="60" spans="1:11" ht="13.95" customHeight="1" x14ac:dyDescent="0.3">
      <c r="A60" s="72">
        <v>59</v>
      </c>
      <c r="B60" s="73" t="s">
        <v>142</v>
      </c>
      <c r="C60" s="79">
        <v>155662.31920782686</v>
      </c>
      <c r="D60" s="79">
        <v>310746.68079217314</v>
      </c>
      <c r="E60" s="79">
        <f t="shared" si="0"/>
        <v>466409</v>
      </c>
      <c r="F60" s="2"/>
      <c r="G60" s="2"/>
      <c r="H60" s="2"/>
      <c r="I60" s="2"/>
      <c r="J60" s="2"/>
      <c r="K60" s="2"/>
    </row>
    <row r="61" spans="1:11" ht="13.95" customHeight="1" x14ac:dyDescent="0.3">
      <c r="A61" s="72">
        <v>60</v>
      </c>
      <c r="B61" s="73" t="s">
        <v>143</v>
      </c>
      <c r="C61" s="79">
        <v>410674.42205667007</v>
      </c>
      <c r="D61" s="79">
        <v>1477068.5779433297</v>
      </c>
      <c r="E61" s="79">
        <f t="shared" si="0"/>
        <v>1887742.9999999998</v>
      </c>
      <c r="F61" s="2"/>
      <c r="G61" s="2"/>
      <c r="H61" s="2"/>
      <c r="I61" s="2"/>
      <c r="J61" s="2"/>
      <c r="K61" s="2"/>
    </row>
    <row r="62" spans="1:11" ht="13.95" customHeight="1" x14ac:dyDescent="0.3">
      <c r="A62" s="72">
        <v>61</v>
      </c>
      <c r="B62" s="73" t="s">
        <v>144</v>
      </c>
      <c r="C62" s="79">
        <v>132961.70090559308</v>
      </c>
      <c r="D62" s="79">
        <v>497590.29909440695</v>
      </c>
      <c r="E62" s="79">
        <f t="shared" si="0"/>
        <v>630552</v>
      </c>
      <c r="F62" s="2"/>
      <c r="G62" s="2"/>
      <c r="H62" s="2"/>
      <c r="I62" s="2"/>
      <c r="J62" s="2"/>
      <c r="K62" s="2"/>
    </row>
    <row r="63" spans="1:11" ht="13.95" customHeight="1" x14ac:dyDescent="0.3">
      <c r="A63" s="72">
        <v>62</v>
      </c>
      <c r="B63" s="73" t="s">
        <v>145</v>
      </c>
      <c r="C63" s="79">
        <v>204704.12143473988</v>
      </c>
      <c r="D63" s="79">
        <v>408304.87856526015</v>
      </c>
      <c r="E63" s="79">
        <f t="shared" si="0"/>
        <v>613009</v>
      </c>
      <c r="F63" s="2"/>
      <c r="G63" s="2"/>
      <c r="H63" s="2"/>
      <c r="I63" s="2"/>
      <c r="J63" s="2"/>
      <c r="K63" s="2"/>
    </row>
    <row r="64" spans="1:11" ht="13.95" customHeight="1" x14ac:dyDescent="0.3">
      <c r="A64" s="72">
        <v>63</v>
      </c>
      <c r="B64" s="73" t="s">
        <v>146</v>
      </c>
      <c r="C64" s="79">
        <v>77034.320424898149</v>
      </c>
      <c r="D64" s="79">
        <v>221420.67957510185</v>
      </c>
      <c r="E64" s="79">
        <f t="shared" si="0"/>
        <v>298455</v>
      </c>
      <c r="F64" s="2"/>
      <c r="G64" s="2"/>
      <c r="H64" s="2"/>
      <c r="I64" s="2"/>
      <c r="J64" s="2"/>
      <c r="K64" s="2"/>
    </row>
    <row r="65" spans="1:11" ht="13.95" customHeight="1" x14ac:dyDescent="0.3">
      <c r="A65" s="72">
        <v>64</v>
      </c>
      <c r="B65" s="73" t="s">
        <v>147</v>
      </c>
      <c r="C65" s="79">
        <v>508233.44596843625</v>
      </c>
      <c r="D65" s="79">
        <v>3670467.5540315639</v>
      </c>
      <c r="E65" s="79">
        <f t="shared" si="0"/>
        <v>4178701</v>
      </c>
      <c r="F65" s="2"/>
      <c r="G65" s="2"/>
      <c r="H65" s="2"/>
      <c r="I65" s="2"/>
      <c r="J65" s="2"/>
      <c r="K65" s="2"/>
    </row>
    <row r="66" spans="1:11" ht="13.95" customHeight="1" x14ac:dyDescent="0.3">
      <c r="A66" s="72">
        <v>65</v>
      </c>
      <c r="B66" s="73" t="s">
        <v>148</v>
      </c>
      <c r="C66" s="79">
        <v>77669.055416393967</v>
      </c>
      <c r="D66" s="79">
        <v>704243.94458360609</v>
      </c>
      <c r="E66" s="79">
        <f t="shared" si="0"/>
        <v>781913</v>
      </c>
      <c r="F66" s="2"/>
      <c r="G66" s="2"/>
      <c r="H66" s="2"/>
      <c r="I66" s="2"/>
      <c r="J66" s="2"/>
      <c r="K66" s="2"/>
    </row>
    <row r="67" spans="1:11" ht="13.95" customHeight="1" x14ac:dyDescent="0.3">
      <c r="A67" s="72">
        <v>66</v>
      </c>
      <c r="B67" s="73" t="s">
        <v>149</v>
      </c>
      <c r="C67" s="79">
        <v>0</v>
      </c>
      <c r="D67" s="79">
        <v>4825230</v>
      </c>
      <c r="E67" s="79">
        <f t="shared" ref="E67:E74" si="1">C67+D67</f>
        <v>4825230</v>
      </c>
      <c r="F67" s="2"/>
      <c r="G67" s="2"/>
      <c r="H67" s="2"/>
      <c r="I67" s="2"/>
      <c r="J67" s="2"/>
      <c r="K67" s="2"/>
    </row>
    <row r="68" spans="1:11" ht="13.95" customHeight="1" x14ac:dyDescent="0.3">
      <c r="A68" s="72">
        <v>67</v>
      </c>
      <c r="B68" s="73" t="s">
        <v>150</v>
      </c>
      <c r="C68" s="79">
        <v>243134.40482903412</v>
      </c>
      <c r="D68" s="79">
        <v>3958904.5951709659</v>
      </c>
      <c r="E68" s="79">
        <f t="shared" si="1"/>
        <v>4202039</v>
      </c>
      <c r="F68" s="2"/>
      <c r="G68" s="2"/>
      <c r="H68" s="2"/>
      <c r="I68" s="2"/>
      <c r="J68" s="2"/>
      <c r="K68" s="2"/>
    </row>
    <row r="69" spans="1:11" ht="13.95" customHeight="1" x14ac:dyDescent="0.3">
      <c r="A69" s="72">
        <v>68</v>
      </c>
      <c r="B69" s="73" t="s">
        <v>151</v>
      </c>
      <c r="C69" s="79">
        <v>537381.87079493143</v>
      </c>
      <c r="D69" s="79">
        <v>2341285.1292050686</v>
      </c>
      <c r="E69" s="79">
        <f t="shared" si="1"/>
        <v>2878667</v>
      </c>
      <c r="F69" s="2"/>
      <c r="G69" s="2"/>
      <c r="H69" s="2"/>
      <c r="I69" s="2"/>
      <c r="J69" s="2"/>
      <c r="K69" s="2"/>
    </row>
    <row r="70" spans="1:11" ht="13.95" customHeight="1" x14ac:dyDescent="0.3">
      <c r="A70" s="72">
        <v>69</v>
      </c>
      <c r="B70" s="73" t="s">
        <v>152</v>
      </c>
      <c r="C70" s="79">
        <v>92213.428004052854</v>
      </c>
      <c r="D70" s="79">
        <v>2126358.571995947</v>
      </c>
      <c r="E70" s="79">
        <f t="shared" si="1"/>
        <v>2218572</v>
      </c>
      <c r="F70" s="2"/>
      <c r="G70" s="2"/>
      <c r="H70" s="2"/>
      <c r="I70" s="2"/>
      <c r="J70" s="2"/>
      <c r="K70" s="2"/>
    </row>
    <row r="71" spans="1:11" ht="13.95" customHeight="1" x14ac:dyDescent="0.3">
      <c r="A71" s="72">
        <v>70</v>
      </c>
      <c r="B71" s="73" t="s">
        <v>153</v>
      </c>
      <c r="C71" s="79">
        <v>487852.09553160286</v>
      </c>
      <c r="D71" s="79">
        <v>2940149.9044683971</v>
      </c>
      <c r="E71" s="79">
        <f t="shared" si="1"/>
        <v>3428002</v>
      </c>
      <c r="F71" s="2"/>
      <c r="G71" s="2"/>
      <c r="H71" s="2"/>
      <c r="I71" s="2"/>
      <c r="J71" s="2"/>
      <c r="K71" s="2"/>
    </row>
    <row r="72" spans="1:11" ht="13.95" customHeight="1" x14ac:dyDescent="0.3">
      <c r="A72" s="72">
        <v>71</v>
      </c>
      <c r="B72" s="73" t="s">
        <v>154</v>
      </c>
      <c r="C72" s="79">
        <v>530092.77616968378</v>
      </c>
      <c r="D72" s="79">
        <v>592756.22383031622</v>
      </c>
      <c r="E72" s="79">
        <f t="shared" si="1"/>
        <v>1122849</v>
      </c>
      <c r="F72" s="2"/>
      <c r="G72" s="2"/>
      <c r="H72" s="2"/>
      <c r="I72" s="2"/>
      <c r="J72" s="2"/>
      <c r="K72" s="2"/>
    </row>
    <row r="73" spans="1:11" ht="13.95" customHeight="1" x14ac:dyDescent="0.3">
      <c r="A73" s="72">
        <v>72</v>
      </c>
      <c r="B73" s="73" t="s">
        <v>155</v>
      </c>
      <c r="C73" s="79">
        <v>2467093.3314037151</v>
      </c>
      <c r="D73" s="79">
        <v>2035714.6685962849</v>
      </c>
      <c r="E73" s="79">
        <f t="shared" si="1"/>
        <v>4502808</v>
      </c>
      <c r="F73" s="2"/>
      <c r="G73" s="2"/>
      <c r="H73" s="2"/>
      <c r="I73" s="2"/>
      <c r="J73" s="2"/>
      <c r="K73" s="2"/>
    </row>
    <row r="74" spans="1:11" ht="13.95" customHeight="1" x14ac:dyDescent="0.3">
      <c r="A74" s="72">
        <v>73</v>
      </c>
      <c r="B74" s="73" t="s">
        <v>156</v>
      </c>
      <c r="C74" s="79">
        <v>3972770.9437564551</v>
      </c>
      <c r="D74" s="79">
        <v>2590665.0562435444</v>
      </c>
      <c r="E74" s="79">
        <f t="shared" si="1"/>
        <v>6563436</v>
      </c>
      <c r="F74" s="2"/>
      <c r="G74" s="2"/>
      <c r="H74" s="2"/>
      <c r="I74" s="2"/>
      <c r="J74" s="2"/>
      <c r="K74" s="2"/>
    </row>
    <row r="75" spans="1:11" ht="13.95" customHeight="1" x14ac:dyDescent="0.3">
      <c r="A75" s="75"/>
      <c r="B75" s="6"/>
      <c r="E75" s="77"/>
      <c r="F75" s="2"/>
      <c r="G75" s="2"/>
      <c r="H75" s="2"/>
      <c r="I75" s="2"/>
      <c r="J75" s="2"/>
      <c r="K75" s="2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527-D689-423F-8450-2D42F7EC57D7}">
  <sheetPr codeName="Planilha8"/>
  <dimension ref="A1:CU107"/>
  <sheetViews>
    <sheetView showGridLines="0" zoomScaleNormal="100" workbookViewId="0">
      <pane xSplit="2" ySplit="4" topLeftCell="BU5" activePane="bottomRight" state="frozen"/>
      <selection pane="topRight" activeCell="C1" sqref="C1"/>
      <selection pane="bottomLeft" activeCell="A7" sqref="A7"/>
      <selection pane="bottomRight" activeCell="CF6" sqref="CF6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5" t="s">
        <v>83</v>
      </c>
      <c r="B3" s="85"/>
      <c r="C3" s="8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3" t="s">
        <v>199</v>
      </c>
      <c r="B4" s="83"/>
      <c r="C4" s="8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70" t="s">
        <v>157</v>
      </c>
      <c r="BZ4" s="68" t="s">
        <v>158</v>
      </c>
      <c r="CA4" s="68" t="s">
        <v>159</v>
      </c>
      <c r="CB4" s="68" t="s">
        <v>160</v>
      </c>
      <c r="CC4" s="68" t="s">
        <v>161</v>
      </c>
      <c r="CD4" s="68" t="s">
        <v>162</v>
      </c>
      <c r="CE4" s="68" t="s">
        <v>163</v>
      </c>
      <c r="CF4" s="68" t="s">
        <v>164</v>
      </c>
      <c r="CG4" s="69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71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71">
        <f>SUM(D6:BX6)</f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71">
        <f>SUM(D7:BX7)</f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71">
        <f t="shared" ref="BY8:BY71" si="1">SUM(D8:BX8)</f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71">
        <f t="shared" si="1"/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71">
        <f t="shared" si="1"/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71">
        <f t="shared" si="1"/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71">
        <f t="shared" si="1"/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71">
        <f t="shared" si="1"/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71">
        <f t="shared" si="1"/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71">
        <f t="shared" si="1"/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71">
        <f t="shared" si="1"/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71">
        <f t="shared" si="1"/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71">
        <f t="shared" si="1"/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71">
        <f t="shared" si="1"/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71">
        <f t="shared" si="1"/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71">
        <f t="shared" si="1"/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71">
        <f t="shared" si="1"/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71">
        <f t="shared" si="1"/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71">
        <f t="shared" si="1"/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71">
        <f t="shared" si="1"/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71">
        <f t="shared" si="1"/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71">
        <f t="shared" si="1"/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71">
        <f t="shared" si="1"/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71">
        <f t="shared" si="1"/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71">
        <f t="shared" si="1"/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71">
        <f t="shared" si="1"/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71">
        <f t="shared" si="1"/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71">
        <f t="shared" si="1"/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71">
        <f t="shared" si="1"/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71">
        <f t="shared" si="1"/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71">
        <f t="shared" si="1"/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71">
        <f t="shared" si="1"/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71">
        <f t="shared" si="1"/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71">
        <f t="shared" si="1"/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71">
        <f t="shared" si="1"/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71">
        <f t="shared" si="1"/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71">
        <f t="shared" si="1"/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71">
        <f t="shared" si="1"/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71">
        <f t="shared" si="1"/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71">
        <f t="shared" si="1"/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71">
        <f t="shared" si="1"/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71">
        <f t="shared" si="1"/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71">
        <f t="shared" si="1"/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71">
        <f t="shared" si="1"/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71">
        <f t="shared" si="1"/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71">
        <f t="shared" si="1"/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71">
        <f t="shared" si="1"/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71">
        <f t="shared" si="1"/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71">
        <f t="shared" si="1"/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71">
        <f t="shared" si="1"/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71">
        <f t="shared" si="1"/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71">
        <f t="shared" si="1"/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71">
        <f t="shared" si="1"/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71">
        <f t="shared" si="1"/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71">
        <f t="shared" si="1"/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71">
        <f t="shared" si="1"/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71">
        <f t="shared" si="1"/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71">
        <f t="shared" si="1"/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71">
        <f t="shared" si="1"/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71">
        <f t="shared" si="1"/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71">
        <f t="shared" si="1"/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71">
        <f t="shared" si="1"/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71">
        <f t="shared" si="1"/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71">
        <f t="shared" si="1"/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71">
        <f t="shared" si="1"/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71">
        <f t="shared" si="1"/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2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71">
        <f t="shared" ref="BY72:BY78" si="3">SUM(D72:BX72)</f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2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71">
        <f t="shared" si="3"/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2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71">
        <f t="shared" si="3"/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2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71">
        <f t="shared" si="3"/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2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71">
        <f t="shared" si="3"/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2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71">
        <f t="shared" si="3"/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2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71">
        <f t="shared" si="3"/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2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7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71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71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71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71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71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71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71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71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71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6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71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71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71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71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71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71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71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71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71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71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71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71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71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71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71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71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>
        <f>AY101-AY102</f>
        <v>-233598.00000000012</v>
      </c>
    </row>
    <row r="107" spans="1:99" x14ac:dyDescent="0.3">
      <c r="AY107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  <ignoredErrors>
    <ignoredError sqref="BY6:BY10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Fluxos Monetários</vt:lpstr>
      <vt:lpstr>FM - C1</vt:lpstr>
      <vt:lpstr>FM - C2</vt:lpstr>
      <vt:lpstr>FM - C3</vt:lpstr>
      <vt:lpstr>Fluxos Energia</vt:lpstr>
      <vt:lpstr>Energia Demanda Final</vt:lpstr>
      <vt:lpstr>Emprego Setorial</vt:lpstr>
      <vt:lpstr>Emprego</vt:lpstr>
      <vt:lpstr>Fluxos Monetários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Mikail Dimitriadis</dc:creator>
  <cp:lastModifiedBy>Guilherme Nogueira</cp:lastModifiedBy>
  <dcterms:created xsi:type="dcterms:W3CDTF">2025-06-11T19:53:19Z</dcterms:created>
  <dcterms:modified xsi:type="dcterms:W3CDTF">2026-03-05T16:55:43Z</dcterms:modified>
</cp:coreProperties>
</file>