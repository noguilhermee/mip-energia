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cfd6d076248aa8/Documents/Study/UFV/Mestrado/4º Semestre/ERU 799 - Pesquisa/Estimação/mip-energia/data/mips/backup/"/>
    </mc:Choice>
  </mc:AlternateContent>
  <xr:revisionPtr revIDLastSave="914" documentId="8_{C3A23828-C411-4763-942C-C4BD2C52C80B}" xr6:coauthVersionLast="47" xr6:coauthVersionMax="47" xr10:uidLastSave="{9609618D-FF9E-42A2-9B20-630B3A9A0337}"/>
  <bookViews>
    <workbookView xWindow="-108" yWindow="-108" windowWidth="23256" windowHeight="12456" activeTab="1" xr2:uid="{45016FF5-F308-4B3B-8571-E9C3D205119B}"/>
  </bookViews>
  <sheets>
    <sheet name="Fluxos Monetários" sheetId="1" r:id="rId1"/>
    <sheet name="FM - C1" sheetId="5" r:id="rId2"/>
    <sheet name="FM - C2" sheetId="7" r:id="rId3"/>
    <sheet name="FM - C3" sheetId="8" r:id="rId4"/>
    <sheet name="Fluxos Energia" sheetId="2" r:id="rId5"/>
    <sheet name="Energia Demanda Final" sheetId="3" r:id="rId6"/>
    <sheet name="Emprego Setorial" sheetId="4" r:id="rId7"/>
    <sheet name="Fluxos Monetários (2)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" i="2" l="1"/>
  <c r="N21" i="2"/>
  <c r="N19" i="2"/>
  <c r="N18" i="2"/>
  <c r="J21" i="2"/>
  <c r="J20" i="2"/>
  <c r="J17" i="2"/>
  <c r="F18" i="2"/>
  <c r="J19" i="2"/>
  <c r="J18" i="2"/>
  <c r="G22" i="2"/>
  <c r="G21" i="2"/>
  <c r="G20" i="2"/>
  <c r="G19" i="2"/>
  <c r="G18" i="2"/>
  <c r="G17" i="2"/>
  <c r="F20" i="2"/>
  <c r="F21" i="2"/>
  <c r="F19" i="2"/>
  <c r="BY78" i="10" l="1"/>
  <c r="BY77" i="10"/>
  <c r="BY76" i="10"/>
  <c r="BY75" i="10"/>
  <c r="BY74" i="10"/>
  <c r="BY73" i="10"/>
  <c r="BY72" i="10"/>
  <c r="BY71" i="10"/>
  <c r="BY70" i="10"/>
  <c r="BY69" i="10"/>
  <c r="BY68" i="10"/>
  <c r="BY67" i="10"/>
  <c r="BY66" i="10"/>
  <c r="BY65" i="10"/>
  <c r="BY64" i="10"/>
  <c r="BY63" i="10"/>
  <c r="BY62" i="10"/>
  <c r="BY61" i="10"/>
  <c r="BY60" i="10"/>
  <c r="BY59" i="10"/>
  <c r="BY58" i="10"/>
  <c r="BY57" i="10"/>
  <c r="BY56" i="10"/>
  <c r="BY55" i="10"/>
  <c r="BY54" i="10"/>
  <c r="BY53" i="10"/>
  <c r="BY52" i="10"/>
  <c r="BY51" i="10"/>
  <c r="BY50" i="10"/>
  <c r="BY49" i="10"/>
  <c r="BY48" i="10"/>
  <c r="BY47" i="10"/>
  <c r="BY46" i="10"/>
  <c r="BY45" i="10"/>
  <c r="BY44" i="10"/>
  <c r="BY43" i="10"/>
  <c r="BY42" i="10"/>
  <c r="BY41" i="10"/>
  <c r="BY40" i="10"/>
  <c r="BY39" i="10"/>
  <c r="BY38" i="10"/>
  <c r="BY37" i="10"/>
  <c r="BY36" i="10"/>
  <c r="BY35" i="10"/>
  <c r="BY34" i="10"/>
  <c r="BY33" i="10"/>
  <c r="BY32" i="10"/>
  <c r="BY31" i="10"/>
  <c r="BY30" i="10"/>
  <c r="BY29" i="10"/>
  <c r="BY28" i="10"/>
  <c r="BY27" i="10"/>
  <c r="BY26" i="10"/>
  <c r="BY25" i="10"/>
  <c r="BY24" i="10"/>
  <c r="BY23" i="10"/>
  <c r="BY22" i="10"/>
  <c r="BY21" i="10"/>
  <c r="BY20" i="10"/>
  <c r="BY19" i="10"/>
  <c r="BY18" i="10"/>
  <c r="BY17" i="10"/>
  <c r="BY16" i="10"/>
  <c r="BY15" i="10"/>
  <c r="BY14" i="10"/>
  <c r="BY13" i="10"/>
  <c r="BY12" i="10"/>
  <c r="BY11" i="10"/>
  <c r="BY10" i="10"/>
  <c r="BY9" i="10"/>
  <c r="BY8" i="10"/>
  <c r="BY7" i="10"/>
  <c r="BY6" i="10"/>
  <c r="AY95" i="10"/>
  <c r="AY98" i="10" s="1"/>
  <c r="AY101" i="10" s="1"/>
  <c r="AY91" i="10"/>
  <c r="AY89" i="10"/>
  <c r="AY79" i="10"/>
  <c r="AY88" i="10" s="1"/>
  <c r="CI78" i="10"/>
  <c r="CI77" i="10"/>
  <c r="CI76" i="10"/>
  <c r="CI75" i="10"/>
  <c r="CI74" i="10"/>
  <c r="CI73" i="10"/>
  <c r="CI72" i="10"/>
  <c r="CI71" i="10"/>
  <c r="CI70" i="10"/>
  <c r="CI69" i="10"/>
  <c r="CI68" i="10"/>
  <c r="CI67" i="10"/>
  <c r="CI66" i="10"/>
  <c r="CI65" i="10"/>
  <c r="CI64" i="10"/>
  <c r="CI63" i="10"/>
  <c r="CI62" i="10"/>
  <c r="CI61" i="10"/>
  <c r="CI60" i="10"/>
  <c r="CI59" i="10"/>
  <c r="CI58" i="10"/>
  <c r="CI57" i="10"/>
  <c r="CI56" i="10"/>
  <c r="CI55" i="10"/>
  <c r="CI54" i="10"/>
  <c r="CI53" i="10"/>
  <c r="CI52" i="10"/>
  <c r="CI51" i="10"/>
  <c r="CI50" i="10"/>
  <c r="CI49" i="10"/>
  <c r="CI48" i="10"/>
  <c r="CI47" i="10"/>
  <c r="CI46" i="10"/>
  <c r="CI45" i="10"/>
  <c r="CI44" i="10"/>
  <c r="CI43" i="10"/>
  <c r="CI42" i="10"/>
  <c r="CI41" i="10"/>
  <c r="CI40" i="10"/>
  <c r="CI39" i="10"/>
  <c r="CI38" i="10"/>
  <c r="CI37" i="10"/>
  <c r="CI36" i="10"/>
  <c r="CI35" i="10"/>
  <c r="CI34" i="10"/>
  <c r="CI33" i="10"/>
  <c r="CI32" i="10"/>
  <c r="CI31" i="10"/>
  <c r="CI30" i="10"/>
  <c r="CI29" i="10"/>
  <c r="CI28" i="10"/>
  <c r="CI27" i="10"/>
  <c r="CI26" i="10"/>
  <c r="CI25" i="10"/>
  <c r="CI24" i="10"/>
  <c r="CI23" i="10"/>
  <c r="CI22" i="10"/>
  <c r="CI21" i="10"/>
  <c r="CI20" i="10"/>
  <c r="CI19" i="10"/>
  <c r="CI18" i="10"/>
  <c r="CI17" i="10"/>
  <c r="CI16" i="10"/>
  <c r="CI15" i="10"/>
  <c r="CI14" i="10"/>
  <c r="CI13" i="10"/>
  <c r="CI12" i="10"/>
  <c r="CI11" i="10"/>
  <c r="CI10" i="10"/>
  <c r="CI9" i="10"/>
  <c r="CI8" i="10"/>
  <c r="CI7" i="10"/>
  <c r="CI6" i="10"/>
  <c r="AY102" i="10" l="1"/>
  <c r="AY105" i="10" s="1"/>
  <c r="AY48" i="8"/>
  <c r="AY46" i="8"/>
  <c r="AY45" i="8"/>
  <c r="AY24" i="8"/>
  <c r="AY95" i="8"/>
  <c r="AY91" i="8"/>
  <c r="AY89" i="8" s="1"/>
  <c r="CI78" i="8"/>
  <c r="CI77" i="8"/>
  <c r="CI76" i="8"/>
  <c r="CI75" i="8"/>
  <c r="CI74" i="8"/>
  <c r="CI73" i="8"/>
  <c r="CI72" i="8"/>
  <c r="CI71" i="8"/>
  <c r="CI70" i="8"/>
  <c r="CI69" i="8"/>
  <c r="CI68" i="8"/>
  <c r="CI67" i="8"/>
  <c r="CI66" i="8"/>
  <c r="CI65" i="8"/>
  <c r="CI64" i="8"/>
  <c r="CI63" i="8"/>
  <c r="CI62" i="8"/>
  <c r="CI61" i="8"/>
  <c r="CI60" i="8"/>
  <c r="CI59" i="8"/>
  <c r="CI58" i="8"/>
  <c r="CI57" i="8"/>
  <c r="CI56" i="8"/>
  <c r="CI55" i="8"/>
  <c r="CI54" i="8"/>
  <c r="CI53" i="8"/>
  <c r="CI52" i="8"/>
  <c r="CI51" i="8"/>
  <c r="CI50" i="8"/>
  <c r="CI49" i="8"/>
  <c r="CI48" i="8"/>
  <c r="CI47" i="8"/>
  <c r="CI46" i="8"/>
  <c r="CI45" i="8"/>
  <c r="CI44" i="8"/>
  <c r="CI43" i="8"/>
  <c r="CI42" i="8"/>
  <c r="CI41" i="8"/>
  <c r="CI40" i="8"/>
  <c r="CI39" i="8"/>
  <c r="CI38" i="8"/>
  <c r="CI37" i="8"/>
  <c r="CI36" i="8"/>
  <c r="CI35" i="8"/>
  <c r="CI34" i="8"/>
  <c r="CI33" i="8"/>
  <c r="CI32" i="8"/>
  <c r="CI31" i="8"/>
  <c r="CI30" i="8"/>
  <c r="CI29" i="8"/>
  <c r="CI28" i="8"/>
  <c r="CI27" i="8"/>
  <c r="CI26" i="8"/>
  <c r="CI25" i="8"/>
  <c r="CI24" i="8"/>
  <c r="CI23" i="8"/>
  <c r="CI22" i="8"/>
  <c r="CI21" i="8"/>
  <c r="CI20" i="8"/>
  <c r="CI19" i="8"/>
  <c r="CI18" i="8"/>
  <c r="CI17" i="8"/>
  <c r="CI16" i="8"/>
  <c r="CI15" i="8"/>
  <c r="CI14" i="8"/>
  <c r="CI13" i="8"/>
  <c r="CI12" i="8"/>
  <c r="CI11" i="8"/>
  <c r="CI10" i="8"/>
  <c r="CI9" i="8"/>
  <c r="CI8" i="8"/>
  <c r="CI7" i="8"/>
  <c r="CI6" i="8"/>
  <c r="AY48" i="7"/>
  <c r="AY27" i="7"/>
  <c r="AY25" i="7"/>
  <c r="AY95" i="7"/>
  <c r="AY98" i="7" s="1"/>
  <c r="AY101" i="7" s="1"/>
  <c r="AY91" i="7"/>
  <c r="AY89" i="7"/>
  <c r="CI78" i="7"/>
  <c r="CI77" i="7"/>
  <c r="CI76" i="7"/>
  <c r="CI75" i="7"/>
  <c r="CI74" i="7"/>
  <c r="CI73" i="7"/>
  <c r="CI72" i="7"/>
  <c r="CI71" i="7"/>
  <c r="CI70" i="7"/>
  <c r="CI69" i="7"/>
  <c r="CI68" i="7"/>
  <c r="CI67" i="7"/>
  <c r="CI66" i="7"/>
  <c r="CI65" i="7"/>
  <c r="CI64" i="7"/>
  <c r="CI63" i="7"/>
  <c r="CI62" i="7"/>
  <c r="CI61" i="7"/>
  <c r="CI60" i="7"/>
  <c r="CI59" i="7"/>
  <c r="CI58" i="7"/>
  <c r="CI57" i="7"/>
  <c r="CI56" i="7"/>
  <c r="CI55" i="7"/>
  <c r="CI54" i="7"/>
  <c r="CI53" i="7"/>
  <c r="CI52" i="7"/>
  <c r="CI51" i="7"/>
  <c r="CI50" i="7"/>
  <c r="CI49" i="7"/>
  <c r="CI48" i="7"/>
  <c r="CI47" i="7"/>
  <c r="CI46" i="7"/>
  <c r="CI45" i="7"/>
  <c r="CI44" i="7"/>
  <c r="CI43" i="7"/>
  <c r="CI42" i="7"/>
  <c r="CI41" i="7"/>
  <c r="CI40" i="7"/>
  <c r="CI39" i="7"/>
  <c r="CI38" i="7"/>
  <c r="CI37" i="7"/>
  <c r="CI36" i="7"/>
  <c r="CI35" i="7"/>
  <c r="CI34" i="7"/>
  <c r="CI33" i="7"/>
  <c r="CI32" i="7"/>
  <c r="CI31" i="7"/>
  <c r="CI30" i="7"/>
  <c r="CI29" i="7"/>
  <c r="CI28" i="7"/>
  <c r="CI27" i="7"/>
  <c r="CI26" i="7"/>
  <c r="CI25" i="7"/>
  <c r="CI24" i="7"/>
  <c r="CI23" i="7"/>
  <c r="CI22" i="7"/>
  <c r="CI21" i="7"/>
  <c r="CI20" i="7"/>
  <c r="CI19" i="7"/>
  <c r="CI18" i="7"/>
  <c r="CI17" i="7"/>
  <c r="CI16" i="7"/>
  <c r="CI15" i="7"/>
  <c r="CI14" i="7"/>
  <c r="CI13" i="7"/>
  <c r="CI12" i="7"/>
  <c r="CI11" i="7"/>
  <c r="CI10" i="7"/>
  <c r="CI9" i="7"/>
  <c r="CI8" i="7"/>
  <c r="CI7" i="7"/>
  <c r="CI6" i="7"/>
  <c r="AY101" i="5"/>
  <c r="AY98" i="5"/>
  <c r="AY95" i="5"/>
  <c r="AY89" i="5"/>
  <c r="AY102" i="1"/>
  <c r="AY105" i="1"/>
  <c r="AY101" i="1"/>
  <c r="AY98" i="1"/>
  <c r="AY89" i="1"/>
  <c r="AY95" i="1"/>
  <c r="AY91" i="1"/>
  <c r="AY88" i="1"/>
  <c r="AY79" i="1"/>
  <c r="AY91" i="5"/>
  <c r="H18" i="2"/>
  <c r="AY25" i="5" s="1"/>
  <c r="CI78" i="5"/>
  <c r="CI77" i="5"/>
  <c r="CI76" i="5"/>
  <c r="CI75" i="5"/>
  <c r="CI74" i="5"/>
  <c r="CI73" i="5"/>
  <c r="CI72" i="5"/>
  <c r="CI71" i="5"/>
  <c r="CI70" i="5"/>
  <c r="CI69" i="5"/>
  <c r="CI68" i="5"/>
  <c r="CI67" i="5"/>
  <c r="CI66" i="5"/>
  <c r="CI65" i="5"/>
  <c r="CI64" i="5"/>
  <c r="CI63" i="5"/>
  <c r="CI62" i="5"/>
  <c r="CI61" i="5"/>
  <c r="CI60" i="5"/>
  <c r="CI59" i="5"/>
  <c r="CI58" i="5"/>
  <c r="CI57" i="5"/>
  <c r="CI56" i="5"/>
  <c r="CI55" i="5"/>
  <c r="CI54" i="5"/>
  <c r="CI53" i="5"/>
  <c r="CI52" i="5"/>
  <c r="CI51" i="5"/>
  <c r="CI50" i="5"/>
  <c r="CI49" i="5"/>
  <c r="CI48" i="5"/>
  <c r="CI47" i="5"/>
  <c r="CI46" i="5"/>
  <c r="CI45" i="5"/>
  <c r="CI44" i="5"/>
  <c r="CI43" i="5"/>
  <c r="CI42" i="5"/>
  <c r="CI41" i="5"/>
  <c r="CI40" i="5"/>
  <c r="CI39" i="5"/>
  <c r="CI38" i="5"/>
  <c r="CI37" i="5"/>
  <c r="CI36" i="5"/>
  <c r="CI35" i="5"/>
  <c r="CI34" i="5"/>
  <c r="CI33" i="5"/>
  <c r="CI32" i="5"/>
  <c r="CI31" i="5"/>
  <c r="CI30" i="5"/>
  <c r="CI29" i="5"/>
  <c r="CI28" i="5"/>
  <c r="CI27" i="5"/>
  <c r="CI26" i="5"/>
  <c r="CI25" i="5"/>
  <c r="CI24" i="5"/>
  <c r="CI23" i="5"/>
  <c r="CI22" i="5"/>
  <c r="CI21" i="5"/>
  <c r="CI20" i="5"/>
  <c r="CI19" i="5"/>
  <c r="CI18" i="5"/>
  <c r="CI17" i="5"/>
  <c r="CI16" i="5"/>
  <c r="CI15" i="5"/>
  <c r="CI14" i="5"/>
  <c r="CI13" i="5"/>
  <c r="CI12" i="5"/>
  <c r="CI11" i="5"/>
  <c r="CI10" i="5"/>
  <c r="CI9" i="5"/>
  <c r="CI8" i="5"/>
  <c r="CI7" i="5"/>
  <c r="CI6" i="5"/>
  <c r="P26" i="2"/>
  <c r="P19" i="2"/>
  <c r="AY27" i="8" s="1"/>
  <c r="P28" i="2"/>
  <c r="N22" i="2"/>
  <c r="N17" i="2"/>
  <c r="O22" i="2"/>
  <c r="P30" i="2"/>
  <c r="O21" i="2"/>
  <c r="P29" i="2"/>
  <c r="O20" i="2"/>
  <c r="O19" i="2"/>
  <c r="O18" i="2"/>
  <c r="O17" i="2"/>
  <c r="O23" i="2" s="1"/>
  <c r="P25" i="2"/>
  <c r="L21" i="2"/>
  <c r="AY46" i="7" s="1"/>
  <c r="L20" i="2"/>
  <c r="AY45" i="7" s="1"/>
  <c r="L19" i="2"/>
  <c r="L18" i="2"/>
  <c r="K22" i="2"/>
  <c r="K21" i="2"/>
  <c r="K20" i="2"/>
  <c r="K19" i="2"/>
  <c r="K18" i="2"/>
  <c r="K17" i="2"/>
  <c r="H17" i="2"/>
  <c r="AY24" i="5" s="1"/>
  <c r="C20" i="2"/>
  <c r="J23" i="2"/>
  <c r="L26" i="2"/>
  <c r="L30" i="2"/>
  <c r="L29" i="2"/>
  <c r="L28" i="2"/>
  <c r="L27" i="2"/>
  <c r="L25" i="2"/>
  <c r="H30" i="2"/>
  <c r="H29" i="2"/>
  <c r="H28" i="2"/>
  <c r="H27" i="2"/>
  <c r="H26" i="2"/>
  <c r="H25" i="2"/>
  <c r="J22" i="2"/>
  <c r="F22" i="2"/>
  <c r="F17" i="2"/>
  <c r="L22" i="2"/>
  <c r="D22" i="2"/>
  <c r="D21" i="2"/>
  <c r="D20" i="2"/>
  <c r="D19" i="2"/>
  <c r="D18" i="2"/>
  <c r="D17" i="2"/>
  <c r="C18" i="2"/>
  <c r="C19" i="2"/>
  <c r="C21" i="2"/>
  <c r="C22" i="2"/>
  <c r="C17" i="2"/>
  <c r="D23" i="2"/>
  <c r="BB19" i="3"/>
  <c r="AY98" i="8" l="1"/>
  <c r="AY101" i="8" s="1"/>
  <c r="P20" i="2"/>
  <c r="P21" i="2"/>
  <c r="P22" i="2"/>
  <c r="P17" i="2"/>
  <c r="N23" i="2"/>
  <c r="P18" i="2"/>
  <c r="AY25" i="8" s="1"/>
  <c r="AY79" i="8" s="1"/>
  <c r="AY88" i="8" s="1"/>
  <c r="P27" i="2"/>
  <c r="K23" i="2"/>
  <c r="L17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W11" i="3"/>
  <c r="BV11" i="3"/>
  <c r="BU11" i="3"/>
  <c r="BT11" i="3"/>
  <c r="BS11" i="3"/>
  <c r="BR11" i="3"/>
  <c r="BQ11" i="3"/>
  <c r="BP11" i="3"/>
  <c r="BO11" i="3"/>
  <c r="BN11" i="3"/>
  <c r="BM11" i="3"/>
  <c r="BL11" i="3"/>
  <c r="BK11" i="3"/>
  <c r="BJ11" i="3"/>
  <c r="BI11" i="3"/>
  <c r="BH11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W10" i="3"/>
  <c r="BV10" i="3"/>
  <c r="BU10" i="3"/>
  <c r="BT10" i="3"/>
  <c r="BS10" i="3"/>
  <c r="BR10" i="3"/>
  <c r="BQ10" i="3"/>
  <c r="BP10" i="3"/>
  <c r="BO10" i="3"/>
  <c r="BN10" i="3"/>
  <c r="BM10" i="3"/>
  <c r="BL10" i="3"/>
  <c r="BK10" i="3"/>
  <c r="BJ10" i="3"/>
  <c r="BI10" i="3"/>
  <c r="BH10" i="3"/>
  <c r="BG10" i="3"/>
  <c r="BF10" i="3"/>
  <c r="BE10" i="3"/>
  <c r="BD10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W9" i="3"/>
  <c r="BV9" i="3"/>
  <c r="BU9" i="3"/>
  <c r="BT9" i="3"/>
  <c r="BS9" i="3"/>
  <c r="BR9" i="3"/>
  <c r="BQ9" i="3"/>
  <c r="BP9" i="3"/>
  <c r="BO9" i="3"/>
  <c r="BN9" i="3"/>
  <c r="BM9" i="3"/>
  <c r="BL9" i="3"/>
  <c r="BK9" i="3"/>
  <c r="BJ9" i="3"/>
  <c r="BI9" i="3"/>
  <c r="BH9" i="3"/>
  <c r="BG9" i="3"/>
  <c r="BF9" i="3"/>
  <c r="BE9" i="3"/>
  <c r="BD9" i="3"/>
  <c r="BC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CI78" i="1"/>
  <c r="CI77" i="1"/>
  <c r="CI76" i="1"/>
  <c r="CI75" i="1"/>
  <c r="CI74" i="1"/>
  <c r="CI73" i="1"/>
  <c r="CI72" i="1"/>
  <c r="CI71" i="1"/>
  <c r="CI70" i="1"/>
  <c r="CI69" i="1"/>
  <c r="CI68" i="1"/>
  <c r="CI67" i="1"/>
  <c r="CI66" i="1"/>
  <c r="CI65" i="1"/>
  <c r="CI64" i="1"/>
  <c r="CI63" i="1"/>
  <c r="CI62" i="1"/>
  <c r="CI61" i="1"/>
  <c r="CI60" i="1"/>
  <c r="CI59" i="1"/>
  <c r="CI58" i="1"/>
  <c r="CI57" i="1"/>
  <c r="CI56" i="1"/>
  <c r="CI55" i="1"/>
  <c r="CI54" i="1"/>
  <c r="CI53" i="1"/>
  <c r="CI52" i="1"/>
  <c r="CI51" i="1"/>
  <c r="CI50" i="1"/>
  <c r="CI49" i="1"/>
  <c r="CI48" i="1"/>
  <c r="CI47" i="1"/>
  <c r="CI46" i="1"/>
  <c r="CI45" i="1"/>
  <c r="CI44" i="1"/>
  <c r="CI43" i="1"/>
  <c r="CI42" i="1"/>
  <c r="CI41" i="1"/>
  <c r="CI40" i="1"/>
  <c r="CI39" i="1"/>
  <c r="CI38" i="1"/>
  <c r="CI37" i="1"/>
  <c r="CI36" i="1"/>
  <c r="CI35" i="1"/>
  <c r="CI34" i="1"/>
  <c r="CI33" i="1"/>
  <c r="CI32" i="1"/>
  <c r="CI31" i="1"/>
  <c r="CI30" i="1"/>
  <c r="CI29" i="1"/>
  <c r="CI28" i="1"/>
  <c r="CI27" i="1"/>
  <c r="CI26" i="1"/>
  <c r="CI25" i="1"/>
  <c r="CI24" i="1"/>
  <c r="CI23" i="1"/>
  <c r="CI22" i="1"/>
  <c r="CI21" i="1"/>
  <c r="CI20" i="1"/>
  <c r="CI19" i="1"/>
  <c r="CI18" i="1"/>
  <c r="CI17" i="1"/>
  <c r="CI16" i="1"/>
  <c r="CI15" i="1"/>
  <c r="CI14" i="1"/>
  <c r="CI13" i="1"/>
  <c r="CI12" i="1"/>
  <c r="CI11" i="1"/>
  <c r="CI10" i="1"/>
  <c r="CI9" i="1"/>
  <c r="CI8" i="1"/>
  <c r="CI7" i="1"/>
  <c r="CI6" i="1"/>
  <c r="L23" i="2" l="1"/>
  <c r="AY24" i="7"/>
  <c r="AY79" i="7" s="1"/>
  <c r="AY88" i="7" s="1"/>
  <c r="AY102" i="7" s="1"/>
  <c r="AY102" i="8"/>
  <c r="P23" i="2"/>
  <c r="H22" i="2"/>
  <c r="AY48" i="5" s="1"/>
  <c r="C23" i="2"/>
  <c r="K15" i="3"/>
  <c r="AA15" i="3"/>
  <c r="AQ15" i="3"/>
  <c r="BG15" i="3"/>
  <c r="BW15" i="3"/>
  <c r="J15" i="3"/>
  <c r="AP15" i="3"/>
  <c r="BF15" i="3"/>
  <c r="BV15" i="3"/>
  <c r="AG15" i="3"/>
  <c r="I15" i="3"/>
  <c r="BE15" i="3"/>
  <c r="BU15" i="3"/>
  <c r="AX15" i="3"/>
  <c r="AS15" i="3"/>
  <c r="BQ15" i="3"/>
  <c r="U15" i="3"/>
  <c r="H15" i="3"/>
  <c r="X15" i="3"/>
  <c r="AN15" i="3"/>
  <c r="BD15" i="3"/>
  <c r="AE15" i="3"/>
  <c r="P15" i="3"/>
  <c r="AF15" i="3"/>
  <c r="AV15" i="3"/>
  <c r="R15" i="3"/>
  <c r="AH15" i="3"/>
  <c r="BN15" i="3"/>
  <c r="O15" i="3"/>
  <c r="AL15" i="3"/>
  <c r="C15" i="3"/>
  <c r="S15" i="3"/>
  <c r="AI15" i="3"/>
  <c r="AY15" i="3"/>
  <c r="BO15" i="3"/>
  <c r="Z15" i="3"/>
  <c r="Q15" i="3"/>
  <c r="AW15" i="3"/>
  <c r="BM15" i="3"/>
  <c r="M15" i="3"/>
  <c r="AJ15" i="3"/>
  <c r="BP15" i="3"/>
  <c r="AZ15" i="3"/>
  <c r="BR15" i="3"/>
  <c r="Y15" i="3"/>
  <c r="AU15" i="3"/>
  <c r="BK15" i="3"/>
  <c r="AC15" i="3"/>
  <c r="BI15" i="3"/>
  <c r="D15" i="3"/>
  <c r="T15" i="3"/>
  <c r="F15" i="3"/>
  <c r="V15" i="3"/>
  <c r="BB15" i="3"/>
  <c r="G15" i="3"/>
  <c r="W15" i="3"/>
  <c r="AM15" i="3"/>
  <c r="BC15" i="3"/>
  <c r="BS15" i="3"/>
  <c r="N15" i="3"/>
  <c r="BJ15" i="3"/>
  <c r="E15" i="3"/>
  <c r="AK15" i="3"/>
  <c r="BA15" i="3"/>
  <c r="BT15" i="3"/>
  <c r="AO15" i="3"/>
  <c r="L15" i="3"/>
  <c r="AB15" i="3"/>
  <c r="AR15" i="3"/>
  <c r="BH15" i="3"/>
  <c r="AD15" i="3"/>
  <c r="AT15" i="3"/>
  <c r="BL15" i="3"/>
  <c r="F23" i="2" l="1"/>
  <c r="H21" i="2" l="1"/>
  <c r="AY46" i="5" s="1"/>
  <c r="H20" i="2"/>
  <c r="AY45" i="5" s="1"/>
  <c r="H19" i="2"/>
  <c r="AY27" i="5" s="1"/>
  <c r="AY79" i="5" l="1"/>
  <c r="AY88" i="5" s="1"/>
  <c r="AY102" i="5" s="1"/>
  <c r="H23" i="2"/>
  <c r="G23" i="2"/>
</calcChain>
</file>

<file path=xl/sharedStrings.xml><?xml version="1.0" encoding="utf-8"?>
<sst xmlns="http://schemas.openxmlformats.org/spreadsheetml/2006/main" count="2314" uniqueCount="233">
  <si>
    <t>(1) a matriz de fluxos em valores monetários Z, com os setores de valor adicionado e a demanda final;</t>
  </si>
  <si>
    <t>(2) a matriz de fluxos de energia dos setores produtores de energia para todos os setores consumidores de energia E;</t>
  </si>
  <si>
    <t>tep (x1000)</t>
  </si>
  <si>
    <t>Derivados de petróleo**</t>
  </si>
  <si>
    <t>Biodiesel**</t>
  </si>
  <si>
    <t>Etanol**</t>
  </si>
  <si>
    <t>Eletricidade (geração centralizada)**</t>
  </si>
  <si>
    <t>Eletricidade (geração distribuída)**</t>
  </si>
  <si>
    <t>Gás Natural**</t>
  </si>
  <si>
    <t>PRODUTO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</si>
  <si>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</si>
  <si>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</si>
  <si>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</si>
  <si>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</si>
  <si>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</si>
  <si>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</si>
  <si>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</si>
  <si>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</si>
  <si>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</si>
  <si>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</si>
  <si>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</si>
  <si>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</si>
  <si>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</si>
  <si>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</si>
  <si>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</si>
  <si>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</si>
  <si>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</si>
  <si>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</si>
  <si>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</si>
  <si>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</si>
  <si>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</si>
  <si>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</si>
  <si>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</si>
  <si>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</si>
  <si>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</si>
  <si>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</si>
  <si>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</si>
  <si>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</si>
  <si>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</si>
  <si>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</si>
  <si>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</si>
  <si>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</si>
  <si>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</si>
  <si>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</si>
  <si>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</si>
  <si>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</si>
  <si>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</si>
  <si>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</si>
  <si>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</si>
  <si>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</si>
  <si>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</si>
  <si>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</si>
  <si>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</si>
  <si>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</si>
  <si>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</si>
  <si>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</si>
  <si>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</si>
  <si>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</si>
  <si>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</si>
  <si>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</si>
  <si>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</si>
  <si>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</si>
  <si>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</si>
  <si>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</si>
  <si>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</si>
  <si>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</si>
  <si>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</si>
  <si>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</si>
  <si>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</si>
  <si>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</si>
  <si>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</si>
  <si>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</si>
  <si>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</si>
  <si>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</si>
  <si>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</si>
  <si>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</si>
  <si>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</si>
  <si>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</si>
  <si>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</si>
  <si>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</si>
  <si>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</si>
  <si>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</si>
  <si>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</si>
  <si>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Valores correntes em  1 000 000 R$</t>
  </si>
  <si>
    <t>Agricultura, inclusive o apoio à agricultura e a pós-colheita</t>
  </si>
  <si>
    <t>Pecuária, inclusive o apoio à pecuária</t>
  </si>
  <si>
    <t>Produção florestal; pesca e aquicultura</t>
  </si>
  <si>
    <t>Extração de carvão mineral e de minerais não-metálicos</t>
  </si>
  <si>
    <t>Extração de petróleo e gás, inclusive as atividades de apoio</t>
  </si>
  <si>
    <t>Extração de minério de ferro, inclusive beneficiamentos e a aglomeração</t>
  </si>
  <si>
    <t>Extração de minerais metálicos não-ferrosos, inclusive beneficiamentos</t>
  </si>
  <si>
    <t>Abate e produtos de carne, inclusive os produtos do laticínio e da pesca</t>
  </si>
  <si>
    <t>Fabricação e refino de açúcar</t>
  </si>
  <si>
    <t>Outros produtos alimentares</t>
  </si>
  <si>
    <t>Fabricação de bebidas</t>
  </si>
  <si>
    <t>Fabricação de produtos do fumo</t>
  </si>
  <si>
    <t>Fabricação de produtos têxteis</t>
  </si>
  <si>
    <t>Confecção de artefatos do vestuário e acessórios</t>
  </si>
  <si>
    <t>Fabricação de calçados e de artefatos de couro</t>
  </si>
  <si>
    <t>Fabricação de produtos da madeira</t>
  </si>
  <si>
    <t>Fabricação de celulose, papel e produtos de papel</t>
  </si>
  <si>
    <t>Impressão e reprodução de gravações</t>
  </si>
  <si>
    <t>Derivados de petróleo</t>
  </si>
  <si>
    <t>Biodiesel</t>
  </si>
  <si>
    <t>Coquerias</t>
  </si>
  <si>
    <t>Fabricação de biocombustíveis</t>
  </si>
  <si>
    <t>Fabricação de químicos orgânicos e inorgânicos, resinas e elastômeros</t>
  </si>
  <si>
    <t>Fabricação de defensivos, desinfestantes, tintas e químicos diversos</t>
  </si>
  <si>
    <t>Fabricação de produtos de limpeza, cosméticos/perfumaria e higiene pessoal</t>
  </si>
  <si>
    <t>Fabricação de produtos farmoquímicos e farmacêuticos</t>
  </si>
  <si>
    <t>Fabricação de produtos de borracha e de material plástico</t>
  </si>
  <si>
    <t>Fabricação de produtos de minerais não-metálicos</t>
  </si>
  <si>
    <t>Produção de ferro-gusa/ferroligas, siderurgia e tubos de aço sem costura</t>
  </si>
  <si>
    <t>Metalurgia de metais não-ferosos e a fundição de metais</t>
  </si>
  <si>
    <t>Fabricação de produtos de metal, exceto máquinas e equipamentos</t>
  </si>
  <si>
    <t>Fabricação de equipamentos de informática, produtos eletrônicos e ópticos</t>
  </si>
  <si>
    <t>Fabricação de máquinas e equipamentos elétricos</t>
  </si>
  <si>
    <t>Fabricação de máquinas e equipamentos mecânicos</t>
  </si>
  <si>
    <t>Fabricação de automóveis, caminhões e ônibus, exceto peças</t>
  </si>
  <si>
    <t>Fabricação de peças e acessórios para veículos automotores</t>
  </si>
  <si>
    <t>Fabricação de outros equipamentos de transporte, exceto veículos automotores</t>
  </si>
  <si>
    <t>Fabricação de móveis e de produtos de indústrias diversas</t>
  </si>
  <si>
    <t>Manutenção, reparação e instalação de máquinas e equipamentos</t>
  </si>
  <si>
    <t>Geração centralizada de energia elétrica</t>
  </si>
  <si>
    <t>Geração distribuída de energia elétrica</t>
  </si>
  <si>
    <t>Transmissão</t>
  </si>
  <si>
    <t>Gás Natural</t>
  </si>
  <si>
    <t>Água, esgoto e gestão de resíduos</t>
  </si>
  <si>
    <t>Construção</t>
  </si>
  <si>
    <t>Comércio e reparação de veículos automotores e motocicletas</t>
  </si>
  <si>
    <t>Comércio por atacado e a varejo, exceto veículos automotores</t>
  </si>
  <si>
    <t>Transporte terrestre</t>
  </si>
  <si>
    <t>Transporte aquaviário</t>
  </si>
  <si>
    <t>Transporte aéreo</t>
  </si>
  <si>
    <t>Armazenamento, atividades auxiliares dos transportes e correio</t>
  </si>
  <si>
    <t>Alojamento</t>
  </si>
  <si>
    <t>Alimentação</t>
  </si>
  <si>
    <t>Edição e edição integrada à impressão</t>
  </si>
  <si>
    <t>Atividades de televisão, rádio, cinema e  gravação/edição de som e imagem</t>
  </si>
  <si>
    <t>Telecomunicações</t>
  </si>
  <si>
    <t>Desenvolvimento de sistemas e outros serviços de informação</t>
  </si>
  <si>
    <t>Intermediação financeira, seguros e previdência complementar</t>
  </si>
  <si>
    <t>Atividades imobiliárias</t>
  </si>
  <si>
    <t xml:space="preserve">Atividades jurídicas, contábeis, consultoria e sedes de empresas </t>
  </si>
  <si>
    <t>Serviços de arquitetura, engenharia, testes/análises técnicas e P &amp; D</t>
  </si>
  <si>
    <t>Outras atividades profissionais, científicas e técnicas</t>
  </si>
  <si>
    <t>Aluguéis não-imobiliários e gestão de ativos de propriedade intelectual</t>
  </si>
  <si>
    <t>Outras atividades administrativas e serviços complementares</t>
  </si>
  <si>
    <t>Atividades de vigilância, segurança e investigação</t>
  </si>
  <si>
    <t>Administração pública, defesa e seguridade social</t>
  </si>
  <si>
    <t>Educação pública</t>
  </si>
  <si>
    <t>Educação privada</t>
  </si>
  <si>
    <t>Saúde pública</t>
  </si>
  <si>
    <t>Saúde privada</t>
  </si>
  <si>
    <t>Atividades artísticas, criativas e de espetáculos</t>
  </si>
  <si>
    <t>Organizações associativas e outros serviços pessoais</t>
  </si>
  <si>
    <t>Serviços domésticos</t>
  </si>
  <si>
    <t>Consumo Intermediário total</t>
  </si>
  <si>
    <t>Exportação
de bens e
serviços</t>
  </si>
  <si>
    <t>Consumo
do governo</t>
  </si>
  <si>
    <t>Consumo
das
 ISFLSF</t>
  </si>
  <si>
    <t>Consumo 
das famílias</t>
  </si>
  <si>
    <t>Formação bruta
de capital fixo</t>
  </si>
  <si>
    <t>Variação
de estoque</t>
  </si>
  <si>
    <t>Demanda
final</t>
  </si>
  <si>
    <t>Demanda
total</t>
  </si>
  <si>
    <t>Prod Nac</t>
  </si>
  <si>
    <t>Importado</t>
  </si>
  <si>
    <t>Imp Import</t>
  </si>
  <si>
    <t>ICMS Total</t>
  </si>
  <si>
    <t>Zeros</t>
  </si>
  <si>
    <t>IPI Total</t>
  </si>
  <si>
    <t>Outros IIL Total</t>
  </si>
  <si>
    <t>CONSUMO INTERMEDIÁRIO</t>
  </si>
  <si>
    <t>R10</t>
  </si>
  <si>
    <t>Remunerações</t>
  </si>
  <si>
    <t>R11</t>
  </si>
  <si>
    <t xml:space="preserve">   Salários</t>
  </si>
  <si>
    <t>R12</t>
  </si>
  <si>
    <t xml:space="preserve">   Contribuições sociais efetivas</t>
  </si>
  <si>
    <t xml:space="preserve">      Previdência oficial /FGTS</t>
  </si>
  <si>
    <t xml:space="preserve">      Previdência privada</t>
  </si>
  <si>
    <t>R13</t>
  </si>
  <si>
    <t xml:space="preserve">   Contribuições sociais imputadas</t>
  </si>
  <si>
    <t>N2</t>
  </si>
  <si>
    <t>Excedente operacional bruto e rendimento misto bruto</t>
  </si>
  <si>
    <t xml:space="preserve">   Rendimento misto bruto</t>
  </si>
  <si>
    <t xml:space="preserve">   Excedente operacional bruto (EOB)</t>
  </si>
  <si>
    <t>N0</t>
  </si>
  <si>
    <t>VALOR ADICIONADO CUSTO FATORES</t>
  </si>
  <si>
    <t>R22</t>
  </si>
  <si>
    <t>Outros impostos sobre a produção</t>
  </si>
  <si>
    <t>R32</t>
  </si>
  <si>
    <t>Outros subsídios à produção</t>
  </si>
  <si>
    <t>N1</t>
  </si>
  <si>
    <t>Valor adicionado bruto ( PIB )</t>
  </si>
  <si>
    <t>P10</t>
  </si>
  <si>
    <t>VALOR DA PRODUÇÃO</t>
  </si>
  <si>
    <t>Fator trabalho (ocupações)</t>
  </si>
  <si>
    <t>Matriz de usos setor x setor</t>
  </si>
  <si>
    <t>(3) o vetor de energia vendido para a demanda final q; e</t>
  </si>
  <si>
    <t>(4) O emprego setorial usado na análise na seção 5.1 da nota técnica.</t>
  </si>
  <si>
    <t>Nível de formalidade</t>
  </si>
  <si>
    <t>Informal*</t>
  </si>
  <si>
    <t>Formal*</t>
  </si>
  <si>
    <t>Cor da pele</t>
  </si>
  <si>
    <t>PPI*</t>
  </si>
  <si>
    <t>Branca*</t>
  </si>
  <si>
    <t>Sexo</t>
  </si>
  <si>
    <t>Homem*</t>
  </si>
  <si>
    <t>Mulher*</t>
  </si>
  <si>
    <t>Nível de escolaridade</t>
  </si>
  <si>
    <t>Baixo-Médio*</t>
  </si>
  <si>
    <t>Superior*</t>
  </si>
  <si>
    <t>Nº de ocupações</t>
  </si>
  <si>
    <t>Unidade</t>
  </si>
  <si>
    <t>Número identificador</t>
  </si>
  <si>
    <t>Proporção Demanda Final / Demanda total</t>
  </si>
  <si>
    <t>Vetor de energia para a demanda final por setor</t>
  </si>
  <si>
    <t>Total todas as fontes</t>
  </si>
  <si>
    <t>Fonte</t>
  </si>
  <si>
    <t>Cenário 1</t>
  </si>
  <si>
    <t>Novo Fluxo</t>
  </si>
  <si>
    <t>Preço</t>
  </si>
  <si>
    <t>Nova Demanda</t>
  </si>
  <si>
    <t>Cenário Base</t>
  </si>
  <si>
    <t>Cenário 2</t>
  </si>
  <si>
    <t>Demanda Atual</t>
  </si>
  <si>
    <t>Fluxo Atual</t>
  </si>
  <si>
    <t>Etanol</t>
  </si>
  <si>
    <t>Eletricidade (geração centralizada)</t>
  </si>
  <si>
    <t>Eletricidade (geração distribuída)</t>
  </si>
  <si>
    <t>Cenário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</si>
</sst>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%"/>
  </numFmts>
  <fonts count="11" x14ac:knownFonts="1">
    <font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i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/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81">
    <xf numFmtId="0" fontId="0" fillId="0" borderId="0" xfId="0"/>
    <xf numFmtId="0" fontId="2" fillId="2" borderId="0" xfId="0" applyFont="1" applyFill="1"/>
    <xf numFmtId="1" fontId="2" fillId="2" borderId="0" xfId="0" applyNumberFormat="1" applyFont="1" applyFill="1"/>
    <xf numFmtId="0" fontId="3" fillId="2" borderId="0" xfId="0" applyFont="1" applyFill="1" applyAlignment="1">
      <alignment horizontal="right"/>
    </xf>
    <xf numFmtId="0" fontId="3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3" fillId="2" borderId="0" xfId="0" quotePrefix="1" applyFont="1" applyFill="1" applyAlignment="1">
      <alignment horizontal="left"/>
    </xf>
    <xf numFmtId="0" fontId="5" fillId="2" borderId="1" xfId="0" applyFont="1" applyFill="1" applyBorder="1" applyAlignment="1">
      <alignment horizontal="center" vertical="top" wrapText="1"/>
    </xf>
    <xf numFmtId="0" fontId="5" fillId="2" borderId="0" xfId="0" applyFont="1" applyFill="1" applyAlignment="1">
      <alignment horizontal="left"/>
    </xf>
    <xf numFmtId="1" fontId="4" fillId="2" borderId="0" xfId="0" applyNumberFormat="1" applyFont="1" applyFill="1"/>
    <xf numFmtId="0" fontId="5" fillId="2" borderId="0" xfId="0" quotePrefix="1" applyFont="1" applyFill="1" applyAlignment="1">
      <alignment horizontal="left"/>
    </xf>
    <xf numFmtId="1" fontId="5" fillId="2" borderId="0" xfId="0" applyNumberFormat="1" applyFont="1" applyFill="1"/>
    <xf numFmtId="0" fontId="3" fillId="2" borderId="0" xfId="0" quotePrefix="1" applyFont="1" applyFill="1" applyAlignment="1">
      <alignment horizontal="center"/>
    </xf>
    <xf numFmtId="1" fontId="5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5" fillId="2" borderId="0" xfId="0" applyFont="1" applyFill="1"/>
    <xf numFmtId="0" fontId="1" fillId="0" borderId="0" xfId="0" applyFont="1"/>
    <xf numFmtId="0" fontId="6" fillId="2" borderId="0" xfId="0" applyFont="1" applyFill="1"/>
    <xf numFmtId="0" fontId="3" fillId="2" borderId="1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0" xfId="0" applyFont="1" applyFill="1" applyAlignment="1">
      <alignment horizontal="center" vertical="top" wrapText="1"/>
    </xf>
    <xf numFmtId="0" fontId="8" fillId="2" borderId="0" xfId="0" applyFont="1" applyFill="1"/>
    <xf numFmtId="4" fontId="4" fillId="2" borderId="0" xfId="0" applyNumberFormat="1" applyFont="1" applyFill="1"/>
    <xf numFmtId="4" fontId="2" fillId="2" borderId="0" xfId="0" applyNumberFormat="1" applyFont="1" applyFill="1"/>
    <xf numFmtId="4" fontId="7" fillId="0" borderId="0" xfId="0" applyNumberFormat="1" applyFont="1"/>
    <xf numFmtId="0" fontId="4" fillId="2" borderId="0" xfId="0" applyFont="1" applyFill="1" applyAlignment="1">
      <alignment horizontal="center"/>
    </xf>
    <xf numFmtId="4" fontId="0" fillId="0" borderId="0" xfId="0" applyNumberFormat="1"/>
    <xf numFmtId="4" fontId="9" fillId="2" borderId="0" xfId="0" applyNumberFormat="1" applyFont="1" applyFill="1"/>
    <xf numFmtId="164" fontId="0" fillId="0" borderId="0" xfId="0" applyNumberFormat="1"/>
    <xf numFmtId="0" fontId="5" fillId="3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4" fillId="3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4" fontId="0" fillId="4" borderId="0" xfId="0" applyNumberFormat="1" applyFill="1"/>
    <xf numFmtId="4" fontId="4" fillId="4" borderId="0" xfId="0" applyNumberFormat="1" applyFont="1" applyFill="1"/>
    <xf numFmtId="4" fontId="9" fillId="4" borderId="0" xfId="0" applyNumberFormat="1" applyFont="1" applyFill="1"/>
    <xf numFmtId="0" fontId="0" fillId="3" borderId="0" xfId="0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2" fontId="4" fillId="4" borderId="0" xfId="0" applyNumberFormat="1" applyFont="1" applyFill="1"/>
    <xf numFmtId="0" fontId="0" fillId="0" borderId="0" xfId="0" applyAlignment="1">
      <alignment horizontal="center" vertical="center"/>
    </xf>
    <xf numFmtId="4" fontId="5" fillId="2" borderId="0" xfId="0" applyNumberFormat="1" applyFont="1" applyFill="1"/>
    <xf numFmtId="4" fontId="5" fillId="4" borderId="0" xfId="0" applyNumberFormat="1" applyFont="1" applyFill="1"/>
    <xf numFmtId="4" fontId="3" fillId="4" borderId="0" xfId="0" applyNumberFormat="1" applyFont="1" applyFill="1"/>
    <xf numFmtId="4" fontId="7" fillId="4" borderId="0" xfId="0" applyNumberFormat="1" applyFont="1" applyFill="1"/>
    <xf numFmtId="0" fontId="0" fillId="4" borderId="0" xfId="0" applyFill="1"/>
    <xf numFmtId="4" fontId="2" fillId="4" borderId="0" xfId="0" applyNumberFormat="1" applyFont="1" applyFill="1"/>
    <xf numFmtId="0" fontId="4" fillId="0" borderId="0" xfId="0" applyFont="1"/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" fontId="4" fillId="0" borderId="0" xfId="0" applyNumberFormat="1" applyFont="1"/>
    <xf numFmtId="2" fontId="4" fillId="0" borderId="0" xfId="0" applyNumberFormat="1" applyFont="1"/>
    <xf numFmtId="4" fontId="9" fillId="0" borderId="0" xfId="0" applyNumberFormat="1" applyFont="1"/>
    <xf numFmtId="9" fontId="0" fillId="0" borderId="0" xfId="0" applyNumberFormat="1" applyAlignment="1">
      <alignment horizontal="center"/>
    </xf>
    <xf numFmtId="9" fontId="0" fillId="0" borderId="0" xfId="1" applyFont="1" applyFill="1" applyAlignment="1">
      <alignment horizontal="center" vertical="center"/>
    </xf>
    <xf numFmtId="4" fontId="0" fillId="0" borderId="0" xfId="0" applyNumberFormat="1" applyAlignment="1">
      <alignment horizontal="center"/>
    </xf>
    <xf numFmtId="0" fontId="4" fillId="0" borderId="0" xfId="0" applyFont="1" applyAlignment="1">
      <alignment vertical="center"/>
    </xf>
    <xf numFmtId="9" fontId="0" fillId="3" borderId="0" xfId="1" applyFont="1" applyFill="1" applyAlignment="1">
      <alignment horizontal="center"/>
    </xf>
    <xf numFmtId="0" fontId="7" fillId="4" borderId="0" xfId="0" applyFont="1" applyFill="1"/>
    <xf numFmtId="165" fontId="0" fillId="3" borderId="0" xfId="1" applyNumberFormat="1" applyFont="1" applyFill="1" applyAlignment="1">
      <alignment horizontal="center"/>
    </xf>
    <xf numFmtId="0" fontId="4" fillId="4" borderId="0" xfId="0" applyFont="1" applyFill="1"/>
    <xf numFmtId="0" fontId="9" fillId="2" borderId="0" xfId="0" applyFont="1" applyFill="1" applyAlignment="1">
      <alignment horizontal="center"/>
    </xf>
    <xf numFmtId="1" fontId="3" fillId="2" borderId="0" xfId="0" applyNumberFormat="1" applyFont="1" applyFill="1"/>
    <xf numFmtId="1" fontId="3" fillId="2" borderId="0" xfId="0" applyNumberFormat="1" applyFont="1" applyFill="1" applyAlignment="1">
      <alignment horizontal="left"/>
    </xf>
    <xf numFmtId="0" fontId="5" fillId="5" borderId="1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  <xf numFmtId="4" fontId="4" fillId="6" borderId="0" xfId="0" applyNumberFormat="1" applyFont="1" applyFill="1"/>
    <xf numFmtId="0" fontId="3" fillId="2" borderId="0" xfId="0" quotePrefix="1" applyFont="1" applyFill="1" applyAlignment="1">
      <alignment horizontal="center" vertical="center"/>
    </xf>
    <xf numFmtId="0" fontId="3" fillId="2" borderId="3" xfId="0" quotePrefix="1" applyFont="1" applyFill="1" applyBorder="1" applyAlignment="1">
      <alignment horizontal="center" vertical="center"/>
    </xf>
    <xf numFmtId="0" fontId="5" fillId="2" borderId="0" xfId="0" quotePrefix="1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298F3-2AFE-44A9-A8E9-A89B65764BFA}">
  <sheetPr codeName="Planilha1"/>
  <dimension ref="A1:CU107"/>
  <sheetViews>
    <sheetView showGridLines="0" zoomScaleNormal="100" workbookViewId="0">
      <pane xSplit="2" ySplit="4" topLeftCell="AX88" activePane="bottomRight" state="frozen"/>
      <selection pane="topRight" activeCell="C1" sqref="C1"/>
      <selection pane="bottomLeft" activeCell="A7" sqref="A7"/>
      <selection pane="bottomRight" activeCell="AY102" sqref="AY102"/>
    </sheetView>
  </sheetViews>
  <sheetFormatPr defaultRowHeight="14.4" x14ac:dyDescent="0.3"/>
  <cols>
    <col min="1" max="1" width="9.44140625" style="33" customWidth="1"/>
    <col min="2" max="2" width="32.77734375" customWidth="1"/>
    <col min="4" max="5" width="11.6640625" bestFit="1" customWidth="1"/>
    <col min="6" max="8" width="10.109375" bestFit="1" customWidth="1"/>
    <col min="9" max="10" width="9.109375" bestFit="1" customWidth="1"/>
    <col min="11" max="12" width="10.109375" bestFit="1" customWidth="1"/>
    <col min="13" max="13" width="11.6640625" bestFit="1" customWidth="1"/>
    <col min="14" max="14" width="10.109375" bestFit="1" customWidth="1"/>
    <col min="15" max="15" width="9.109375" bestFit="1" customWidth="1"/>
    <col min="16" max="16" width="10.109375" bestFit="1" customWidth="1"/>
    <col min="17" max="17" width="11.6640625" bestFit="1" customWidth="1"/>
    <col min="18" max="22" width="10.109375" bestFit="1" customWidth="1"/>
    <col min="23" max="23" width="9.109375" bestFit="1" customWidth="1"/>
    <col min="24" max="24" width="9" bestFit="1" customWidth="1"/>
    <col min="25" max="25" width="9.109375" bestFit="1" customWidth="1"/>
    <col min="26" max="26" width="10.109375" bestFit="1" customWidth="1"/>
    <col min="27" max="27" width="9.109375" bestFit="1" customWidth="1"/>
    <col min="28" max="39" width="10.109375" bestFit="1" customWidth="1"/>
    <col min="40" max="40" width="9.109375" bestFit="1" customWidth="1"/>
    <col min="41" max="43" width="10.109375" bestFit="1" customWidth="1"/>
    <col min="44" max="46" width="9.109375" bestFit="1" customWidth="1"/>
    <col min="47" max="47" width="10.109375" bestFit="1" customWidth="1"/>
    <col min="48" max="49" width="11.6640625" bestFit="1" customWidth="1"/>
    <col min="50" max="50" width="12.6640625" bestFit="1" customWidth="1"/>
    <col min="51" max="51" width="11.6640625" bestFit="1" customWidth="1"/>
    <col min="52" max="53" width="9.109375" bestFit="1" customWidth="1"/>
    <col min="54" max="55" width="10.109375" bestFit="1" customWidth="1"/>
    <col min="56" max="56" width="11.6640625" bestFit="1" customWidth="1"/>
    <col min="57" max="60" width="10.109375" bestFit="1" customWidth="1"/>
    <col min="61" max="61" width="11.6640625" bestFit="1" customWidth="1"/>
    <col min="62" max="62" width="10.109375" bestFit="1" customWidth="1"/>
    <col min="63" max="63" width="11.6640625" bestFit="1" customWidth="1"/>
    <col min="64" max="66" width="10.109375" bestFit="1" customWidth="1"/>
    <col min="67" max="67" width="11.6640625" bestFit="1" customWidth="1"/>
    <col min="68" max="68" width="10.109375" bestFit="1" customWidth="1"/>
    <col min="69" max="76" width="11.6640625" bestFit="1" customWidth="1"/>
    <col min="77" max="77" width="13.77734375" bestFit="1" customWidth="1"/>
    <col min="78" max="79" width="11.6640625" bestFit="1" customWidth="1"/>
    <col min="80" max="80" width="10.109375" bestFit="1" customWidth="1"/>
    <col min="81" max="82" width="11.6640625" bestFit="1" customWidth="1"/>
    <col min="83" max="83" width="9.77734375" bestFit="1" customWidth="1"/>
    <col min="84" max="84" width="11.6640625" bestFit="1" customWidth="1"/>
    <col min="85" max="85" width="13.77734375" bestFit="1" customWidth="1"/>
    <col min="87" max="87" width="16.33203125" customWidth="1"/>
  </cols>
  <sheetData>
    <row r="1" spans="1:99" x14ac:dyDescent="0.3">
      <c r="A1" s="33" t="s">
        <v>0</v>
      </c>
    </row>
    <row r="3" spans="1:99" s="5" customFormat="1" x14ac:dyDescent="0.3">
      <c r="A3" s="75" t="s">
        <v>83</v>
      </c>
      <c r="B3" s="75"/>
      <c r="C3" s="75"/>
      <c r="D3" s="6" t="s">
        <v>10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  <c r="J3" s="6" t="s">
        <v>16</v>
      </c>
      <c r="K3" s="6" t="s">
        <v>17</v>
      </c>
      <c r="L3" s="6" t="s">
        <v>18</v>
      </c>
      <c r="M3" s="6" t="s">
        <v>19</v>
      </c>
      <c r="N3" s="6" t="s">
        <v>20</v>
      </c>
      <c r="O3" s="6" t="s">
        <v>21</v>
      </c>
      <c r="P3" s="6" t="s">
        <v>22</v>
      </c>
      <c r="Q3" s="6" t="s">
        <v>23</v>
      </c>
      <c r="R3" s="6" t="s">
        <v>24</v>
      </c>
      <c r="S3" s="6" t="s">
        <v>25</v>
      </c>
      <c r="T3" s="6" t="s">
        <v>26</v>
      </c>
      <c r="U3" s="6" t="s">
        <v>27</v>
      </c>
      <c r="V3" s="6" t="s">
        <v>28</v>
      </c>
      <c r="W3" s="6" t="s">
        <v>29</v>
      </c>
      <c r="X3" s="6" t="s">
        <v>30</v>
      </c>
      <c r="Y3" s="6" t="s">
        <v>31</v>
      </c>
      <c r="Z3" s="6" t="s">
        <v>32</v>
      </c>
      <c r="AA3" s="6" t="s">
        <v>33</v>
      </c>
      <c r="AB3" s="6" t="s">
        <v>34</v>
      </c>
      <c r="AC3" s="6" t="s">
        <v>35</v>
      </c>
      <c r="AD3" s="6" t="s">
        <v>36</v>
      </c>
      <c r="AE3" s="6" t="s">
        <v>37</v>
      </c>
      <c r="AF3" s="6" t="s">
        <v>38</v>
      </c>
      <c r="AG3" s="6" t="s">
        <v>39</v>
      </c>
      <c r="AH3" s="6" t="s">
        <v>40</v>
      </c>
      <c r="AI3" s="6" t="s">
        <v>41</v>
      </c>
      <c r="AJ3" s="6" t="s">
        <v>42</v>
      </c>
      <c r="AK3" s="6" t="s">
        <v>43</v>
      </c>
      <c r="AL3" s="6" t="s">
        <v>44</v>
      </c>
      <c r="AM3" s="6" t="s">
        <v>45</v>
      </c>
      <c r="AN3" s="6" t="s">
        <v>46</v>
      </c>
      <c r="AO3" s="6" t="s">
        <v>47</v>
      </c>
      <c r="AP3" s="6" t="s">
        <v>48</v>
      </c>
      <c r="AQ3" s="6" t="s">
        <v>49</v>
      </c>
      <c r="AR3" s="6" t="s">
        <v>50</v>
      </c>
      <c r="AS3" s="6" t="s">
        <v>51</v>
      </c>
      <c r="AT3" s="6" t="s">
        <v>52</v>
      </c>
      <c r="AU3" s="6" t="s">
        <v>53</v>
      </c>
      <c r="AV3" s="6" t="s">
        <v>54</v>
      </c>
      <c r="AW3" s="6" t="s">
        <v>55</v>
      </c>
      <c r="AX3" s="6" t="s">
        <v>56</v>
      </c>
      <c r="AY3" s="38" t="s">
        <v>57</v>
      </c>
      <c r="AZ3" s="6" t="s">
        <v>58</v>
      </c>
      <c r="BA3" s="6" t="s">
        <v>59</v>
      </c>
      <c r="BB3" s="6" t="s">
        <v>60</v>
      </c>
      <c r="BC3" s="6" t="s">
        <v>61</v>
      </c>
      <c r="BD3" s="6" t="s">
        <v>62</v>
      </c>
      <c r="BE3" s="6" t="s">
        <v>63</v>
      </c>
      <c r="BF3" s="6" t="s">
        <v>64</v>
      </c>
      <c r="BG3" s="6" t="s">
        <v>65</v>
      </c>
      <c r="BH3" s="6" t="s">
        <v>66</v>
      </c>
      <c r="BI3" s="6" t="s">
        <v>67</v>
      </c>
      <c r="BJ3" s="6" t="s">
        <v>68</v>
      </c>
      <c r="BK3" s="6" t="s">
        <v>69</v>
      </c>
      <c r="BL3" s="6" t="s">
        <v>70</v>
      </c>
      <c r="BM3" s="6" t="s">
        <v>71</v>
      </c>
      <c r="BN3" s="6" t="s">
        <v>72</v>
      </c>
      <c r="BO3" s="6" t="s">
        <v>73</v>
      </c>
      <c r="BP3" s="6" t="s">
        <v>74</v>
      </c>
      <c r="BQ3" s="6" t="s">
        <v>75</v>
      </c>
      <c r="BR3" s="6" t="s">
        <v>76</v>
      </c>
      <c r="BS3" s="6" t="s">
        <v>77</v>
      </c>
      <c r="BT3" s="6" t="s">
        <v>78</v>
      </c>
      <c r="BU3" s="6" t="s">
        <v>79</v>
      </c>
      <c r="BV3" s="6" t="s">
        <v>80</v>
      </c>
      <c r="BW3" s="6" t="s">
        <v>81</v>
      </c>
      <c r="BX3" s="6" t="s">
        <v>82</v>
      </c>
      <c r="BY3" s="3"/>
      <c r="BZ3" s="4"/>
      <c r="CA3" s="4"/>
      <c r="CB3" s="7"/>
      <c r="CC3" s="3"/>
      <c r="CD3" s="3"/>
      <c r="CE3" s="8"/>
      <c r="CF3" s="3"/>
      <c r="CG3" s="3"/>
      <c r="CH3"/>
      <c r="CI3"/>
      <c r="CJ3"/>
      <c r="CK3"/>
      <c r="CL3"/>
      <c r="CM3"/>
      <c r="CN3"/>
      <c r="CO3"/>
      <c r="CP3"/>
      <c r="CQ3"/>
      <c r="CR3"/>
      <c r="CS3"/>
      <c r="CT3"/>
      <c r="CU3"/>
    </row>
    <row r="4" spans="1:99" s="18" customFormat="1" ht="36.75" customHeight="1" x14ac:dyDescent="0.3">
      <c r="A4" s="73" t="s">
        <v>199</v>
      </c>
      <c r="B4" s="73"/>
      <c r="C4" s="74"/>
      <c r="D4" s="10" t="s">
        <v>84</v>
      </c>
      <c r="E4" s="10" t="s">
        <v>85</v>
      </c>
      <c r="F4" s="10" t="s">
        <v>86</v>
      </c>
      <c r="G4" s="10" t="s">
        <v>87</v>
      </c>
      <c r="H4" s="21" t="s">
        <v>88</v>
      </c>
      <c r="I4" s="10" t="s">
        <v>89</v>
      </c>
      <c r="J4" s="10" t="s">
        <v>90</v>
      </c>
      <c r="K4" s="10" t="s">
        <v>91</v>
      </c>
      <c r="L4" s="10" t="s">
        <v>92</v>
      </c>
      <c r="M4" s="10" t="s">
        <v>93</v>
      </c>
      <c r="N4" s="10" t="s">
        <v>94</v>
      </c>
      <c r="O4" s="10" t="s">
        <v>95</v>
      </c>
      <c r="P4" s="10" t="s">
        <v>96</v>
      </c>
      <c r="Q4" s="10" t="s">
        <v>97</v>
      </c>
      <c r="R4" s="10" t="s">
        <v>98</v>
      </c>
      <c r="S4" s="10" t="s">
        <v>99</v>
      </c>
      <c r="T4" s="10" t="s">
        <v>100</v>
      </c>
      <c r="U4" s="10" t="s">
        <v>101</v>
      </c>
      <c r="V4" s="21" t="s">
        <v>102</v>
      </c>
      <c r="W4" s="21" t="s">
        <v>103</v>
      </c>
      <c r="X4" s="10" t="s">
        <v>104</v>
      </c>
      <c r="Y4" s="21" t="s">
        <v>105</v>
      </c>
      <c r="Z4" s="10" t="s">
        <v>106</v>
      </c>
      <c r="AA4" s="10" t="s">
        <v>107</v>
      </c>
      <c r="AB4" s="10" t="s">
        <v>108</v>
      </c>
      <c r="AC4" s="10" t="s">
        <v>109</v>
      </c>
      <c r="AD4" s="10" t="s">
        <v>110</v>
      </c>
      <c r="AE4" s="10" t="s">
        <v>111</v>
      </c>
      <c r="AF4" s="10" t="s">
        <v>112</v>
      </c>
      <c r="AG4" s="10" t="s">
        <v>113</v>
      </c>
      <c r="AH4" s="10" t="s">
        <v>114</v>
      </c>
      <c r="AI4" s="10" t="s">
        <v>115</v>
      </c>
      <c r="AJ4" s="10" t="s">
        <v>116</v>
      </c>
      <c r="AK4" s="10" t="s">
        <v>117</v>
      </c>
      <c r="AL4" s="10" t="s">
        <v>118</v>
      </c>
      <c r="AM4" s="10" t="s">
        <v>119</v>
      </c>
      <c r="AN4" s="10" t="s">
        <v>120</v>
      </c>
      <c r="AO4" s="10" t="s">
        <v>121</v>
      </c>
      <c r="AP4" s="10" t="s">
        <v>122</v>
      </c>
      <c r="AQ4" s="21" t="s">
        <v>123</v>
      </c>
      <c r="AR4" s="21" t="s">
        <v>124</v>
      </c>
      <c r="AS4" s="21" t="s">
        <v>125</v>
      </c>
      <c r="AT4" s="21" t="s">
        <v>126</v>
      </c>
      <c r="AU4" s="10" t="s">
        <v>127</v>
      </c>
      <c r="AV4" s="10" t="s">
        <v>128</v>
      </c>
      <c r="AW4" s="10" t="s">
        <v>129</v>
      </c>
      <c r="AX4" s="10" t="s">
        <v>130</v>
      </c>
      <c r="AY4" s="32" t="s">
        <v>131</v>
      </c>
      <c r="AZ4" s="10" t="s">
        <v>132</v>
      </c>
      <c r="BA4" s="10" t="s">
        <v>133</v>
      </c>
      <c r="BB4" s="10" t="s">
        <v>134</v>
      </c>
      <c r="BC4" s="10" t="s">
        <v>135</v>
      </c>
      <c r="BD4" s="10" t="s">
        <v>136</v>
      </c>
      <c r="BE4" s="10" t="s">
        <v>137</v>
      </c>
      <c r="BF4" s="10" t="s">
        <v>138</v>
      </c>
      <c r="BG4" s="10" t="s">
        <v>139</v>
      </c>
      <c r="BH4" s="10" t="s">
        <v>140</v>
      </c>
      <c r="BI4" s="10" t="s">
        <v>141</v>
      </c>
      <c r="BJ4" s="10" t="s">
        <v>142</v>
      </c>
      <c r="BK4" s="10" t="s">
        <v>143</v>
      </c>
      <c r="BL4" s="10" t="s">
        <v>144</v>
      </c>
      <c r="BM4" s="10" t="s">
        <v>145</v>
      </c>
      <c r="BN4" s="10" t="s">
        <v>146</v>
      </c>
      <c r="BO4" s="10" t="s">
        <v>147</v>
      </c>
      <c r="BP4" s="10" t="s">
        <v>148</v>
      </c>
      <c r="BQ4" s="10" t="s">
        <v>149</v>
      </c>
      <c r="BR4" s="10" t="s">
        <v>150</v>
      </c>
      <c r="BS4" s="10" t="s">
        <v>151</v>
      </c>
      <c r="BT4" s="10" t="s">
        <v>152</v>
      </c>
      <c r="BU4" s="10" t="s">
        <v>153</v>
      </c>
      <c r="BV4" s="10" t="s">
        <v>154</v>
      </c>
      <c r="BW4" s="10" t="s">
        <v>155</v>
      </c>
      <c r="BX4" s="10" t="s">
        <v>156</v>
      </c>
      <c r="BY4" s="10" t="s">
        <v>157</v>
      </c>
      <c r="BZ4" s="10" t="s">
        <v>158</v>
      </c>
      <c r="CA4" s="10" t="s">
        <v>159</v>
      </c>
      <c r="CB4" s="10" t="s">
        <v>160</v>
      </c>
      <c r="CC4" s="10" t="s">
        <v>161</v>
      </c>
      <c r="CD4" s="10" t="s">
        <v>162</v>
      </c>
      <c r="CE4" s="10" t="s">
        <v>163</v>
      </c>
      <c r="CF4" s="10" t="s">
        <v>164</v>
      </c>
      <c r="CG4" s="22" t="s">
        <v>165</v>
      </c>
      <c r="CH4"/>
      <c r="CI4" s="23" t="s">
        <v>217</v>
      </c>
      <c r="CJ4"/>
      <c r="CK4"/>
      <c r="CL4"/>
      <c r="CM4"/>
      <c r="CN4"/>
      <c r="CO4"/>
      <c r="CP4"/>
      <c r="CQ4"/>
      <c r="CR4"/>
      <c r="CS4"/>
      <c r="CT4"/>
      <c r="CU4"/>
    </row>
    <row r="5" spans="1:99" s="5" customFormat="1" x14ac:dyDescent="0.3">
      <c r="A5" s="28"/>
      <c r="B5" s="5" t="s">
        <v>216</v>
      </c>
      <c r="C5" s="5">
        <v>0</v>
      </c>
      <c r="D5" s="25">
        <v>1</v>
      </c>
      <c r="E5" s="25">
        <v>2</v>
      </c>
      <c r="F5" s="25">
        <v>3</v>
      </c>
      <c r="G5" s="25">
        <v>4</v>
      </c>
      <c r="H5" s="25">
        <v>5</v>
      </c>
      <c r="I5" s="25">
        <v>6</v>
      </c>
      <c r="J5" s="25">
        <v>7</v>
      </c>
      <c r="K5" s="25">
        <v>8</v>
      </c>
      <c r="L5" s="25">
        <v>9</v>
      </c>
      <c r="M5" s="25">
        <v>10</v>
      </c>
      <c r="N5" s="25">
        <v>11</v>
      </c>
      <c r="O5" s="25">
        <v>12</v>
      </c>
      <c r="P5" s="25">
        <v>13</v>
      </c>
      <c r="Q5" s="25">
        <v>14</v>
      </c>
      <c r="R5" s="25">
        <v>15</v>
      </c>
      <c r="S5" s="25">
        <v>16</v>
      </c>
      <c r="T5" s="25">
        <v>17</v>
      </c>
      <c r="U5" s="25">
        <v>18</v>
      </c>
      <c r="V5" s="25">
        <v>19</v>
      </c>
      <c r="W5" s="25">
        <v>20</v>
      </c>
      <c r="X5" s="25">
        <v>21</v>
      </c>
      <c r="Y5" s="25">
        <v>22</v>
      </c>
      <c r="Z5" s="25">
        <v>23</v>
      </c>
      <c r="AA5" s="25">
        <v>24</v>
      </c>
      <c r="AB5" s="25">
        <v>25</v>
      </c>
      <c r="AC5" s="25">
        <v>26</v>
      </c>
      <c r="AD5" s="25">
        <v>27</v>
      </c>
      <c r="AE5" s="25">
        <v>28</v>
      </c>
      <c r="AF5" s="25">
        <v>29</v>
      </c>
      <c r="AG5" s="25">
        <v>30</v>
      </c>
      <c r="AH5" s="25">
        <v>31</v>
      </c>
      <c r="AI5" s="25">
        <v>32</v>
      </c>
      <c r="AJ5" s="25">
        <v>33</v>
      </c>
      <c r="AK5" s="25">
        <v>34</v>
      </c>
      <c r="AL5" s="25">
        <v>35</v>
      </c>
      <c r="AM5" s="25">
        <v>36</v>
      </c>
      <c r="AN5" s="25">
        <v>37</v>
      </c>
      <c r="AO5" s="25">
        <v>38</v>
      </c>
      <c r="AP5" s="25">
        <v>39</v>
      </c>
      <c r="AQ5" s="25">
        <v>40</v>
      </c>
      <c r="AR5" s="25">
        <v>41</v>
      </c>
      <c r="AS5" s="25">
        <v>42</v>
      </c>
      <c r="AT5" s="25">
        <v>43</v>
      </c>
      <c r="AU5" s="25">
        <v>44</v>
      </c>
      <c r="AV5" s="25">
        <v>45</v>
      </c>
      <c r="AW5" s="25">
        <v>46</v>
      </c>
      <c r="AX5" s="25">
        <v>47</v>
      </c>
      <c r="AY5" s="40">
        <v>48</v>
      </c>
      <c r="AZ5" s="25">
        <v>49</v>
      </c>
      <c r="BA5" s="25">
        <v>50</v>
      </c>
      <c r="BB5" s="25">
        <v>51</v>
      </c>
      <c r="BC5" s="25">
        <v>52</v>
      </c>
      <c r="BD5" s="25">
        <v>53</v>
      </c>
      <c r="BE5" s="25">
        <v>54</v>
      </c>
      <c r="BF5" s="25">
        <v>55</v>
      </c>
      <c r="BG5" s="25">
        <v>56</v>
      </c>
      <c r="BH5" s="25">
        <v>57</v>
      </c>
      <c r="BI5" s="25">
        <v>58</v>
      </c>
      <c r="BJ5" s="25">
        <v>59</v>
      </c>
      <c r="BK5" s="25">
        <v>60</v>
      </c>
      <c r="BL5" s="25">
        <v>61</v>
      </c>
      <c r="BM5" s="25">
        <v>62</v>
      </c>
      <c r="BN5" s="25">
        <v>63</v>
      </c>
      <c r="BO5" s="25">
        <v>64</v>
      </c>
      <c r="BP5" s="25">
        <v>65</v>
      </c>
      <c r="BQ5" s="25">
        <v>66</v>
      </c>
      <c r="BR5" s="25">
        <v>67</v>
      </c>
      <c r="BS5" s="25">
        <v>68</v>
      </c>
      <c r="BT5" s="25">
        <v>69</v>
      </c>
      <c r="BU5" s="25">
        <v>70</v>
      </c>
      <c r="BV5" s="25">
        <v>71</v>
      </c>
      <c r="BW5" s="25">
        <v>72</v>
      </c>
      <c r="BX5" s="25">
        <v>73</v>
      </c>
      <c r="BY5" s="25">
        <v>74</v>
      </c>
      <c r="BZ5" s="25">
        <v>75</v>
      </c>
      <c r="CA5" s="25">
        <v>76</v>
      </c>
      <c r="CB5" s="25">
        <v>77</v>
      </c>
      <c r="CC5" s="25">
        <v>78</v>
      </c>
      <c r="CD5" s="25">
        <v>79</v>
      </c>
      <c r="CE5" s="25">
        <v>80</v>
      </c>
      <c r="CF5" s="25">
        <v>81</v>
      </c>
      <c r="CG5" s="25">
        <v>82</v>
      </c>
      <c r="CH5"/>
      <c r="CI5"/>
      <c r="CJ5"/>
      <c r="CK5"/>
      <c r="CL5"/>
      <c r="CM5"/>
      <c r="CN5"/>
      <c r="CO5"/>
      <c r="CP5"/>
      <c r="CQ5"/>
      <c r="CR5"/>
      <c r="CS5"/>
      <c r="CT5"/>
      <c r="CU5"/>
    </row>
    <row r="6" spans="1:99" s="5" customFormat="1" x14ac:dyDescent="0.3">
      <c r="A6" s="35" t="s">
        <v>10</v>
      </c>
      <c r="B6" s="11" t="s">
        <v>84</v>
      </c>
      <c r="C6" s="5">
        <v>1</v>
      </c>
      <c r="D6" s="25">
        <v>8170.3585637550368</v>
      </c>
      <c r="E6" s="25">
        <v>5290.2246154753748</v>
      </c>
      <c r="F6" s="25">
        <v>156.75541627172311</v>
      </c>
      <c r="G6" s="25">
        <v>1.8265936654504866</v>
      </c>
      <c r="H6" s="25">
        <v>9.8692678733555947</v>
      </c>
      <c r="I6" s="25">
        <v>1.1434983751776158</v>
      </c>
      <c r="J6" s="25">
        <v>1.7841451108463606</v>
      </c>
      <c r="K6" s="25">
        <v>7264.3074217892336</v>
      </c>
      <c r="L6" s="25">
        <v>28021.779951859517</v>
      </c>
      <c r="M6" s="25">
        <v>76458.431982105394</v>
      </c>
      <c r="N6" s="25">
        <v>2089.301122965418</v>
      </c>
      <c r="O6" s="25">
        <v>4889.0334562745547</v>
      </c>
      <c r="P6" s="25">
        <v>5526.2619355557763</v>
      </c>
      <c r="Q6" s="25">
        <v>518.70182235905122</v>
      </c>
      <c r="R6" s="25">
        <v>6.6028531108425392</v>
      </c>
      <c r="S6" s="25">
        <v>90.994168979580451</v>
      </c>
      <c r="T6" s="25">
        <v>172.72947782361703</v>
      </c>
      <c r="U6" s="25">
        <v>0.25638422525185894</v>
      </c>
      <c r="V6" s="25">
        <v>8.6760448701173694</v>
      </c>
      <c r="W6" s="25">
        <v>5.1985351458124253E-2</v>
      </c>
      <c r="X6" s="25">
        <v>4.1880585965028361E-2</v>
      </c>
      <c r="Y6" s="25">
        <v>22484.789844317234</v>
      </c>
      <c r="Z6" s="25">
        <v>15.129223292162088</v>
      </c>
      <c r="AA6" s="25">
        <v>18.049511164446795</v>
      </c>
      <c r="AB6" s="25">
        <v>2.2091674518525384</v>
      </c>
      <c r="AC6" s="25">
        <v>13.484793956070876</v>
      </c>
      <c r="AD6" s="25">
        <v>38.146982219297641</v>
      </c>
      <c r="AE6" s="25">
        <v>14.41800402514575</v>
      </c>
      <c r="AF6" s="25">
        <v>42.241869048424284</v>
      </c>
      <c r="AG6" s="25">
        <v>26.216601753861756</v>
      </c>
      <c r="AH6" s="25">
        <v>2.7665426077325765</v>
      </c>
      <c r="AI6" s="25">
        <v>0.27528051354986038</v>
      </c>
      <c r="AJ6" s="25">
        <v>0.30007580998381012</v>
      </c>
      <c r="AK6" s="25">
        <v>0.76078595478699595</v>
      </c>
      <c r="AL6" s="25">
        <v>0.62121564876030877</v>
      </c>
      <c r="AM6" s="25">
        <v>0.40229090929930417</v>
      </c>
      <c r="AN6" s="25">
        <v>0.52416478719133319</v>
      </c>
      <c r="AO6" s="25">
        <v>10.450240451838136</v>
      </c>
      <c r="AP6" s="25">
        <v>6.5167124309798277E-2</v>
      </c>
      <c r="AQ6" s="25">
        <v>0.47598928642375304</v>
      </c>
      <c r="AR6" s="25">
        <v>7.775328236648224E-2</v>
      </c>
      <c r="AS6" s="25">
        <v>5.5707325295208235E-2</v>
      </c>
      <c r="AT6" s="25">
        <v>6.2671932577787817E-2</v>
      </c>
      <c r="AU6" s="25">
        <v>28.709259395886477</v>
      </c>
      <c r="AV6" s="25">
        <v>402.52784558732344</v>
      </c>
      <c r="AW6" s="25">
        <v>2.6558165118985206</v>
      </c>
      <c r="AX6" s="25">
        <v>12090.688466642019</v>
      </c>
      <c r="AY6" s="40">
        <v>0.96387780989135174</v>
      </c>
      <c r="AZ6" s="25">
        <v>2.8456625428414355E-2</v>
      </c>
      <c r="BA6" s="25">
        <v>0.29297864919859229</v>
      </c>
      <c r="BB6" s="25">
        <v>12.456639228872454</v>
      </c>
      <c r="BC6" s="25">
        <v>277.13534060042315</v>
      </c>
      <c r="BD6" s="25">
        <v>4385.9633781037455</v>
      </c>
      <c r="BE6" s="25">
        <v>8.8943907571197967E-2</v>
      </c>
      <c r="BF6" s="25">
        <v>0.61952656697168762</v>
      </c>
      <c r="BG6" s="25">
        <v>44.855834635168591</v>
      </c>
      <c r="BH6" s="25">
        <v>2.1532612042301911</v>
      </c>
      <c r="BI6" s="25">
        <v>14.762971379241696</v>
      </c>
      <c r="BJ6" s="25">
        <v>20.406510384138318</v>
      </c>
      <c r="BK6" s="25">
        <v>7.4743083771072696</v>
      </c>
      <c r="BL6" s="25">
        <v>12.024632225077942</v>
      </c>
      <c r="BM6" s="25">
        <v>0.80278957521532313</v>
      </c>
      <c r="BN6" s="25">
        <v>0.68757086229482445</v>
      </c>
      <c r="BO6" s="25">
        <v>133.6113996922229</v>
      </c>
      <c r="BP6" s="25">
        <v>0.22205855349642836</v>
      </c>
      <c r="BQ6" s="25">
        <v>947.5703167868362</v>
      </c>
      <c r="BR6" s="25">
        <v>357.35735790290295</v>
      </c>
      <c r="BS6" s="25">
        <v>43.808220731163033</v>
      </c>
      <c r="BT6" s="25">
        <v>354.48804759054798</v>
      </c>
      <c r="BU6" s="25">
        <v>180.63426154222449</v>
      </c>
      <c r="BV6" s="25">
        <v>2.8571215276014543</v>
      </c>
      <c r="BW6" s="25">
        <v>249.9117666841272</v>
      </c>
      <c r="BX6" s="25">
        <v>0</v>
      </c>
      <c r="BY6" s="25">
        <v>180926.41543052823</v>
      </c>
      <c r="BZ6" s="25">
        <v>150718.72070721895</v>
      </c>
      <c r="CA6" s="25">
        <v>48.304677811300436</v>
      </c>
      <c r="CB6" s="25">
        <v>0</v>
      </c>
      <c r="CC6" s="25">
        <v>71191.69865990871</v>
      </c>
      <c r="CD6" s="25">
        <v>3188.2578459532156</v>
      </c>
      <c r="CE6" s="25">
        <v>-8036.3973214191938</v>
      </c>
      <c r="CF6" s="25">
        <v>217110.58456947276</v>
      </c>
      <c r="CG6" s="25">
        <v>398037</v>
      </c>
      <c r="CH6"/>
      <c r="CI6">
        <f>CF6/CG6</f>
        <v>0.54545327336270943</v>
      </c>
      <c r="CJ6"/>
      <c r="CK6"/>
      <c r="CL6"/>
      <c r="CM6"/>
      <c r="CN6"/>
      <c r="CO6"/>
      <c r="CP6"/>
      <c r="CQ6"/>
      <c r="CR6"/>
      <c r="CS6"/>
      <c r="CT6"/>
      <c r="CU6"/>
    </row>
    <row r="7" spans="1:99" s="5" customFormat="1" x14ac:dyDescent="0.3">
      <c r="A7" s="35" t="s">
        <v>11</v>
      </c>
      <c r="B7" s="13" t="s">
        <v>85</v>
      </c>
      <c r="C7" s="5">
        <v>2</v>
      </c>
      <c r="D7" s="25">
        <v>1004.9599480586429</v>
      </c>
      <c r="E7" s="25">
        <v>6106.8110826632919</v>
      </c>
      <c r="F7" s="25">
        <v>183.36264177324406</v>
      </c>
      <c r="G7" s="25">
        <v>3.7251917417697502</v>
      </c>
      <c r="H7" s="25">
        <v>22.938999760799192</v>
      </c>
      <c r="I7" s="25">
        <v>1.9494383646877278</v>
      </c>
      <c r="J7" s="25">
        <v>3.2441343482799234</v>
      </c>
      <c r="K7" s="25">
        <v>84046.278778938227</v>
      </c>
      <c r="L7" s="25">
        <v>152.99908415771603</v>
      </c>
      <c r="M7" s="25">
        <v>4376.6754683023546</v>
      </c>
      <c r="N7" s="25">
        <v>64.457871783543212</v>
      </c>
      <c r="O7" s="25">
        <v>192.81142734628352</v>
      </c>
      <c r="P7" s="25">
        <v>250.24140175138066</v>
      </c>
      <c r="Q7" s="25">
        <v>190.38282124822351</v>
      </c>
      <c r="R7" s="25">
        <v>6.6377087169135978</v>
      </c>
      <c r="S7" s="25">
        <v>143.03866277632443</v>
      </c>
      <c r="T7" s="25">
        <v>239.09947093450924</v>
      </c>
      <c r="U7" s="25">
        <v>0.46679487836281836</v>
      </c>
      <c r="V7" s="25">
        <v>0.72657441686736923</v>
      </c>
      <c r="W7" s="25">
        <v>1.8633166065896906E-2</v>
      </c>
      <c r="X7" s="25">
        <v>1.1905970261005054E-4</v>
      </c>
      <c r="Y7" s="25">
        <v>178.77565097574035</v>
      </c>
      <c r="Z7" s="25">
        <v>46.126671784309423</v>
      </c>
      <c r="AA7" s="25">
        <v>7.8961204788321702</v>
      </c>
      <c r="AB7" s="25">
        <v>5.0532194762631137</v>
      </c>
      <c r="AC7" s="25">
        <v>5.4165196403264799</v>
      </c>
      <c r="AD7" s="25">
        <v>52.888428128073755</v>
      </c>
      <c r="AE7" s="25">
        <v>56.619523615988562</v>
      </c>
      <c r="AF7" s="25">
        <v>70.623100029612473</v>
      </c>
      <c r="AG7" s="25">
        <v>49.444453849785951</v>
      </c>
      <c r="AH7" s="25">
        <v>2.5281526123934794</v>
      </c>
      <c r="AI7" s="25">
        <v>0.71683903192758858</v>
      </c>
      <c r="AJ7" s="25">
        <v>0.95724033340132586</v>
      </c>
      <c r="AK7" s="25">
        <v>1.7317396507557885</v>
      </c>
      <c r="AL7" s="25">
        <v>1.2427439826314215</v>
      </c>
      <c r="AM7" s="25">
        <v>0.99247142732795113</v>
      </c>
      <c r="AN7" s="25">
        <v>0.87514562835797638</v>
      </c>
      <c r="AO7" s="25">
        <v>7.2734053036547248</v>
      </c>
      <c r="AP7" s="25">
        <v>0.23085892359978147</v>
      </c>
      <c r="AQ7" s="25">
        <v>0.79136221645248883</v>
      </c>
      <c r="AR7" s="25">
        <v>0.12926973699827596</v>
      </c>
      <c r="AS7" s="25">
        <v>9.2616942598596805E-2</v>
      </c>
      <c r="AT7" s="25">
        <v>0.16790002300394893</v>
      </c>
      <c r="AU7" s="25">
        <v>5.6993906819098523</v>
      </c>
      <c r="AV7" s="25">
        <v>751.86310402788058</v>
      </c>
      <c r="AW7" s="25">
        <v>3.5113748444759909</v>
      </c>
      <c r="AX7" s="25">
        <v>386.7819921050762</v>
      </c>
      <c r="AY7" s="40">
        <v>1.0736839243328027</v>
      </c>
      <c r="AZ7" s="25">
        <v>3.7829303623082386E-2</v>
      </c>
      <c r="BA7" s="25">
        <v>0.34145151276670077</v>
      </c>
      <c r="BB7" s="25">
        <v>22.136467538097708</v>
      </c>
      <c r="BC7" s="25">
        <v>331.24358668682538</v>
      </c>
      <c r="BD7" s="25">
        <v>1919.4590430805827</v>
      </c>
      <c r="BE7" s="25">
        <v>0.2161854615611089</v>
      </c>
      <c r="BF7" s="25">
        <v>1.1913409292001311</v>
      </c>
      <c r="BG7" s="25">
        <v>80.686602968630282</v>
      </c>
      <c r="BH7" s="25">
        <v>4.2899017804822597</v>
      </c>
      <c r="BI7" s="25">
        <v>25.488379421314729</v>
      </c>
      <c r="BJ7" s="25">
        <v>38.429739375891096</v>
      </c>
      <c r="BK7" s="25">
        <v>6.8296279889470402</v>
      </c>
      <c r="BL7" s="25">
        <v>14.525770311032861</v>
      </c>
      <c r="BM7" s="25">
        <v>6.4682791513961932</v>
      </c>
      <c r="BN7" s="25">
        <v>1.1312263065100876</v>
      </c>
      <c r="BO7" s="25">
        <v>36.689298254266326</v>
      </c>
      <c r="BP7" s="25">
        <v>0.34850965765194736</v>
      </c>
      <c r="BQ7" s="25">
        <v>301.7084388258184</v>
      </c>
      <c r="BR7" s="25">
        <v>120.20425464728527</v>
      </c>
      <c r="BS7" s="25">
        <v>17.20442615350531</v>
      </c>
      <c r="BT7" s="25">
        <v>110.89111706924955</v>
      </c>
      <c r="BU7" s="25">
        <v>110.42371512129856</v>
      </c>
      <c r="BV7" s="25">
        <v>3.3228891676786421</v>
      </c>
      <c r="BW7" s="25">
        <v>37.971526631359737</v>
      </c>
      <c r="BX7" s="25">
        <v>0</v>
      </c>
      <c r="BY7" s="25">
        <v>101821.56884090786</v>
      </c>
      <c r="BZ7" s="25">
        <v>7635.5156799557371</v>
      </c>
      <c r="CA7" s="25">
        <v>3.1875318976939022</v>
      </c>
      <c r="CB7" s="25">
        <v>0</v>
      </c>
      <c r="CC7" s="25">
        <v>27053.775013630471</v>
      </c>
      <c r="CD7" s="25">
        <v>16625.080155780848</v>
      </c>
      <c r="CE7" s="25">
        <v>-1180.127222172031</v>
      </c>
      <c r="CF7" s="25">
        <v>50137.431159092717</v>
      </c>
      <c r="CG7" s="25">
        <v>151959</v>
      </c>
      <c r="CH7"/>
      <c r="CI7">
        <f t="shared" ref="CI7:CI70" si="0">CF7/CG7</f>
        <v>0.32994051789688478</v>
      </c>
      <c r="CJ7"/>
      <c r="CK7"/>
      <c r="CL7"/>
      <c r="CM7"/>
      <c r="CN7"/>
      <c r="CO7"/>
      <c r="CP7"/>
      <c r="CQ7"/>
      <c r="CR7"/>
      <c r="CS7"/>
      <c r="CT7"/>
      <c r="CU7"/>
    </row>
    <row r="8" spans="1:99" s="5" customFormat="1" x14ac:dyDescent="0.3">
      <c r="A8" s="35" t="s">
        <v>12</v>
      </c>
      <c r="B8" s="11" t="s">
        <v>86</v>
      </c>
      <c r="C8" s="5">
        <v>3</v>
      </c>
      <c r="D8" s="25">
        <v>1414.9162471721204</v>
      </c>
      <c r="E8" s="25">
        <v>1437.2819167483406</v>
      </c>
      <c r="F8" s="25">
        <v>2063.4116713835965</v>
      </c>
      <c r="G8" s="25">
        <v>1.7907537375428697</v>
      </c>
      <c r="H8" s="25">
        <v>1.8236877020896338</v>
      </c>
      <c r="I8" s="25">
        <v>0.17010572661289142</v>
      </c>
      <c r="J8" s="25">
        <v>0.24112750829763532</v>
      </c>
      <c r="K8" s="25">
        <v>1830.0669762429854</v>
      </c>
      <c r="L8" s="25">
        <v>0.62916373472518561</v>
      </c>
      <c r="M8" s="25">
        <v>261.16769046085176</v>
      </c>
      <c r="N8" s="25">
        <v>13.874287846282671</v>
      </c>
      <c r="O8" s="25">
        <v>13.08516513910569</v>
      </c>
      <c r="P8" s="25">
        <v>25.024371787544709</v>
      </c>
      <c r="Q8" s="25">
        <v>8.2471144472668492</v>
      </c>
      <c r="R8" s="25">
        <v>6.7889500096319866</v>
      </c>
      <c r="S8" s="25">
        <v>1995.4594845151778</v>
      </c>
      <c r="T8" s="25">
        <v>3242.7460529296191</v>
      </c>
      <c r="U8" s="25">
        <v>3.5396002003790672E-2</v>
      </c>
      <c r="V8" s="25">
        <v>5.6630046727920477E-2</v>
      </c>
      <c r="W8" s="25">
        <v>1.4522904199549627E-3</v>
      </c>
      <c r="X8" s="25">
        <v>9.2796503230724744E-6</v>
      </c>
      <c r="Y8" s="25">
        <v>3.6633905640805215</v>
      </c>
      <c r="Z8" s="25">
        <v>162.13204369687799</v>
      </c>
      <c r="AA8" s="25">
        <v>2.8177034898405644</v>
      </c>
      <c r="AB8" s="25">
        <v>8.4317616603028514E-2</v>
      </c>
      <c r="AC8" s="25">
        <v>0.12671282335646378</v>
      </c>
      <c r="AD8" s="25">
        <v>713.86171172111449</v>
      </c>
      <c r="AE8" s="25">
        <v>59.563968889639597</v>
      </c>
      <c r="AF8" s="25">
        <v>910.44283339304809</v>
      </c>
      <c r="AG8" s="25">
        <v>3.7053404847024716</v>
      </c>
      <c r="AH8" s="25">
        <v>5.5140516538674165</v>
      </c>
      <c r="AI8" s="25">
        <v>6.9501985583974399E-2</v>
      </c>
      <c r="AJ8" s="25">
        <v>8.8522362408470917E-2</v>
      </c>
      <c r="AK8" s="25">
        <v>0.17941950541561633</v>
      </c>
      <c r="AL8" s="25">
        <v>0.11471484227311096</v>
      </c>
      <c r="AM8" s="25">
        <v>9.3657763570745303E-2</v>
      </c>
      <c r="AN8" s="25">
        <v>7.69524083446088E-2</v>
      </c>
      <c r="AO8" s="25">
        <v>2.7733870366838729</v>
      </c>
      <c r="AP8" s="25">
        <v>2.5223990108438052E-2</v>
      </c>
      <c r="AQ8" s="25">
        <v>9.4589682079335602E-2</v>
      </c>
      <c r="AR8" s="25">
        <v>1.5451310500973812E-2</v>
      </c>
      <c r="AS8" s="25">
        <v>1.1070287377167583E-2</v>
      </c>
      <c r="AT8" s="25">
        <v>1.9459657359411225E-2</v>
      </c>
      <c r="AU8" s="25">
        <v>0.42571360073375503</v>
      </c>
      <c r="AV8" s="25">
        <v>759.42361424331023</v>
      </c>
      <c r="AW8" s="25">
        <v>0.27333370517085248</v>
      </c>
      <c r="AX8" s="25">
        <v>161.92522609786855</v>
      </c>
      <c r="AY8" s="40">
        <v>9.9740227752357191E-2</v>
      </c>
      <c r="AZ8" s="25">
        <v>3.0144069070318692E-3</v>
      </c>
      <c r="BA8" s="25">
        <v>2.7363156919616407E-2</v>
      </c>
      <c r="BB8" s="25">
        <v>1.658527227286452</v>
      </c>
      <c r="BC8" s="25">
        <v>42.674553406755052</v>
      </c>
      <c r="BD8" s="25">
        <v>549.53667873059203</v>
      </c>
      <c r="BE8" s="25">
        <v>2.1951251293934292E-2</v>
      </c>
      <c r="BF8" s="25">
        <v>0.10959412749709906</v>
      </c>
      <c r="BG8" s="25">
        <v>5.9766223809669254</v>
      </c>
      <c r="BH8" s="25">
        <v>0.36575555478757793</v>
      </c>
      <c r="BI8" s="25">
        <v>1.9402982242055844</v>
      </c>
      <c r="BJ8" s="25">
        <v>2.9162218583507364</v>
      </c>
      <c r="BK8" s="25">
        <v>0.52073672703949758</v>
      </c>
      <c r="BL8" s="25">
        <v>3.7816157695125314</v>
      </c>
      <c r="BM8" s="25">
        <v>8.3967238846812273E-2</v>
      </c>
      <c r="BN8" s="25">
        <v>9.5237421802415026E-2</v>
      </c>
      <c r="BO8" s="25">
        <v>2.6303824415515304</v>
      </c>
      <c r="BP8" s="25">
        <v>2.9566698016518424E-2</v>
      </c>
      <c r="BQ8" s="25">
        <v>91.342913757021137</v>
      </c>
      <c r="BR8" s="25">
        <v>66.866054201546447</v>
      </c>
      <c r="BS8" s="25">
        <v>8.8889307885185183</v>
      </c>
      <c r="BT8" s="25">
        <v>63.403734529167671</v>
      </c>
      <c r="BU8" s="25">
        <v>19.813852317385631</v>
      </c>
      <c r="BV8" s="25">
        <v>0.24397311000560906</v>
      </c>
      <c r="BW8" s="25">
        <v>2.9434756273310647</v>
      </c>
      <c r="BX8" s="25">
        <v>0</v>
      </c>
      <c r="BY8" s="25">
        <v>15970.314928703579</v>
      </c>
      <c r="BZ8" s="25">
        <v>3068.1585803453418</v>
      </c>
      <c r="CA8" s="25">
        <v>2.4427055863110838</v>
      </c>
      <c r="CB8" s="25">
        <v>0</v>
      </c>
      <c r="CC8" s="25">
        <v>17611.770193053253</v>
      </c>
      <c r="CD8" s="25">
        <v>1054.0029907200783</v>
      </c>
      <c r="CE8" s="25">
        <v>163.31060159146062</v>
      </c>
      <c r="CF8" s="25">
        <v>21899.685071296459</v>
      </c>
      <c r="CG8" s="25">
        <v>37870</v>
      </c>
      <c r="CH8"/>
      <c r="CI8">
        <f t="shared" si="0"/>
        <v>0.57828584819900863</v>
      </c>
      <c r="CJ8"/>
      <c r="CK8"/>
      <c r="CL8"/>
      <c r="CM8"/>
      <c r="CN8"/>
      <c r="CO8"/>
      <c r="CP8"/>
      <c r="CQ8"/>
      <c r="CR8"/>
      <c r="CS8"/>
      <c r="CT8"/>
      <c r="CU8"/>
    </row>
    <row r="9" spans="1:99" s="5" customFormat="1" x14ac:dyDescent="0.3">
      <c r="A9" s="35" t="s">
        <v>13</v>
      </c>
      <c r="B9" s="11" t="s">
        <v>87</v>
      </c>
      <c r="C9" s="5">
        <v>4</v>
      </c>
      <c r="D9" s="25">
        <v>154.57131376529347</v>
      </c>
      <c r="E9" s="25">
        <v>418.65628402609394</v>
      </c>
      <c r="F9" s="25">
        <v>13.284636075544938</v>
      </c>
      <c r="G9" s="25">
        <v>255.38746246030166</v>
      </c>
      <c r="H9" s="25">
        <v>731.23871623221146</v>
      </c>
      <c r="I9" s="25">
        <v>0.30874707823958225</v>
      </c>
      <c r="J9" s="25">
        <v>1.3587157738685831</v>
      </c>
      <c r="K9" s="25">
        <v>53.244166376163598</v>
      </c>
      <c r="L9" s="25">
        <v>8.1587146912698358</v>
      </c>
      <c r="M9" s="25">
        <v>279.65589011728434</v>
      </c>
      <c r="N9" s="25">
        <v>16.421368346699659</v>
      </c>
      <c r="O9" s="25">
        <v>6.5622521024227554E-2</v>
      </c>
      <c r="P9" s="25">
        <v>0.97438319472738943</v>
      </c>
      <c r="Q9" s="25">
        <v>0.29823966512713124</v>
      </c>
      <c r="R9" s="25">
        <v>0.94713612624020704</v>
      </c>
      <c r="S9" s="25">
        <v>0.22325808785089243</v>
      </c>
      <c r="T9" s="25">
        <v>18.581952337523674</v>
      </c>
      <c r="U9" s="25">
        <v>0.14003745618907645</v>
      </c>
      <c r="V9" s="25">
        <v>6.1948654536750576</v>
      </c>
      <c r="W9" s="25">
        <v>0.158992803732706</v>
      </c>
      <c r="X9" s="25">
        <v>5.8538919004757833E-3</v>
      </c>
      <c r="Y9" s="25">
        <v>219.1058134802478</v>
      </c>
      <c r="Z9" s="25">
        <v>2854.8663427970951</v>
      </c>
      <c r="AA9" s="25">
        <v>68.70210082228671</v>
      </c>
      <c r="AB9" s="25">
        <v>8.0050702989689366</v>
      </c>
      <c r="AC9" s="25">
        <v>1.896008344817854</v>
      </c>
      <c r="AD9" s="25">
        <v>6.7281210803029419</v>
      </c>
      <c r="AE9" s="25">
        <v>4463.2487053152718</v>
      </c>
      <c r="AF9" s="25">
        <v>1496.0180009201461</v>
      </c>
      <c r="AG9" s="25">
        <v>337.50822352508135</v>
      </c>
      <c r="AH9" s="25">
        <v>3.5700793297345141</v>
      </c>
      <c r="AI9" s="25">
        <v>0.34796091611728114</v>
      </c>
      <c r="AJ9" s="25">
        <v>35.919486164414046</v>
      </c>
      <c r="AK9" s="25">
        <v>2.5200509016477124</v>
      </c>
      <c r="AL9" s="25">
        <v>18.623403632807602</v>
      </c>
      <c r="AM9" s="25">
        <v>34.401273191417253</v>
      </c>
      <c r="AN9" s="25">
        <v>1.7813221916018431</v>
      </c>
      <c r="AO9" s="25">
        <v>31.983518530124996</v>
      </c>
      <c r="AP9" s="25">
        <v>2.7992513774817689</v>
      </c>
      <c r="AQ9" s="25">
        <v>235.19415880813608</v>
      </c>
      <c r="AR9" s="25">
        <v>5.7714330882458826</v>
      </c>
      <c r="AS9" s="25">
        <v>1.1845960473087798</v>
      </c>
      <c r="AT9" s="25">
        <v>1.256351504422764</v>
      </c>
      <c r="AU9" s="25">
        <v>356.51608415843594</v>
      </c>
      <c r="AV9" s="25">
        <v>5769.2379564424718</v>
      </c>
      <c r="AW9" s="25">
        <v>2.9175715971672043</v>
      </c>
      <c r="AX9" s="25">
        <v>79.436082710535814</v>
      </c>
      <c r="AY9" s="40">
        <v>0.65802408997632589</v>
      </c>
      <c r="AZ9" s="25">
        <v>2.8112910422818906E-2</v>
      </c>
      <c r="BA9" s="25">
        <v>5.7457623439081819E-2</v>
      </c>
      <c r="BB9" s="25">
        <v>4.3639196286859692</v>
      </c>
      <c r="BC9" s="25">
        <v>2.438230238240485</v>
      </c>
      <c r="BD9" s="25">
        <v>15.584105920703134</v>
      </c>
      <c r="BE9" s="25">
        <v>8.7448574017034958E-2</v>
      </c>
      <c r="BF9" s="25">
        <v>0.16450929915036772</v>
      </c>
      <c r="BG9" s="25">
        <v>0.76492018421036334</v>
      </c>
      <c r="BH9" s="25">
        <v>0.61648427768988201</v>
      </c>
      <c r="BI9" s="25">
        <v>1.6296090751950834</v>
      </c>
      <c r="BJ9" s="25">
        <v>369.75981527196274</v>
      </c>
      <c r="BK9" s="25">
        <v>1.5956915528861471</v>
      </c>
      <c r="BL9" s="25">
        <v>1.1474393182785314</v>
      </c>
      <c r="BM9" s="25">
        <v>0.42774142421122563</v>
      </c>
      <c r="BN9" s="25">
        <v>0.35090323468008289</v>
      </c>
      <c r="BO9" s="25">
        <v>2.1063879786607207</v>
      </c>
      <c r="BP9" s="25">
        <v>8.6702236953693612E-2</v>
      </c>
      <c r="BQ9" s="25">
        <v>71.223802448817224</v>
      </c>
      <c r="BR9" s="25">
        <v>16.960068813518546</v>
      </c>
      <c r="BS9" s="25">
        <v>1.5619518298257609</v>
      </c>
      <c r="BT9" s="25">
        <v>6.8222988771079134</v>
      </c>
      <c r="BU9" s="25">
        <v>5.500218499872763</v>
      </c>
      <c r="BV9" s="25">
        <v>1.1191405236272542</v>
      </c>
      <c r="BW9" s="25">
        <v>4.3106319845372205</v>
      </c>
      <c r="BX9" s="25">
        <v>0</v>
      </c>
      <c r="BY9" s="25">
        <v>18508.780939473923</v>
      </c>
      <c r="BZ9" s="25">
        <v>1808.1263468965512</v>
      </c>
      <c r="CA9" s="25">
        <v>7.4826886493532085E-2</v>
      </c>
      <c r="CB9" s="25">
        <v>0</v>
      </c>
      <c r="CC9" s="25">
        <v>199.54564961426397</v>
      </c>
      <c r="CD9" s="25">
        <v>9.7663345531448016</v>
      </c>
      <c r="CE9" s="25">
        <v>-515.29409742372206</v>
      </c>
      <c r="CF9" s="25">
        <v>1502.219060526731</v>
      </c>
      <c r="CG9" s="25">
        <v>20011</v>
      </c>
      <c r="CH9"/>
      <c r="CI9">
        <f t="shared" si="0"/>
        <v>7.5069664710745637E-2</v>
      </c>
      <c r="CJ9"/>
      <c r="CK9"/>
      <c r="CL9"/>
      <c r="CM9"/>
      <c r="CN9"/>
      <c r="CO9"/>
      <c r="CP9"/>
      <c r="CQ9"/>
      <c r="CR9"/>
      <c r="CS9"/>
      <c r="CT9"/>
      <c r="CU9"/>
    </row>
    <row r="10" spans="1:99" s="18" customFormat="1" x14ac:dyDescent="0.3">
      <c r="A10" s="35" t="s">
        <v>14</v>
      </c>
      <c r="B10" s="4" t="s">
        <v>88</v>
      </c>
      <c r="C10" s="18">
        <v>5</v>
      </c>
      <c r="D10" s="46">
        <v>21.840529156148218</v>
      </c>
      <c r="E10" s="46">
        <v>15.400400614883161</v>
      </c>
      <c r="F10" s="46">
        <v>0.88883243232383691</v>
      </c>
      <c r="G10" s="46">
        <v>2.8557716462244058</v>
      </c>
      <c r="H10" s="46">
        <v>6630.1612088235315</v>
      </c>
      <c r="I10" s="46">
        <v>276.15336287009848</v>
      </c>
      <c r="J10" s="46">
        <v>28.805250505293394</v>
      </c>
      <c r="K10" s="46">
        <v>63.705838666513223</v>
      </c>
      <c r="L10" s="46">
        <v>0.44529788306225443</v>
      </c>
      <c r="M10" s="46">
        <v>591.27168210260413</v>
      </c>
      <c r="N10" s="46">
        <v>106.02011136393205</v>
      </c>
      <c r="O10" s="46">
        <v>0.12079150775006751</v>
      </c>
      <c r="P10" s="46">
        <v>91.397968424161249</v>
      </c>
      <c r="Q10" s="46">
        <v>0.9859828821998885</v>
      </c>
      <c r="R10" s="46">
        <v>1.5852200747158953</v>
      </c>
      <c r="S10" s="46">
        <v>39.944558328694711</v>
      </c>
      <c r="T10" s="46">
        <v>541.21669558565713</v>
      </c>
      <c r="U10" s="46">
        <v>0.14283781759447525</v>
      </c>
      <c r="V10" s="46">
        <v>106597.07169103523</v>
      </c>
      <c r="W10" s="46">
        <v>2746.859928965142</v>
      </c>
      <c r="X10" s="46">
        <v>590.10146142342774</v>
      </c>
      <c r="Y10" s="46">
        <v>1.2543755826208123</v>
      </c>
      <c r="Z10" s="46">
        <v>1369.8244545530101</v>
      </c>
      <c r="AA10" s="46">
        <v>67.887326730768507</v>
      </c>
      <c r="AB10" s="46">
        <v>24.388557536390959</v>
      </c>
      <c r="AC10" s="46">
        <v>28.616612248902094</v>
      </c>
      <c r="AD10" s="46">
        <v>80.815093895843745</v>
      </c>
      <c r="AE10" s="46">
        <v>444.9047330096729</v>
      </c>
      <c r="AF10" s="46">
        <v>358.13112480767455</v>
      </c>
      <c r="AG10" s="46">
        <v>243.10479667412577</v>
      </c>
      <c r="AH10" s="46">
        <v>282.12759953735406</v>
      </c>
      <c r="AI10" s="46">
        <v>1.1289920258050867</v>
      </c>
      <c r="AJ10" s="46">
        <v>26.624932580698125</v>
      </c>
      <c r="AK10" s="46">
        <v>19.39617063302661</v>
      </c>
      <c r="AL10" s="46">
        <v>62.055892692773291</v>
      </c>
      <c r="AM10" s="46">
        <v>126.58879315468714</v>
      </c>
      <c r="AN10" s="46">
        <v>1.6722904165548684</v>
      </c>
      <c r="AO10" s="46">
        <v>2.9946627049901835</v>
      </c>
      <c r="AP10" s="46">
        <v>6.2288933402661524</v>
      </c>
      <c r="AQ10" s="46">
        <v>3962.6267490105643</v>
      </c>
      <c r="AR10" s="46">
        <v>1.0026425015018887</v>
      </c>
      <c r="AS10" s="46">
        <v>0.71835593670119713</v>
      </c>
      <c r="AT10" s="46">
        <v>5204.7213082855596</v>
      </c>
      <c r="AU10" s="46">
        <v>522.87686453940887</v>
      </c>
      <c r="AV10" s="46">
        <v>571.58374784241619</v>
      </c>
      <c r="AW10" s="46">
        <v>9.6259107950591485</v>
      </c>
      <c r="AX10" s="46">
        <v>157.08908899541788</v>
      </c>
      <c r="AY10" s="47">
        <v>72.420509151887714</v>
      </c>
      <c r="AZ10" s="46">
        <v>0.79119726022833792</v>
      </c>
      <c r="BA10" s="46">
        <v>0.27180433402135079</v>
      </c>
      <c r="BB10" s="46">
        <v>47.629023225729306</v>
      </c>
      <c r="BC10" s="46">
        <v>3.4384093391053674</v>
      </c>
      <c r="BD10" s="46">
        <v>49.277023471172583</v>
      </c>
      <c r="BE10" s="46">
        <v>0.46020693542067409</v>
      </c>
      <c r="BF10" s="46">
        <v>1.2321138297038736</v>
      </c>
      <c r="BG10" s="46">
        <v>87.263751367838168</v>
      </c>
      <c r="BH10" s="46">
        <v>4.8051068332729354</v>
      </c>
      <c r="BI10" s="46">
        <v>13.42873287781198</v>
      </c>
      <c r="BJ10" s="46">
        <v>6.8459631171730635</v>
      </c>
      <c r="BK10" s="46">
        <v>13.309644485303563</v>
      </c>
      <c r="BL10" s="46">
        <v>55.84941687290231</v>
      </c>
      <c r="BM10" s="46">
        <v>3.1144653032179401</v>
      </c>
      <c r="BN10" s="46">
        <v>5.7667873410487926</v>
      </c>
      <c r="BO10" s="46">
        <v>9.2018492340023048</v>
      </c>
      <c r="BP10" s="46">
        <v>0.72124886305557712</v>
      </c>
      <c r="BQ10" s="46">
        <v>1045.7361704016769</v>
      </c>
      <c r="BR10" s="46">
        <v>8.0402547944220171</v>
      </c>
      <c r="BS10" s="46">
        <v>12.284844878600811</v>
      </c>
      <c r="BT10" s="46">
        <v>1.4955079432515803</v>
      </c>
      <c r="BU10" s="46">
        <v>7.5123371166669539</v>
      </c>
      <c r="BV10" s="46">
        <v>9.5743713507298249</v>
      </c>
      <c r="BW10" s="46">
        <v>21.701481886008551</v>
      </c>
      <c r="BX10" s="46">
        <v>0</v>
      </c>
      <c r="BY10" s="46">
        <v>133407.13761435516</v>
      </c>
      <c r="BZ10" s="46">
        <v>92727.090257778167</v>
      </c>
      <c r="CA10" s="46">
        <v>0</v>
      </c>
      <c r="CB10" s="46">
        <v>0</v>
      </c>
      <c r="CC10" s="46">
        <v>602.27835410534612</v>
      </c>
      <c r="CD10" s="46">
        <v>11369.449471675794</v>
      </c>
      <c r="CE10" s="46">
        <v>-12167.955697914464</v>
      </c>
      <c r="CF10" s="46">
        <v>92530.862385644839</v>
      </c>
      <c r="CG10" s="46">
        <v>225938</v>
      </c>
      <c r="CH10"/>
      <c r="CI10">
        <f t="shared" si="0"/>
        <v>0.4095409465678409</v>
      </c>
      <c r="CJ10"/>
      <c r="CK10"/>
      <c r="CL10"/>
      <c r="CM10"/>
      <c r="CN10"/>
      <c r="CO10"/>
      <c r="CP10"/>
      <c r="CQ10"/>
      <c r="CR10"/>
      <c r="CS10"/>
      <c r="CT10"/>
      <c r="CU10"/>
    </row>
    <row r="11" spans="1:99" s="5" customFormat="1" x14ac:dyDescent="0.3">
      <c r="A11" s="35" t="s">
        <v>15</v>
      </c>
      <c r="B11" s="11" t="s">
        <v>89</v>
      </c>
      <c r="C11" s="5">
        <v>6</v>
      </c>
      <c r="D11" s="25">
        <v>0.13674265992418938</v>
      </c>
      <c r="E11" s="25">
        <v>7.7076579237451356E-2</v>
      </c>
      <c r="F11" s="25">
        <v>7.9907095159552737E-3</v>
      </c>
      <c r="G11" s="25">
        <v>2.1964979988157055E-2</v>
      </c>
      <c r="H11" s="25">
        <v>2.3512302778406555</v>
      </c>
      <c r="I11" s="25">
        <v>1793.5446680277946</v>
      </c>
      <c r="J11" s="25">
        <v>45.052166072018551</v>
      </c>
      <c r="K11" s="25">
        <v>0.48557035056860143</v>
      </c>
      <c r="L11" s="25">
        <v>3.2457224077284408E-2</v>
      </c>
      <c r="M11" s="25">
        <v>0.34478481658447679</v>
      </c>
      <c r="N11" s="25">
        <v>0.27770406268595904</v>
      </c>
      <c r="O11" s="25">
        <v>6.3359672467056719E-2</v>
      </c>
      <c r="P11" s="25">
        <v>4.3394836605403636E-2</v>
      </c>
      <c r="Q11" s="25">
        <v>9.5809719255202166E-2</v>
      </c>
      <c r="R11" s="25">
        <v>0.10896932523635733</v>
      </c>
      <c r="S11" s="25">
        <v>7.4421837428328225E-2</v>
      </c>
      <c r="T11" s="25">
        <v>0.14841066512926848</v>
      </c>
      <c r="U11" s="25">
        <v>1.4610974710545475E-2</v>
      </c>
      <c r="V11" s="25">
        <v>0.14103174954363348</v>
      </c>
      <c r="W11" s="25">
        <v>3.616791272586468E-3</v>
      </c>
      <c r="X11" s="25">
        <v>2.3110087238738054E-5</v>
      </c>
      <c r="Y11" s="25">
        <v>1.758844896028158E-2</v>
      </c>
      <c r="Z11" s="25">
        <v>0.3441422741410653</v>
      </c>
      <c r="AA11" s="25">
        <v>0.11931617995440563</v>
      </c>
      <c r="AB11" s="25">
        <v>0.21383962892644981</v>
      </c>
      <c r="AC11" s="25">
        <v>0.70292247376864159</v>
      </c>
      <c r="AD11" s="25">
        <v>0.20161083267503888</v>
      </c>
      <c r="AE11" s="25">
        <v>106.29352494890139</v>
      </c>
      <c r="AF11" s="25">
        <v>16914.009290101829</v>
      </c>
      <c r="AG11" s="25">
        <v>123.08644919276587</v>
      </c>
      <c r="AH11" s="25">
        <v>9.6515193252221299E-2</v>
      </c>
      <c r="AI11" s="25">
        <v>0.2311133980093566</v>
      </c>
      <c r="AJ11" s="25">
        <v>0.55081086408176261</v>
      </c>
      <c r="AK11" s="25">
        <v>4.5165856691169601</v>
      </c>
      <c r="AL11" s="25">
        <v>1.1407708638242533</v>
      </c>
      <c r="AM11" s="25">
        <v>0.6648090811878542</v>
      </c>
      <c r="AN11" s="25">
        <v>0.23246827901084524</v>
      </c>
      <c r="AO11" s="25">
        <v>0.11436778901434212</v>
      </c>
      <c r="AP11" s="25">
        <v>2.6358291933710922</v>
      </c>
      <c r="AQ11" s="25">
        <v>0.28979804949630938</v>
      </c>
      <c r="AR11" s="25">
        <v>4.7338774662424629E-2</v>
      </c>
      <c r="AS11" s="25">
        <v>3.391646550388018E-2</v>
      </c>
      <c r="AT11" s="25">
        <v>1.988170756914235E-2</v>
      </c>
      <c r="AU11" s="25">
        <v>7.234069782709901E-2</v>
      </c>
      <c r="AV11" s="25">
        <v>1.2898289321037097</v>
      </c>
      <c r="AW11" s="25">
        <v>0.20090651102872664</v>
      </c>
      <c r="AX11" s="25">
        <v>1.887658810240807</v>
      </c>
      <c r="AY11" s="40">
        <v>0.11844738050404721</v>
      </c>
      <c r="AZ11" s="25">
        <v>4.2493869978530906E-2</v>
      </c>
      <c r="BA11" s="25">
        <v>9.9650457093768633E-3</v>
      </c>
      <c r="BB11" s="25">
        <v>0.14510724830900434</v>
      </c>
      <c r="BC11" s="25">
        <v>4.3813445033068006E-2</v>
      </c>
      <c r="BD11" s="25">
        <v>0.31459912276088531</v>
      </c>
      <c r="BE11" s="25">
        <v>2.0385269425681325E-2</v>
      </c>
      <c r="BF11" s="25">
        <v>2.0853742805391956E-2</v>
      </c>
      <c r="BG11" s="25">
        <v>0.29065393793936506</v>
      </c>
      <c r="BH11" s="25">
        <v>0.36060677130944191</v>
      </c>
      <c r="BI11" s="25">
        <v>0.19109174329379947</v>
      </c>
      <c r="BJ11" s="25">
        <v>7.4650669733284547E-2</v>
      </c>
      <c r="BK11" s="25">
        <v>0.16290205665120142</v>
      </c>
      <c r="BL11" s="25">
        <v>6.5571965664593153</v>
      </c>
      <c r="BM11" s="25">
        <v>5.3040757670002957E-2</v>
      </c>
      <c r="BN11" s="25">
        <v>0.12392834524204648</v>
      </c>
      <c r="BO11" s="25">
        <v>0.64194196661380931</v>
      </c>
      <c r="BP11" s="25">
        <v>1.0178673142548091E-2</v>
      </c>
      <c r="BQ11" s="25">
        <v>0.1429922842223047</v>
      </c>
      <c r="BR11" s="25">
        <v>5.2338502546912274E-2</v>
      </c>
      <c r="BS11" s="25">
        <v>0.14785892586383659</v>
      </c>
      <c r="BT11" s="25">
        <v>9.1322142724599098E-2</v>
      </c>
      <c r="BU11" s="25">
        <v>0.22754425096440167</v>
      </c>
      <c r="BV11" s="25">
        <v>0.11034237079522521</v>
      </c>
      <c r="BW11" s="25">
        <v>0.13327856122098622</v>
      </c>
      <c r="BX11" s="25">
        <v>0</v>
      </c>
      <c r="BY11" s="25">
        <v>19012.127162454108</v>
      </c>
      <c r="BZ11" s="25">
        <v>65510.696678506043</v>
      </c>
      <c r="CA11" s="25">
        <v>1.4070934149824032E-2</v>
      </c>
      <c r="CB11" s="25">
        <v>0</v>
      </c>
      <c r="CC11" s="25">
        <v>7.1161250435648888</v>
      </c>
      <c r="CD11" s="25">
        <v>145.98410861954713</v>
      </c>
      <c r="CE11" s="25">
        <v>7650.0618544429026</v>
      </c>
      <c r="CF11" s="25">
        <v>73313.872837546209</v>
      </c>
      <c r="CG11" s="25">
        <v>92326</v>
      </c>
      <c r="CH11"/>
      <c r="CI11">
        <f t="shared" si="0"/>
        <v>0.79407613064084015</v>
      </c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5" customFormat="1" x14ac:dyDescent="0.3">
      <c r="A12" s="35" t="s">
        <v>16</v>
      </c>
      <c r="B12" s="11" t="s">
        <v>90</v>
      </c>
      <c r="C12" s="5">
        <v>7</v>
      </c>
      <c r="D12" s="25">
        <v>4.6695014758879445</v>
      </c>
      <c r="E12" s="25">
        <v>2.6283039561679735</v>
      </c>
      <c r="F12" s="25">
        <v>0.12435657689505802</v>
      </c>
      <c r="G12" s="25">
        <v>1.2402922594017085</v>
      </c>
      <c r="H12" s="25">
        <v>68.177003420436364</v>
      </c>
      <c r="I12" s="25">
        <v>10.656377563750246</v>
      </c>
      <c r="J12" s="25">
        <v>810.56588004422406</v>
      </c>
      <c r="K12" s="25">
        <v>6.0089168764356895</v>
      </c>
      <c r="L12" s="25">
        <v>0.15093812670459369</v>
      </c>
      <c r="M12" s="25">
        <v>12.9722183949743</v>
      </c>
      <c r="N12" s="25">
        <v>1.4659626299990833</v>
      </c>
      <c r="O12" s="25">
        <v>3.0025646907243879E-3</v>
      </c>
      <c r="P12" s="25">
        <v>0.1647001896778941</v>
      </c>
      <c r="Q12" s="25">
        <v>3.7493815255573659E-2</v>
      </c>
      <c r="R12" s="25">
        <v>0.28587825633002129</v>
      </c>
      <c r="S12" s="25">
        <v>0.12078566972039449</v>
      </c>
      <c r="T12" s="25">
        <v>5.8959538641400995</v>
      </c>
      <c r="U12" s="25">
        <v>3.4978878823679715</v>
      </c>
      <c r="V12" s="25">
        <v>4.5892973046511618E-2</v>
      </c>
      <c r="W12" s="25">
        <v>1.1822535605055414E-3</v>
      </c>
      <c r="X12" s="25">
        <v>2.1491581320449266E-4</v>
      </c>
      <c r="Y12" s="25">
        <v>0.99308581171159349</v>
      </c>
      <c r="Z12" s="25">
        <v>30.317772802696538</v>
      </c>
      <c r="AA12" s="25">
        <v>5.2720189638343404</v>
      </c>
      <c r="AB12" s="25">
        <v>1.707652177148723</v>
      </c>
      <c r="AC12" s="25">
        <v>0.54015883269519149</v>
      </c>
      <c r="AD12" s="25">
        <v>7.8003983154097618</v>
      </c>
      <c r="AE12" s="25">
        <v>52.370365079400145</v>
      </c>
      <c r="AF12" s="25">
        <v>1602.2276965246788</v>
      </c>
      <c r="AG12" s="25">
        <v>5411.8108357352558</v>
      </c>
      <c r="AH12" s="25">
        <v>31.658928989281709</v>
      </c>
      <c r="AI12" s="25">
        <v>2.4799909024659503</v>
      </c>
      <c r="AJ12" s="25">
        <v>79.430200149974439</v>
      </c>
      <c r="AK12" s="25">
        <v>12.403471412807637</v>
      </c>
      <c r="AL12" s="25">
        <v>8.4362246418490709</v>
      </c>
      <c r="AM12" s="25">
        <v>49.25245291236304</v>
      </c>
      <c r="AN12" s="25">
        <v>12.922169743007423</v>
      </c>
      <c r="AO12" s="25">
        <v>30.016131454804242</v>
      </c>
      <c r="AP12" s="25">
        <v>5.5688268546337119</v>
      </c>
      <c r="AQ12" s="25">
        <v>0.38191835058480461</v>
      </c>
      <c r="AR12" s="25">
        <v>6.2386709535148889E-2</v>
      </c>
      <c r="AS12" s="25">
        <v>4.4697749296181193E-2</v>
      </c>
      <c r="AT12" s="25">
        <v>2.7479529782933219E-3</v>
      </c>
      <c r="AU12" s="25">
        <v>3.6386313509995625</v>
      </c>
      <c r="AV12" s="25">
        <v>59.821666220413704</v>
      </c>
      <c r="AW12" s="25">
        <v>0.56351330548292067</v>
      </c>
      <c r="AX12" s="25">
        <v>3.5850875870764098</v>
      </c>
      <c r="AY12" s="40">
        <v>0.16152433475438327</v>
      </c>
      <c r="AZ12" s="25">
        <v>0</v>
      </c>
      <c r="BA12" s="25">
        <v>3.6377032630939723E-3</v>
      </c>
      <c r="BB12" s="25">
        <v>7.3311620754241066E-2</v>
      </c>
      <c r="BC12" s="25">
        <v>4.6298041530286917E-3</v>
      </c>
      <c r="BD12" s="25">
        <v>0.25629272989980256</v>
      </c>
      <c r="BE12" s="25">
        <v>3.7532058634054849E-4</v>
      </c>
      <c r="BF12" s="25">
        <v>0</v>
      </c>
      <c r="BG12" s="25">
        <v>1.2010258762897552E-2</v>
      </c>
      <c r="BH12" s="25">
        <v>1.9382809620621597E-2</v>
      </c>
      <c r="BI12" s="25">
        <v>1.5203034511277993E-2</v>
      </c>
      <c r="BJ12" s="25">
        <v>2.003248905706124</v>
      </c>
      <c r="BK12" s="25">
        <v>0.23876561417762249</v>
      </c>
      <c r="BL12" s="25">
        <v>0.70972306863846413</v>
      </c>
      <c r="BM12" s="25">
        <v>1.6222906532518441E-3</v>
      </c>
      <c r="BN12" s="25">
        <v>5.442148501937953E-3</v>
      </c>
      <c r="BO12" s="25">
        <v>0.26001967374228785</v>
      </c>
      <c r="BP12" s="25">
        <v>0</v>
      </c>
      <c r="BQ12" s="25">
        <v>0.51230206414437374</v>
      </c>
      <c r="BR12" s="25">
        <v>0.19266821059269967</v>
      </c>
      <c r="BS12" s="25">
        <v>1.8766029317027425E-4</v>
      </c>
      <c r="BT12" s="25">
        <v>0.4111017478166531</v>
      </c>
      <c r="BU12" s="25">
        <v>0.71872298895310616</v>
      </c>
      <c r="BV12" s="25">
        <v>0</v>
      </c>
      <c r="BW12" s="25">
        <v>0.38814582574989026</v>
      </c>
      <c r="BX12" s="25">
        <v>0</v>
      </c>
      <c r="BY12" s="25">
        <v>8348.0100920551376</v>
      </c>
      <c r="BZ12" s="25">
        <v>11140.000522732968</v>
      </c>
      <c r="CA12" s="25">
        <v>0</v>
      </c>
      <c r="CB12" s="25">
        <v>0</v>
      </c>
      <c r="CC12" s="25">
        <v>7.4490403929319573</v>
      </c>
      <c r="CD12" s="25">
        <v>8.4306386705310778</v>
      </c>
      <c r="CE12" s="25">
        <v>-1230.8902938517319</v>
      </c>
      <c r="CF12" s="25">
        <v>9924.989907944695</v>
      </c>
      <c r="CG12" s="25">
        <v>18273</v>
      </c>
      <c r="CH12"/>
      <c r="CI12">
        <f t="shared" si="0"/>
        <v>0.54315054495401383</v>
      </c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5" customFormat="1" x14ac:dyDescent="0.3">
      <c r="A13" s="35" t="s">
        <v>17</v>
      </c>
      <c r="B13" s="13" t="s">
        <v>91</v>
      </c>
      <c r="C13" s="5">
        <v>8</v>
      </c>
      <c r="D13" s="25">
        <v>73.154869703102293</v>
      </c>
      <c r="E13" s="25">
        <v>2090.4666127383612</v>
      </c>
      <c r="F13" s="25">
        <v>38.303223606085048</v>
      </c>
      <c r="G13" s="25">
        <v>9.9476144270842912</v>
      </c>
      <c r="H13" s="25">
        <v>19.441015207789729</v>
      </c>
      <c r="I13" s="25">
        <v>17.034336759545571</v>
      </c>
      <c r="J13" s="25">
        <v>3.2840564241838339</v>
      </c>
      <c r="K13" s="25">
        <v>22154.159039236492</v>
      </c>
      <c r="L13" s="25">
        <v>1.082347910381634</v>
      </c>
      <c r="M13" s="25">
        <v>2486.5335612008021</v>
      </c>
      <c r="N13" s="25">
        <v>47.12680801295101</v>
      </c>
      <c r="O13" s="25">
        <v>2.4639671818900046</v>
      </c>
      <c r="P13" s="25">
        <v>7.060412577559898</v>
      </c>
      <c r="Q13" s="25">
        <v>8.6616937343683915</v>
      </c>
      <c r="R13" s="25">
        <v>1473.7108621562193</v>
      </c>
      <c r="S13" s="25">
        <v>5.5399254119356467</v>
      </c>
      <c r="T13" s="25">
        <v>15.727026465846638</v>
      </c>
      <c r="U13" s="25">
        <v>3.1952587031855946</v>
      </c>
      <c r="V13" s="25">
        <v>23.045816579540215</v>
      </c>
      <c r="W13" s="25">
        <v>0.59120438239645301</v>
      </c>
      <c r="X13" s="25">
        <v>1.1154333921446673E-2</v>
      </c>
      <c r="Y13" s="25">
        <v>737.52754758680226</v>
      </c>
      <c r="Z13" s="25">
        <v>29.649496648953853</v>
      </c>
      <c r="AA13" s="25">
        <v>44.06311680020827</v>
      </c>
      <c r="AB13" s="25">
        <v>1728.7212004490052</v>
      </c>
      <c r="AC13" s="25">
        <v>13.395568380291248</v>
      </c>
      <c r="AD13" s="25">
        <v>28.418666331113954</v>
      </c>
      <c r="AE13" s="25">
        <v>9.9546155048647833</v>
      </c>
      <c r="AF13" s="25">
        <v>10.27433090791676</v>
      </c>
      <c r="AG13" s="25">
        <v>5.7880679952824563</v>
      </c>
      <c r="AH13" s="25">
        <v>65.983484351678669</v>
      </c>
      <c r="AI13" s="25">
        <v>13.052513084827927</v>
      </c>
      <c r="AJ13" s="25">
        <v>11.427341327966367</v>
      </c>
      <c r="AK13" s="25">
        <v>65.885115946016057</v>
      </c>
      <c r="AL13" s="25">
        <v>13.947593713978753</v>
      </c>
      <c r="AM13" s="25">
        <v>8.0334682308256546</v>
      </c>
      <c r="AN13" s="25">
        <v>3.9970415496921299</v>
      </c>
      <c r="AO13" s="25">
        <v>12.233521469074882</v>
      </c>
      <c r="AP13" s="25">
        <v>40.66630068883353</v>
      </c>
      <c r="AQ13" s="25">
        <v>4.9078318601301127</v>
      </c>
      <c r="AR13" s="25">
        <v>0.80169879304424541</v>
      </c>
      <c r="AS13" s="25">
        <v>0.57438726821060582</v>
      </c>
      <c r="AT13" s="25">
        <v>0.39508867755127919</v>
      </c>
      <c r="AU13" s="25">
        <v>3.2880462758082873</v>
      </c>
      <c r="AV13" s="25">
        <v>58.979780993144523</v>
      </c>
      <c r="AW13" s="25">
        <v>7.2079814180050006</v>
      </c>
      <c r="AX13" s="25">
        <v>448.87840910454804</v>
      </c>
      <c r="AY13" s="40">
        <v>13.177597734156844</v>
      </c>
      <c r="AZ13" s="25">
        <v>0.87761198330752599</v>
      </c>
      <c r="BA13" s="25">
        <v>1.2127732024502407</v>
      </c>
      <c r="BB13" s="25">
        <v>4.6743078731159482</v>
      </c>
      <c r="BC13" s="25">
        <v>445.42571341750192</v>
      </c>
      <c r="BD13" s="25">
        <v>17469.214563864898</v>
      </c>
      <c r="BE13" s="25">
        <v>1.6282579133193542</v>
      </c>
      <c r="BF13" s="25">
        <v>1.6628425525433661</v>
      </c>
      <c r="BG13" s="25">
        <v>6.3279885834616953</v>
      </c>
      <c r="BH13" s="25">
        <v>4.6611580152642542</v>
      </c>
      <c r="BI13" s="25">
        <v>8.4847062924333017</v>
      </c>
      <c r="BJ13" s="25">
        <v>4.2251628748492873</v>
      </c>
      <c r="BK13" s="25">
        <v>7.7048874320347664</v>
      </c>
      <c r="BL13" s="25">
        <v>6.6234745742587275</v>
      </c>
      <c r="BM13" s="25">
        <v>5.7445293810847424</v>
      </c>
      <c r="BN13" s="25">
        <v>2.4002706741584565</v>
      </c>
      <c r="BO13" s="25">
        <v>15.89183431792314</v>
      </c>
      <c r="BP13" s="25">
        <v>0.73876872676470495</v>
      </c>
      <c r="BQ13" s="25">
        <v>2176.6448294629563</v>
      </c>
      <c r="BR13" s="25">
        <v>1294.0752073496703</v>
      </c>
      <c r="BS13" s="25">
        <v>207.92015422828754</v>
      </c>
      <c r="BT13" s="25">
        <v>1280.2889393214916</v>
      </c>
      <c r="BU13" s="25">
        <v>750.19254504153946</v>
      </c>
      <c r="BV13" s="25">
        <v>7.8726989669171097</v>
      </c>
      <c r="BW13" s="25">
        <v>194.08997714598203</v>
      </c>
      <c r="BX13" s="25">
        <v>0</v>
      </c>
      <c r="BY13" s="25">
        <v>55760.353823041805</v>
      </c>
      <c r="BZ13" s="25">
        <v>46170.634193654907</v>
      </c>
      <c r="CA13" s="25">
        <v>72.403106847664276</v>
      </c>
      <c r="CB13" s="25">
        <v>0</v>
      </c>
      <c r="CC13" s="25">
        <v>189902.00684124397</v>
      </c>
      <c r="CD13" s="25">
        <v>408.57985322996069</v>
      </c>
      <c r="CE13" s="25">
        <v>92.02218198479143</v>
      </c>
      <c r="CF13" s="25">
        <v>236645.64617696131</v>
      </c>
      <c r="CG13" s="25">
        <v>292406</v>
      </c>
      <c r="CH13"/>
      <c r="CI13">
        <f t="shared" si="0"/>
        <v>0.80930502854579356</v>
      </c>
      <c r="CJ13"/>
      <c r="CK13"/>
      <c r="CL13"/>
      <c r="CM13"/>
      <c r="CN13"/>
      <c r="CO13"/>
      <c r="CP13"/>
      <c r="CQ13"/>
      <c r="CR13"/>
      <c r="CS13"/>
      <c r="CT13"/>
      <c r="CU13"/>
    </row>
    <row r="14" spans="1:99" s="5" customFormat="1" x14ac:dyDescent="0.3">
      <c r="A14" s="35" t="s">
        <v>18</v>
      </c>
      <c r="B14" s="11" t="s">
        <v>92</v>
      </c>
      <c r="C14" s="5">
        <v>9</v>
      </c>
      <c r="D14" s="25">
        <v>53.525245661495106</v>
      </c>
      <c r="E14" s="25">
        <v>87.091629096935279</v>
      </c>
      <c r="F14" s="25">
        <v>2.3933686114067809</v>
      </c>
      <c r="G14" s="25">
        <v>1.6267936485293737</v>
      </c>
      <c r="H14" s="25">
        <v>330.37378178183957</v>
      </c>
      <c r="I14" s="25">
        <v>22.213349808506475</v>
      </c>
      <c r="J14" s="25">
        <v>3.8758144062349711</v>
      </c>
      <c r="K14" s="25">
        <v>291.48502026670752</v>
      </c>
      <c r="L14" s="25">
        <v>755.0705522263853</v>
      </c>
      <c r="M14" s="25">
        <v>3193.1450846768516</v>
      </c>
      <c r="N14" s="25">
        <v>671.87756873897501</v>
      </c>
      <c r="O14" s="25">
        <v>0.80970769237717621</v>
      </c>
      <c r="P14" s="25">
        <v>2.0182717111439166</v>
      </c>
      <c r="Q14" s="25">
        <v>2.6748804352580842</v>
      </c>
      <c r="R14" s="25">
        <v>2.0719631351791987</v>
      </c>
      <c r="S14" s="25">
        <v>14.517455004906177</v>
      </c>
      <c r="T14" s="25">
        <v>5.7074960129299406</v>
      </c>
      <c r="U14" s="25">
        <v>0.69458070858489607</v>
      </c>
      <c r="V14" s="25">
        <v>7507.7581622523867</v>
      </c>
      <c r="W14" s="25">
        <v>38.065828560668251</v>
      </c>
      <c r="X14" s="25">
        <v>37.884552806870992</v>
      </c>
      <c r="Y14" s="25">
        <v>641.94530772094413</v>
      </c>
      <c r="Z14" s="25">
        <v>141.833331788035</v>
      </c>
      <c r="AA14" s="25">
        <v>414.07002298252723</v>
      </c>
      <c r="AB14" s="25">
        <v>612.6548674591528</v>
      </c>
      <c r="AC14" s="25">
        <v>355.93828927093591</v>
      </c>
      <c r="AD14" s="25">
        <v>4.1415098105530657</v>
      </c>
      <c r="AE14" s="25">
        <v>3.0130158993046825</v>
      </c>
      <c r="AF14" s="25">
        <v>3.8189358232853383</v>
      </c>
      <c r="AG14" s="25">
        <v>2.1825390449694484</v>
      </c>
      <c r="AH14" s="25">
        <v>17.07074375611057</v>
      </c>
      <c r="AI14" s="25">
        <v>4.3963944431650885</v>
      </c>
      <c r="AJ14" s="25">
        <v>6.2673356968479901</v>
      </c>
      <c r="AK14" s="25">
        <v>94.892959214485501</v>
      </c>
      <c r="AL14" s="25">
        <v>16.375697215791359</v>
      </c>
      <c r="AM14" s="25">
        <v>2.8484953587445792</v>
      </c>
      <c r="AN14" s="25">
        <v>3.8857595632279263</v>
      </c>
      <c r="AO14" s="25">
        <v>3.4125173590272073</v>
      </c>
      <c r="AP14" s="25">
        <v>59.620441036581269</v>
      </c>
      <c r="AQ14" s="25">
        <v>4.5778112444269441</v>
      </c>
      <c r="AR14" s="25">
        <v>0.74778962565032936</v>
      </c>
      <c r="AS14" s="25">
        <v>0.53576336150205395</v>
      </c>
      <c r="AT14" s="25">
        <v>0.18604366840390935</v>
      </c>
      <c r="AU14" s="25">
        <v>10.534485195693792</v>
      </c>
      <c r="AV14" s="25">
        <v>172.49428311674274</v>
      </c>
      <c r="AW14" s="25">
        <v>139.72003194266006</v>
      </c>
      <c r="AX14" s="25">
        <v>273.44868017972459</v>
      </c>
      <c r="AY14" s="40">
        <v>351.8825270706414</v>
      </c>
      <c r="AZ14" s="25">
        <v>3.0478342772881142</v>
      </c>
      <c r="BA14" s="25">
        <v>9.5131123396482042</v>
      </c>
      <c r="BB14" s="25">
        <v>24.925261680434858</v>
      </c>
      <c r="BC14" s="25">
        <v>7.1586322599458212</v>
      </c>
      <c r="BD14" s="25">
        <v>795.99698416713557</v>
      </c>
      <c r="BE14" s="25">
        <v>2.2736975853333132</v>
      </c>
      <c r="BF14" s="25">
        <v>4.3632644457122938</v>
      </c>
      <c r="BG14" s="25">
        <v>12.172918758611727</v>
      </c>
      <c r="BH14" s="25">
        <v>17.104176004586161</v>
      </c>
      <c r="BI14" s="25">
        <v>62.695756696538133</v>
      </c>
      <c r="BJ14" s="25">
        <v>8.9417937468582913</v>
      </c>
      <c r="BK14" s="25">
        <v>62.340633001693277</v>
      </c>
      <c r="BL14" s="25">
        <v>49.822365940225048</v>
      </c>
      <c r="BM14" s="25">
        <v>19.535257662348876</v>
      </c>
      <c r="BN14" s="25">
        <v>47.389974559885005</v>
      </c>
      <c r="BO14" s="25">
        <v>66.91695313610424</v>
      </c>
      <c r="BP14" s="25">
        <v>31.905778702229004</v>
      </c>
      <c r="BQ14" s="25">
        <v>347.62689946182672</v>
      </c>
      <c r="BR14" s="25">
        <v>93.441802498041852</v>
      </c>
      <c r="BS14" s="25">
        <v>10.050684204698621</v>
      </c>
      <c r="BT14" s="25">
        <v>71.418104846656192</v>
      </c>
      <c r="BU14" s="25">
        <v>65.577576241430791</v>
      </c>
      <c r="BV14" s="25">
        <v>9.0821777582515093</v>
      </c>
      <c r="BW14" s="25">
        <v>75.349417288470065</v>
      </c>
      <c r="BX14" s="25">
        <v>0</v>
      </c>
      <c r="BY14" s="25">
        <v>18266.027743357266</v>
      </c>
      <c r="BZ14" s="25">
        <v>16586.094099334223</v>
      </c>
      <c r="CA14" s="25">
        <v>0.75832747333979078</v>
      </c>
      <c r="CB14" s="25">
        <v>0</v>
      </c>
      <c r="CC14" s="25">
        <v>16804.060038089898</v>
      </c>
      <c r="CD14" s="25">
        <v>332.26540144204876</v>
      </c>
      <c r="CE14" s="25">
        <v>-434.20560969345934</v>
      </c>
      <c r="CF14" s="25">
        <v>33288.972256646048</v>
      </c>
      <c r="CG14" s="25">
        <v>51555</v>
      </c>
      <c r="CH14"/>
      <c r="CI14">
        <f t="shared" si="0"/>
        <v>0.64569823017449424</v>
      </c>
      <c r="CJ14"/>
      <c r="CK14"/>
      <c r="CL14"/>
      <c r="CM14"/>
      <c r="CN14"/>
      <c r="CO14"/>
      <c r="CP14"/>
      <c r="CQ14"/>
      <c r="CR14"/>
      <c r="CS14"/>
      <c r="CT14"/>
      <c r="CU14"/>
    </row>
    <row r="15" spans="1:99" s="5" customFormat="1" x14ac:dyDescent="0.3">
      <c r="A15" s="35" t="s">
        <v>19</v>
      </c>
      <c r="B15" s="11" t="s">
        <v>93</v>
      </c>
      <c r="C15" s="5">
        <v>10</v>
      </c>
      <c r="D15" s="25">
        <v>1901.0054801064068</v>
      </c>
      <c r="E15" s="25">
        <v>13289.224940089322</v>
      </c>
      <c r="F15" s="25">
        <v>896.41032663354997</v>
      </c>
      <c r="G15" s="25">
        <v>153.24329869233779</v>
      </c>
      <c r="H15" s="25">
        <v>190.88614623268415</v>
      </c>
      <c r="I15" s="25">
        <v>51.948534499783051</v>
      </c>
      <c r="J15" s="25">
        <v>15.388238981782578</v>
      </c>
      <c r="K15" s="25">
        <v>23451.189481979363</v>
      </c>
      <c r="L15" s="25">
        <v>23.734989674378149</v>
      </c>
      <c r="M15" s="25">
        <v>28439.299882070107</v>
      </c>
      <c r="N15" s="25">
        <v>2077.0624840713945</v>
      </c>
      <c r="O15" s="25">
        <v>14.848455391706466</v>
      </c>
      <c r="P15" s="25">
        <v>56.298102691011167</v>
      </c>
      <c r="Q15" s="25">
        <v>48.649656419391995</v>
      </c>
      <c r="R15" s="25">
        <v>64.823663411944551</v>
      </c>
      <c r="S15" s="25">
        <v>57.154408794491836</v>
      </c>
      <c r="T15" s="25">
        <v>656.92771831569246</v>
      </c>
      <c r="U15" s="25">
        <v>23.745029528523716</v>
      </c>
      <c r="V15" s="25">
        <v>2090.5259077506907</v>
      </c>
      <c r="W15" s="25">
        <v>13.73414675388981</v>
      </c>
      <c r="X15" s="25">
        <v>9.9100745733107036</v>
      </c>
      <c r="Y15" s="25">
        <v>3052.5007492955879</v>
      </c>
      <c r="Z15" s="25">
        <v>488.08572102873586</v>
      </c>
      <c r="AA15" s="25">
        <v>802.79042948388508</v>
      </c>
      <c r="AB15" s="25">
        <v>1071.7383300275353</v>
      </c>
      <c r="AC15" s="25">
        <v>229.2972298924555</v>
      </c>
      <c r="AD15" s="25">
        <v>175.30799702257426</v>
      </c>
      <c r="AE15" s="25">
        <v>93.455962438569458</v>
      </c>
      <c r="AF15" s="25">
        <v>91.502096291676054</v>
      </c>
      <c r="AG15" s="25">
        <v>40.730425944808665</v>
      </c>
      <c r="AH15" s="25">
        <v>88.811442634074723</v>
      </c>
      <c r="AI15" s="25">
        <v>75.800275198075241</v>
      </c>
      <c r="AJ15" s="25">
        <v>60.469386724199659</v>
      </c>
      <c r="AK15" s="25">
        <v>109.61639448495571</v>
      </c>
      <c r="AL15" s="25">
        <v>56.823494247557683</v>
      </c>
      <c r="AM15" s="25">
        <v>43.043402590615294</v>
      </c>
      <c r="AN15" s="25">
        <v>18.514591250608341</v>
      </c>
      <c r="AO15" s="25">
        <v>81.249431479102569</v>
      </c>
      <c r="AP15" s="25">
        <v>72.461506322889448</v>
      </c>
      <c r="AQ15" s="25">
        <v>32.640494572908288</v>
      </c>
      <c r="AR15" s="25">
        <v>5.3318544418867022</v>
      </c>
      <c r="AS15" s="25">
        <v>3.8200747387215621</v>
      </c>
      <c r="AT15" s="25">
        <v>1.9974554253192676</v>
      </c>
      <c r="AU15" s="25">
        <v>32.438762555338485</v>
      </c>
      <c r="AV15" s="25">
        <v>362.30878240192641</v>
      </c>
      <c r="AW15" s="25">
        <v>131.80171804385978</v>
      </c>
      <c r="AX15" s="25">
        <v>3488.1785582675088</v>
      </c>
      <c r="AY15" s="40">
        <v>177.6154836162865</v>
      </c>
      <c r="AZ15" s="25">
        <v>2.5711517369963683</v>
      </c>
      <c r="BA15" s="25">
        <v>31.863843857922333</v>
      </c>
      <c r="BB15" s="25">
        <v>38.202177692526462</v>
      </c>
      <c r="BC15" s="25">
        <v>243.18734776607369</v>
      </c>
      <c r="BD15" s="25">
        <v>12354.485424699224</v>
      </c>
      <c r="BE15" s="25">
        <v>10.176693194556073</v>
      </c>
      <c r="BF15" s="25">
        <v>10.564222448678519</v>
      </c>
      <c r="BG15" s="25">
        <v>46.146674799237587</v>
      </c>
      <c r="BH15" s="25">
        <v>27.975880013120232</v>
      </c>
      <c r="BI15" s="25">
        <v>179.04353123604918</v>
      </c>
      <c r="BJ15" s="25">
        <v>39.398784795906302</v>
      </c>
      <c r="BK15" s="25">
        <v>74.566393195743473</v>
      </c>
      <c r="BL15" s="25">
        <v>36.341616639785727</v>
      </c>
      <c r="BM15" s="25">
        <v>66.425930366935887</v>
      </c>
      <c r="BN15" s="25">
        <v>23.287124561336029</v>
      </c>
      <c r="BO15" s="25">
        <v>77.880837953171621</v>
      </c>
      <c r="BP15" s="25">
        <v>12.251409229017842</v>
      </c>
      <c r="BQ15" s="25">
        <v>1527.9070113543858</v>
      </c>
      <c r="BR15" s="25">
        <v>1168.2631270201375</v>
      </c>
      <c r="BS15" s="25">
        <v>166.10330946360509</v>
      </c>
      <c r="BT15" s="25">
        <v>1598.3146954592717</v>
      </c>
      <c r="BU15" s="25">
        <v>711.43383081315847</v>
      </c>
      <c r="BV15" s="25">
        <v>52.378456412215172</v>
      </c>
      <c r="BW15" s="25">
        <v>738.01510177075443</v>
      </c>
      <c r="BX15" s="25">
        <v>0</v>
      </c>
      <c r="BY15" s="25">
        <v>103651.12759356326</v>
      </c>
      <c r="BZ15" s="25">
        <v>40248.489598205342</v>
      </c>
      <c r="CA15" s="25">
        <v>79.511138156412954</v>
      </c>
      <c r="CB15" s="25">
        <v>0</v>
      </c>
      <c r="CC15" s="25">
        <v>177717.30735024565</v>
      </c>
      <c r="CD15" s="25">
        <v>617.39769461445042</v>
      </c>
      <c r="CE15" s="25">
        <v>2629.1666252119085</v>
      </c>
      <c r="CF15" s="25">
        <v>221291.87240643374</v>
      </c>
      <c r="CG15" s="25">
        <v>324943</v>
      </c>
      <c r="CH15"/>
      <c r="CI15">
        <f t="shared" si="0"/>
        <v>0.68101750893674817</v>
      </c>
      <c r="CJ15"/>
      <c r="CK15"/>
      <c r="CL15"/>
      <c r="CM15"/>
      <c r="CN15"/>
      <c r="CO15"/>
      <c r="CP15"/>
      <c r="CQ15"/>
      <c r="CR15"/>
      <c r="CS15"/>
      <c r="CT15"/>
      <c r="CU15"/>
    </row>
    <row r="16" spans="1:99" s="5" customFormat="1" x14ac:dyDescent="0.3">
      <c r="A16" s="35" t="s">
        <v>20</v>
      </c>
      <c r="B16" s="11" t="s">
        <v>94</v>
      </c>
      <c r="C16" s="5">
        <v>11</v>
      </c>
      <c r="D16" s="25">
        <v>14.738989616009871</v>
      </c>
      <c r="E16" s="25">
        <v>9.3559628566249522</v>
      </c>
      <c r="F16" s="25">
        <v>0.76997093908372072</v>
      </c>
      <c r="G16" s="25">
        <v>5.2965240863765537</v>
      </c>
      <c r="H16" s="25">
        <v>13.258631367879314</v>
      </c>
      <c r="I16" s="25">
        <v>7.7752003622939307</v>
      </c>
      <c r="J16" s="25">
        <v>1.7552233619762363</v>
      </c>
      <c r="K16" s="25">
        <v>397.93740052882697</v>
      </c>
      <c r="L16" s="25">
        <v>1.2398412004481818</v>
      </c>
      <c r="M16" s="25">
        <v>99.164788907422874</v>
      </c>
      <c r="N16" s="25">
        <v>6639.8139459170734</v>
      </c>
      <c r="O16" s="25">
        <v>1.6073509897261555</v>
      </c>
      <c r="P16" s="25">
        <v>4.5283349087940703</v>
      </c>
      <c r="Q16" s="25">
        <v>5.5452055450162003</v>
      </c>
      <c r="R16" s="25">
        <v>4.332433091559972</v>
      </c>
      <c r="S16" s="25">
        <v>4.1709141399226111</v>
      </c>
      <c r="T16" s="25">
        <v>8.1110653190751663</v>
      </c>
      <c r="U16" s="25">
        <v>1.6440958479037435</v>
      </c>
      <c r="V16" s="25">
        <v>62.724309273939141</v>
      </c>
      <c r="W16" s="25">
        <v>0.63813413401866848</v>
      </c>
      <c r="X16" s="25">
        <v>0.24728806370822448</v>
      </c>
      <c r="Y16" s="25">
        <v>3.2332953034574743</v>
      </c>
      <c r="Z16" s="25">
        <v>10.807878362967745</v>
      </c>
      <c r="AA16" s="25">
        <v>13.785349231611255</v>
      </c>
      <c r="AB16" s="25">
        <v>11.28593901371301</v>
      </c>
      <c r="AC16" s="25">
        <v>8.4070269539693641</v>
      </c>
      <c r="AD16" s="25">
        <v>10.372939319485088</v>
      </c>
      <c r="AE16" s="25">
        <v>5.7335930661251897</v>
      </c>
      <c r="AF16" s="25">
        <v>10.690564754255435</v>
      </c>
      <c r="AG16" s="25">
        <v>3.6727053557939886</v>
      </c>
      <c r="AH16" s="25">
        <v>20.532547002031617</v>
      </c>
      <c r="AI16" s="25">
        <v>9.8421770671883415</v>
      </c>
      <c r="AJ16" s="25">
        <v>9.6817179914882701</v>
      </c>
      <c r="AK16" s="25">
        <v>31.591530962644072</v>
      </c>
      <c r="AL16" s="25">
        <v>12.546867209198936</v>
      </c>
      <c r="AM16" s="25">
        <v>8.0829596045852554</v>
      </c>
      <c r="AN16" s="25">
        <v>5.407992938744381</v>
      </c>
      <c r="AO16" s="25">
        <v>8.3460780589867074</v>
      </c>
      <c r="AP16" s="25">
        <v>19.980902844651798</v>
      </c>
      <c r="AQ16" s="25">
        <v>8.2460963667313756</v>
      </c>
      <c r="AR16" s="25">
        <v>1.3470073329610392</v>
      </c>
      <c r="AS16" s="25">
        <v>0.96508048777422217</v>
      </c>
      <c r="AT16" s="25">
        <v>0.45259474803304378</v>
      </c>
      <c r="AU16" s="25">
        <v>3.0293874354188697</v>
      </c>
      <c r="AV16" s="25">
        <v>69.490475030276087</v>
      </c>
      <c r="AW16" s="25">
        <v>10.121867206807233</v>
      </c>
      <c r="AX16" s="25">
        <v>107.19137678328732</v>
      </c>
      <c r="AY16" s="40">
        <v>17.004469945780773</v>
      </c>
      <c r="AZ16" s="25">
        <v>0.45098488593686104</v>
      </c>
      <c r="BA16" s="25">
        <v>8.1017402306451949</v>
      </c>
      <c r="BB16" s="25">
        <v>6.2954672198081303</v>
      </c>
      <c r="BC16" s="25">
        <v>450.04095222912139</v>
      </c>
      <c r="BD16" s="25">
        <v>26011.35330764388</v>
      </c>
      <c r="BE16" s="25">
        <v>1.2831511983985373</v>
      </c>
      <c r="BF16" s="25">
        <v>1.6703355696329378</v>
      </c>
      <c r="BG16" s="25">
        <v>6.639948261941079</v>
      </c>
      <c r="BH16" s="25">
        <v>5.1156865831042113</v>
      </c>
      <c r="BI16" s="25">
        <v>98.337037634416632</v>
      </c>
      <c r="BJ16" s="25">
        <v>6.2222204663183387</v>
      </c>
      <c r="BK16" s="25">
        <v>12.418989797104674</v>
      </c>
      <c r="BL16" s="25">
        <v>3.0201910223074115</v>
      </c>
      <c r="BM16" s="25">
        <v>4.3590942128361103</v>
      </c>
      <c r="BN16" s="25">
        <v>2.9262015060654649</v>
      </c>
      <c r="BO16" s="25">
        <v>13.385941024795088</v>
      </c>
      <c r="BP16" s="25">
        <v>1.1279802772267595</v>
      </c>
      <c r="BQ16" s="25">
        <v>100.98309553695751</v>
      </c>
      <c r="BR16" s="25">
        <v>69.203497212669163</v>
      </c>
      <c r="BS16" s="25">
        <v>17.627628060822449</v>
      </c>
      <c r="BT16" s="25">
        <v>72.575287811944762</v>
      </c>
      <c r="BU16" s="25">
        <v>174.85302763201307</v>
      </c>
      <c r="BV16" s="25">
        <v>28.677201679237029</v>
      </c>
      <c r="BW16" s="25">
        <v>19.690719496694626</v>
      </c>
      <c r="BX16" s="25">
        <v>0</v>
      </c>
      <c r="BY16" s="25">
        <v>34822.865718029527</v>
      </c>
      <c r="BZ16" s="25">
        <v>2978.2515255170383</v>
      </c>
      <c r="CA16" s="25">
        <v>1.711930760683654</v>
      </c>
      <c r="CB16" s="25">
        <v>0</v>
      </c>
      <c r="CC16" s="25">
        <v>40937.659906730412</v>
      </c>
      <c r="CD16" s="25">
        <v>99.164105981748065</v>
      </c>
      <c r="CE16" s="25">
        <v>-295.65318701065814</v>
      </c>
      <c r="CF16" s="25">
        <v>43721.134281979219</v>
      </c>
      <c r="CG16" s="25">
        <v>78544</v>
      </c>
      <c r="CH16"/>
      <c r="CI16">
        <f t="shared" si="0"/>
        <v>0.55664511970334107</v>
      </c>
      <c r="CJ16"/>
      <c r="CK16"/>
      <c r="CL16"/>
      <c r="CM16"/>
      <c r="CN16"/>
      <c r="CO16"/>
      <c r="CP16"/>
      <c r="CQ16"/>
      <c r="CR16"/>
      <c r="CS16"/>
      <c r="CT16"/>
      <c r="CU16"/>
    </row>
    <row r="17" spans="1:99" s="5" customFormat="1" x14ac:dyDescent="0.3">
      <c r="A17" s="35" t="s">
        <v>21</v>
      </c>
      <c r="B17" s="11" t="s">
        <v>95</v>
      </c>
      <c r="C17" s="5">
        <v>12</v>
      </c>
      <c r="D17" s="25">
        <v>1.8863691688160806</v>
      </c>
      <c r="E17" s="25">
        <v>0.98094149694974564</v>
      </c>
      <c r="F17" s="25">
        <v>8.9514122424551451E-2</v>
      </c>
      <c r="G17" s="25">
        <v>8.8027856520601772E-2</v>
      </c>
      <c r="H17" s="25">
        <v>2.1983798045019105</v>
      </c>
      <c r="I17" s="25">
        <v>2.4823701771170765</v>
      </c>
      <c r="J17" s="25">
        <v>0.38449654161175145</v>
      </c>
      <c r="K17" s="25">
        <v>3.1242665359212305</v>
      </c>
      <c r="L17" s="25">
        <v>8.7243129884883114E-2</v>
      </c>
      <c r="M17" s="25">
        <v>3.0183844464507614</v>
      </c>
      <c r="N17" s="25">
        <v>0.69678188723731094</v>
      </c>
      <c r="O17" s="25">
        <v>304.40931111676258</v>
      </c>
      <c r="P17" s="25">
        <v>0.50326688931054453</v>
      </c>
      <c r="Q17" s="25">
        <v>0.69276169613652694</v>
      </c>
      <c r="R17" s="25">
        <v>0.57329707009926212</v>
      </c>
      <c r="S17" s="25">
        <v>0.29665772502281579</v>
      </c>
      <c r="T17" s="25">
        <v>0.77841527883959816</v>
      </c>
      <c r="U17" s="25">
        <v>0.14759259718021084</v>
      </c>
      <c r="V17" s="25">
        <v>1.9269421902803952</v>
      </c>
      <c r="W17" s="25">
        <v>4.9416870450355976E-2</v>
      </c>
      <c r="X17" s="25">
        <v>3.1575728348748398E-4</v>
      </c>
      <c r="Y17" s="25">
        <v>0.17235201458619911</v>
      </c>
      <c r="Z17" s="25">
        <v>1.107047151565081</v>
      </c>
      <c r="AA17" s="25">
        <v>0.63432236052340329</v>
      </c>
      <c r="AB17" s="25">
        <v>0.48493659722363391</v>
      </c>
      <c r="AC17" s="25">
        <v>0.79277348067123543</v>
      </c>
      <c r="AD17" s="25">
        <v>0.99845903316703566</v>
      </c>
      <c r="AE17" s="25">
        <v>0.6455418969998038</v>
      </c>
      <c r="AF17" s="25">
        <v>0.712524191046642</v>
      </c>
      <c r="AG17" s="25">
        <v>0.61963993182403332</v>
      </c>
      <c r="AH17" s="25">
        <v>0.72265568027218996</v>
      </c>
      <c r="AI17" s="25">
        <v>1.1712195262487939</v>
      </c>
      <c r="AJ17" s="25">
        <v>1.1271924243504921</v>
      </c>
      <c r="AK17" s="25">
        <v>9.9519577058698854</v>
      </c>
      <c r="AL17" s="25">
        <v>1.7055667632146216</v>
      </c>
      <c r="AM17" s="25">
        <v>0.71215731551300565</v>
      </c>
      <c r="AN17" s="25">
        <v>0.50240733713544983</v>
      </c>
      <c r="AO17" s="25">
        <v>0.67606474613185774</v>
      </c>
      <c r="AP17" s="25">
        <v>6.0422709799356547</v>
      </c>
      <c r="AQ17" s="25">
        <v>0.4634018470298451</v>
      </c>
      <c r="AR17" s="25">
        <v>7.5697112705986572E-2</v>
      </c>
      <c r="AS17" s="25">
        <v>5.4234156463576412E-2</v>
      </c>
      <c r="AT17" s="25">
        <v>3.1969707392013345E-2</v>
      </c>
      <c r="AU17" s="25">
        <v>0.18846966514968422</v>
      </c>
      <c r="AV17" s="25">
        <v>5.1648106730527434</v>
      </c>
      <c r="AW17" s="25">
        <v>0.45008788726776994</v>
      </c>
      <c r="AX17" s="25">
        <v>3.61602930689922</v>
      </c>
      <c r="AY17" s="40">
        <v>1.1145936349456742</v>
      </c>
      <c r="AZ17" s="25">
        <v>0.10844203309535461</v>
      </c>
      <c r="BA17" s="25">
        <v>0.10146144957095145</v>
      </c>
      <c r="BB17" s="25">
        <v>0.28571453627037663</v>
      </c>
      <c r="BC17" s="25">
        <v>0.14313380238001955</v>
      </c>
      <c r="BD17" s="25">
        <v>2.3330807425444964</v>
      </c>
      <c r="BE17" s="25">
        <v>0.14060471532909452</v>
      </c>
      <c r="BF17" s="25">
        <v>0.12207897960738018</v>
      </c>
      <c r="BG17" s="25">
        <v>0.53625142339661203</v>
      </c>
      <c r="BH17" s="25">
        <v>0.43983916719084837</v>
      </c>
      <c r="BI17" s="25">
        <v>0.45998093840233023</v>
      </c>
      <c r="BJ17" s="25">
        <v>0.24562702079061452</v>
      </c>
      <c r="BK17" s="25">
        <v>0.3710081829810753</v>
      </c>
      <c r="BL17" s="25">
        <v>1.3352301796625763</v>
      </c>
      <c r="BM17" s="25">
        <v>0.34056162756002412</v>
      </c>
      <c r="BN17" s="25">
        <v>0.16603915433191185</v>
      </c>
      <c r="BO17" s="25">
        <v>1.6680395415370559</v>
      </c>
      <c r="BP17" s="25">
        <v>4.7183572022464225E-2</v>
      </c>
      <c r="BQ17" s="25">
        <v>0.7308086747581809</v>
      </c>
      <c r="BR17" s="25">
        <v>0.48670412463528373</v>
      </c>
      <c r="BS17" s="25">
        <v>0.26664793898329137</v>
      </c>
      <c r="BT17" s="25">
        <v>0.69125629899785723</v>
      </c>
      <c r="BU17" s="25">
        <v>1.7783446644125542</v>
      </c>
      <c r="BV17" s="25">
        <v>0.1676868662129688</v>
      </c>
      <c r="BW17" s="25">
        <v>0.52694908987627909</v>
      </c>
      <c r="BX17" s="25">
        <v>0</v>
      </c>
      <c r="BY17" s="25">
        <v>377.84581021053685</v>
      </c>
      <c r="BZ17" s="25">
        <v>6460.6450810491788</v>
      </c>
      <c r="CA17" s="25">
        <v>0.1990032115475113</v>
      </c>
      <c r="CB17" s="25">
        <v>0</v>
      </c>
      <c r="CC17" s="25">
        <v>7980.5129275240461</v>
      </c>
      <c r="CD17" s="25">
        <v>100.82735960011679</v>
      </c>
      <c r="CE17" s="25">
        <v>773.96981840481578</v>
      </c>
      <c r="CF17" s="25">
        <v>15316.154189789704</v>
      </c>
      <c r="CG17" s="25">
        <v>15694</v>
      </c>
      <c r="CH17"/>
      <c r="CI17">
        <f t="shared" si="0"/>
        <v>0.9759241869370272</v>
      </c>
      <c r="CJ17"/>
      <c r="CK17"/>
      <c r="CL17"/>
      <c r="CM17"/>
      <c r="CN17"/>
      <c r="CO17"/>
      <c r="CP17"/>
      <c r="CQ17"/>
      <c r="CR17"/>
      <c r="CS17"/>
      <c r="CT17"/>
      <c r="CU17"/>
    </row>
    <row r="18" spans="1:99" s="5" customFormat="1" x14ac:dyDescent="0.3">
      <c r="A18" s="35" t="s">
        <v>22</v>
      </c>
      <c r="B18" s="11" t="s">
        <v>96</v>
      </c>
      <c r="C18" s="5">
        <v>13</v>
      </c>
      <c r="D18" s="25">
        <v>642.38995914991267</v>
      </c>
      <c r="E18" s="25">
        <v>14.399924056563151</v>
      </c>
      <c r="F18" s="25">
        <v>1.8905924010699628</v>
      </c>
      <c r="G18" s="25">
        <v>137.05393396576258</v>
      </c>
      <c r="H18" s="25">
        <v>128.57781705556366</v>
      </c>
      <c r="I18" s="25">
        <v>4.1265763935516064</v>
      </c>
      <c r="J18" s="25">
        <v>4.1160996444608555</v>
      </c>
      <c r="K18" s="25">
        <v>27.277179168998604</v>
      </c>
      <c r="L18" s="25">
        <v>67.026326943523443</v>
      </c>
      <c r="M18" s="25">
        <v>244.79517413636665</v>
      </c>
      <c r="N18" s="25">
        <v>21.13741749931685</v>
      </c>
      <c r="O18" s="25">
        <v>0.8988048875095489</v>
      </c>
      <c r="P18" s="25">
        <v>8509.6725027076536</v>
      </c>
      <c r="Q18" s="25">
        <v>13628.942665461169</v>
      </c>
      <c r="R18" s="25">
        <v>2606.6689982240227</v>
      </c>
      <c r="S18" s="25">
        <v>11.305036241085562</v>
      </c>
      <c r="T18" s="25">
        <v>100.30504670143124</v>
      </c>
      <c r="U18" s="25">
        <v>4.970703710477153</v>
      </c>
      <c r="V18" s="25">
        <v>6.6119015002143851</v>
      </c>
      <c r="W18" s="25">
        <v>0.16966481583260196</v>
      </c>
      <c r="X18" s="25">
        <v>5.0263172570893799E-3</v>
      </c>
      <c r="Y18" s="25">
        <v>1.8458565298817506</v>
      </c>
      <c r="Z18" s="25">
        <v>35.196951389219521</v>
      </c>
      <c r="AA18" s="25">
        <v>48.249939392082702</v>
      </c>
      <c r="AB18" s="25">
        <v>20.283491721844559</v>
      </c>
      <c r="AC18" s="25">
        <v>108.51910475628955</v>
      </c>
      <c r="AD18" s="25">
        <v>616.57318395515813</v>
      </c>
      <c r="AE18" s="25">
        <v>37.796868736825743</v>
      </c>
      <c r="AF18" s="25">
        <v>8.8171957354994692</v>
      </c>
      <c r="AG18" s="25">
        <v>8.8828561755614253</v>
      </c>
      <c r="AH18" s="25">
        <v>67.883698788691959</v>
      </c>
      <c r="AI18" s="25">
        <v>11.98417717571572</v>
      </c>
      <c r="AJ18" s="25">
        <v>48.90490793791956</v>
      </c>
      <c r="AK18" s="25">
        <v>27.805664903220933</v>
      </c>
      <c r="AL18" s="25">
        <v>109.61916120841816</v>
      </c>
      <c r="AM18" s="25">
        <v>1418.3854685829376</v>
      </c>
      <c r="AN18" s="25">
        <v>76.782373121700076</v>
      </c>
      <c r="AO18" s="25">
        <v>1187.0203638690459</v>
      </c>
      <c r="AP18" s="25">
        <v>15.387052665470677</v>
      </c>
      <c r="AQ18" s="25">
        <v>17.872047667931913</v>
      </c>
      <c r="AR18" s="25">
        <v>2.9194152230452302</v>
      </c>
      <c r="AS18" s="25">
        <v>2.0916520634512921</v>
      </c>
      <c r="AT18" s="25">
        <v>10.512230026557557</v>
      </c>
      <c r="AU18" s="25">
        <v>10.389171028392157</v>
      </c>
      <c r="AV18" s="25">
        <v>480.37903467491014</v>
      </c>
      <c r="AW18" s="25">
        <v>45.60364462376473</v>
      </c>
      <c r="AX18" s="25">
        <v>208.38349727630995</v>
      </c>
      <c r="AY18" s="40">
        <v>65.056099808123761</v>
      </c>
      <c r="AZ18" s="25">
        <v>8.9390976009789842</v>
      </c>
      <c r="BA18" s="25">
        <v>2.0078706719482891</v>
      </c>
      <c r="BB18" s="25">
        <v>8.1661732111813912</v>
      </c>
      <c r="BC18" s="25">
        <v>204.64517883027327</v>
      </c>
      <c r="BD18" s="25">
        <v>171.47627033416506</v>
      </c>
      <c r="BE18" s="25">
        <v>1.8465202748561564</v>
      </c>
      <c r="BF18" s="25">
        <v>6.3454807842654946</v>
      </c>
      <c r="BG18" s="25">
        <v>6.815066617547167</v>
      </c>
      <c r="BH18" s="25">
        <v>5.4954300931416684</v>
      </c>
      <c r="BI18" s="25">
        <v>16.869637392032264</v>
      </c>
      <c r="BJ18" s="25">
        <v>8.8629152153000383</v>
      </c>
      <c r="BK18" s="25">
        <v>15.976461100229219</v>
      </c>
      <c r="BL18" s="25">
        <v>7.7212776824614524</v>
      </c>
      <c r="BM18" s="25">
        <v>6.6896441313662214</v>
      </c>
      <c r="BN18" s="25">
        <v>5.9205044364051247</v>
      </c>
      <c r="BO18" s="25">
        <v>21.534404552321512</v>
      </c>
      <c r="BP18" s="25">
        <v>1.8455538107723242</v>
      </c>
      <c r="BQ18" s="25">
        <v>53.257851822872077</v>
      </c>
      <c r="BR18" s="25">
        <v>39.209568468264159</v>
      </c>
      <c r="BS18" s="25">
        <v>10.574144275761332</v>
      </c>
      <c r="BT18" s="25">
        <v>31.833748900786112</v>
      </c>
      <c r="BU18" s="25">
        <v>90.553749147484865</v>
      </c>
      <c r="BV18" s="25">
        <v>9.5336882944586403</v>
      </c>
      <c r="BW18" s="25">
        <v>638.62633407498538</v>
      </c>
      <c r="BX18" s="25">
        <v>0</v>
      </c>
      <c r="BY18" s="25">
        <v>32230.233031743588</v>
      </c>
      <c r="BZ18" s="25">
        <v>1908.2790781185861</v>
      </c>
      <c r="CA18" s="25">
        <v>0.66153601031069831</v>
      </c>
      <c r="CB18" s="25">
        <v>0</v>
      </c>
      <c r="CC18" s="25">
        <v>17845.997661049816</v>
      </c>
      <c r="CD18" s="25">
        <v>154.41796757896583</v>
      </c>
      <c r="CE18" s="25">
        <v>2653.4107255098629</v>
      </c>
      <c r="CF18" s="25">
        <v>22562.766968267551</v>
      </c>
      <c r="CG18" s="25">
        <v>54793</v>
      </c>
      <c r="CH18"/>
      <c r="CI18">
        <f t="shared" si="0"/>
        <v>0.41178192411927711</v>
      </c>
      <c r="CJ18"/>
      <c r="CK18"/>
      <c r="CL18"/>
      <c r="CM18"/>
      <c r="CN18"/>
      <c r="CO18"/>
      <c r="CP18"/>
      <c r="CQ18"/>
      <c r="CR18"/>
      <c r="CS18"/>
      <c r="CT18"/>
      <c r="CU18"/>
    </row>
    <row r="19" spans="1:99" s="5" customFormat="1" x14ac:dyDescent="0.3">
      <c r="A19" s="35" t="s">
        <v>23</v>
      </c>
      <c r="B19" s="11" t="s">
        <v>97</v>
      </c>
      <c r="C19" s="5">
        <v>14</v>
      </c>
      <c r="D19" s="25">
        <v>17.323867278338266</v>
      </c>
      <c r="E19" s="25">
        <v>5.2372681576537436</v>
      </c>
      <c r="F19" s="25">
        <v>7.6339939120000473</v>
      </c>
      <c r="G19" s="25">
        <v>3.9947180824234816</v>
      </c>
      <c r="H19" s="25">
        <v>81.492116957727674</v>
      </c>
      <c r="I19" s="25">
        <v>1.7349413267799365</v>
      </c>
      <c r="J19" s="25">
        <v>0.37286519447378519</v>
      </c>
      <c r="K19" s="25">
        <v>18.331541964755786</v>
      </c>
      <c r="L19" s="25">
        <v>1.20864935888813</v>
      </c>
      <c r="M19" s="25">
        <v>21.930676856322304</v>
      </c>
      <c r="N19" s="25">
        <v>3.1827196661696102</v>
      </c>
      <c r="O19" s="25">
        <v>1.0036996056339746</v>
      </c>
      <c r="P19" s="25">
        <v>71.691779280916506</v>
      </c>
      <c r="Q19" s="25">
        <v>1582.839850525208</v>
      </c>
      <c r="R19" s="25">
        <v>79.577090979978095</v>
      </c>
      <c r="S19" s="25">
        <v>1.1238955661117997</v>
      </c>
      <c r="T19" s="25">
        <v>4.3220354059665489</v>
      </c>
      <c r="U19" s="25">
        <v>0.78414974565975548</v>
      </c>
      <c r="V19" s="25">
        <v>8.8092295994456364</v>
      </c>
      <c r="W19" s="25">
        <v>0.22591754355993365</v>
      </c>
      <c r="X19" s="25">
        <v>1.554599391776372E-3</v>
      </c>
      <c r="Y19" s="25">
        <v>0.84125992911619984</v>
      </c>
      <c r="Z19" s="25">
        <v>5.0384603621065223</v>
      </c>
      <c r="AA19" s="25">
        <v>9.2754544251901656</v>
      </c>
      <c r="AB19" s="25">
        <v>2.1569417902720929</v>
      </c>
      <c r="AC19" s="25">
        <v>3.0755750545452463</v>
      </c>
      <c r="AD19" s="25">
        <v>8.2808849483007059</v>
      </c>
      <c r="AE19" s="25">
        <v>12.293952929940946</v>
      </c>
      <c r="AF19" s="25">
        <v>6.8007572114167489</v>
      </c>
      <c r="AG19" s="25">
        <v>2.1716691948156548</v>
      </c>
      <c r="AH19" s="25">
        <v>32.08815229965802</v>
      </c>
      <c r="AI19" s="25">
        <v>5.1657705704295518</v>
      </c>
      <c r="AJ19" s="25">
        <v>4.3884581940304495</v>
      </c>
      <c r="AK19" s="25">
        <v>8.4582379120234634</v>
      </c>
      <c r="AL19" s="25">
        <v>4.0511339901024614</v>
      </c>
      <c r="AM19" s="25">
        <v>35.390150127345009</v>
      </c>
      <c r="AN19" s="25">
        <v>1.9237426830195898</v>
      </c>
      <c r="AO19" s="25">
        <v>28.012600750207895</v>
      </c>
      <c r="AP19" s="25">
        <v>4.0830233869151051</v>
      </c>
      <c r="AQ19" s="25">
        <v>36.995596931237564</v>
      </c>
      <c r="AR19" s="25">
        <v>6.0432643686652794</v>
      </c>
      <c r="AS19" s="25">
        <v>4.3297734035637605</v>
      </c>
      <c r="AT19" s="25">
        <v>46.230723305515419</v>
      </c>
      <c r="AU19" s="25">
        <v>82.420701023561051</v>
      </c>
      <c r="AV19" s="25">
        <v>45.417060820707015</v>
      </c>
      <c r="AW19" s="25">
        <v>2.783118926733442</v>
      </c>
      <c r="AX19" s="25">
        <v>296.41425629013008</v>
      </c>
      <c r="AY19" s="40">
        <v>155.30225042612614</v>
      </c>
      <c r="AZ19" s="25">
        <v>6.0432338911520471</v>
      </c>
      <c r="BA19" s="25">
        <v>115.64312662153408</v>
      </c>
      <c r="BB19" s="25">
        <v>75.069671703947307</v>
      </c>
      <c r="BC19" s="25">
        <v>72.007671784655074</v>
      </c>
      <c r="BD19" s="25">
        <v>180.00493869988927</v>
      </c>
      <c r="BE19" s="25">
        <v>0.67414260808286297</v>
      </c>
      <c r="BF19" s="25">
        <v>97.39334038397088</v>
      </c>
      <c r="BG19" s="25">
        <v>28.506800092102779</v>
      </c>
      <c r="BH19" s="25">
        <v>2.156438786700603</v>
      </c>
      <c r="BI19" s="25">
        <v>420.91592743514707</v>
      </c>
      <c r="BJ19" s="25">
        <v>27.273078320231107</v>
      </c>
      <c r="BK19" s="25">
        <v>9.382601561667073</v>
      </c>
      <c r="BL19" s="25">
        <v>113.5439691610773</v>
      </c>
      <c r="BM19" s="25">
        <v>27.862324383504191</v>
      </c>
      <c r="BN19" s="25">
        <v>2.3152493295037635</v>
      </c>
      <c r="BO19" s="25">
        <v>114.83274158687838</v>
      </c>
      <c r="BP19" s="25">
        <v>148.98131377198752</v>
      </c>
      <c r="BQ19" s="25">
        <v>473.71644863317158</v>
      </c>
      <c r="BR19" s="25">
        <v>417.50202608154927</v>
      </c>
      <c r="BS19" s="25">
        <v>2.4802471084087681</v>
      </c>
      <c r="BT19" s="25">
        <v>40.228511835473206</v>
      </c>
      <c r="BU19" s="25">
        <v>75.033604900615117</v>
      </c>
      <c r="BV19" s="25">
        <v>90.855037879581531</v>
      </c>
      <c r="BW19" s="25">
        <v>713.71251247909129</v>
      </c>
      <c r="BX19" s="25">
        <v>0</v>
      </c>
      <c r="BY19" s="25">
        <v>6018.390491903001</v>
      </c>
      <c r="BZ19" s="25">
        <v>1487.0023533941203</v>
      </c>
      <c r="CA19" s="25">
        <v>18.256368632936255</v>
      </c>
      <c r="CB19" s="25">
        <v>0</v>
      </c>
      <c r="CC19" s="25">
        <v>56258.295320507816</v>
      </c>
      <c r="CD19" s="25">
        <v>119.90141429200371</v>
      </c>
      <c r="CE19" s="25">
        <v>2530.1540512722554</v>
      </c>
      <c r="CF19" s="25">
        <v>60413.609508099093</v>
      </c>
      <c r="CG19" s="25">
        <v>66432</v>
      </c>
      <c r="CH19"/>
      <c r="CI19">
        <f t="shared" si="0"/>
        <v>0.90940524909831244</v>
      </c>
      <c r="CJ19"/>
      <c r="CK19"/>
      <c r="CL19"/>
      <c r="CM19"/>
      <c r="CN19"/>
      <c r="CO19"/>
      <c r="CP19"/>
      <c r="CQ19"/>
      <c r="CR19"/>
      <c r="CS19"/>
      <c r="CT19"/>
      <c r="CU19"/>
    </row>
    <row r="20" spans="1:99" s="5" customFormat="1" x14ac:dyDescent="0.3">
      <c r="A20" s="35" t="s">
        <v>24</v>
      </c>
      <c r="B20" s="13" t="s">
        <v>98</v>
      </c>
      <c r="C20" s="5">
        <v>15</v>
      </c>
      <c r="D20" s="25">
        <v>3.1656503368254212</v>
      </c>
      <c r="E20" s="25">
        <v>3.5016145817022655</v>
      </c>
      <c r="F20" s="25">
        <v>0.11250466792074208</v>
      </c>
      <c r="G20" s="25">
        <v>1.2552648448728361</v>
      </c>
      <c r="H20" s="25">
        <v>7.230083457881797</v>
      </c>
      <c r="I20" s="25">
        <v>3.1731176114512492</v>
      </c>
      <c r="J20" s="25">
        <v>0.2911685720237227</v>
      </c>
      <c r="K20" s="25">
        <v>14.205273766469926</v>
      </c>
      <c r="L20" s="25">
        <v>0.35946420768424214</v>
      </c>
      <c r="M20" s="25">
        <v>18.63153693478959</v>
      </c>
      <c r="N20" s="25">
        <v>4.7600469544155501</v>
      </c>
      <c r="O20" s="25">
        <v>0.20646677645055178</v>
      </c>
      <c r="P20" s="25">
        <v>4.6290137458726655</v>
      </c>
      <c r="Q20" s="25">
        <v>3.9448713309004133</v>
      </c>
      <c r="R20" s="25">
        <v>4155.6638549254176</v>
      </c>
      <c r="S20" s="25">
        <v>0.76695931972554121</v>
      </c>
      <c r="T20" s="25">
        <v>61.973868951911165</v>
      </c>
      <c r="U20" s="25">
        <v>1.8174690548495949</v>
      </c>
      <c r="V20" s="25">
        <v>1.0066646767342782</v>
      </c>
      <c r="W20" s="25">
        <v>2.5850075389228028E-2</v>
      </c>
      <c r="X20" s="25">
        <v>1.4882634456147273E-3</v>
      </c>
      <c r="Y20" s="25">
        <v>1.1895828463229976</v>
      </c>
      <c r="Z20" s="25">
        <v>3.0979993367822507</v>
      </c>
      <c r="AA20" s="25">
        <v>4.0532564004503708</v>
      </c>
      <c r="AB20" s="25">
        <v>5.6541105554984581</v>
      </c>
      <c r="AC20" s="25">
        <v>2.9261179072739241</v>
      </c>
      <c r="AD20" s="25">
        <v>20.455284808029276</v>
      </c>
      <c r="AE20" s="25">
        <v>2.9266939546275155</v>
      </c>
      <c r="AF20" s="25">
        <v>1.6093491459344706</v>
      </c>
      <c r="AG20" s="25">
        <v>1.0869083119438476</v>
      </c>
      <c r="AH20" s="25">
        <v>21.021282281114541</v>
      </c>
      <c r="AI20" s="25">
        <v>2.0171853123896883</v>
      </c>
      <c r="AJ20" s="25">
        <v>3.6322328564495923</v>
      </c>
      <c r="AK20" s="25">
        <v>6.1046983499278547</v>
      </c>
      <c r="AL20" s="25">
        <v>32.39202355927673</v>
      </c>
      <c r="AM20" s="25">
        <v>14.553318255000438</v>
      </c>
      <c r="AN20" s="25">
        <v>2.2000245250973318</v>
      </c>
      <c r="AO20" s="25">
        <v>34.980015712238689</v>
      </c>
      <c r="AP20" s="25">
        <v>3.5512269715090663</v>
      </c>
      <c r="AQ20" s="25">
        <v>48.542151785512054</v>
      </c>
      <c r="AR20" s="25">
        <v>7.9294045939837607</v>
      </c>
      <c r="AS20" s="25">
        <v>5.6811224898820534</v>
      </c>
      <c r="AT20" s="25">
        <v>62.416992316027851</v>
      </c>
      <c r="AU20" s="25">
        <v>0.97683659044505045</v>
      </c>
      <c r="AV20" s="25">
        <v>38.909173635655499</v>
      </c>
      <c r="AW20" s="25">
        <v>8.9998049757904486</v>
      </c>
      <c r="AX20" s="25">
        <v>18.534076538664536</v>
      </c>
      <c r="AY20" s="40">
        <v>16.556329365011656</v>
      </c>
      <c r="AZ20" s="25">
        <v>8.0811358525520044E-2</v>
      </c>
      <c r="BA20" s="25">
        <v>1.6804029088899453</v>
      </c>
      <c r="BB20" s="25">
        <v>0.60163347377445087</v>
      </c>
      <c r="BC20" s="25">
        <v>1.5930623870171838</v>
      </c>
      <c r="BD20" s="25">
        <v>19.165198497563843</v>
      </c>
      <c r="BE20" s="25">
        <v>1.0106411104110542</v>
      </c>
      <c r="BF20" s="25">
        <v>21.927959997995146</v>
      </c>
      <c r="BG20" s="25">
        <v>1.2906255395217827</v>
      </c>
      <c r="BH20" s="25">
        <v>3.3661820209957516</v>
      </c>
      <c r="BI20" s="25">
        <v>2.4523121619275736</v>
      </c>
      <c r="BJ20" s="25">
        <v>0.71811162448815435</v>
      </c>
      <c r="BK20" s="25">
        <v>1.4974092179878471</v>
      </c>
      <c r="BL20" s="25">
        <v>6.3304120503115779</v>
      </c>
      <c r="BM20" s="25">
        <v>1.975185981076947</v>
      </c>
      <c r="BN20" s="25">
        <v>1.1834953655319842</v>
      </c>
      <c r="BO20" s="25">
        <v>5.4848328294669395</v>
      </c>
      <c r="BP20" s="25">
        <v>49.192873267605989</v>
      </c>
      <c r="BQ20" s="25">
        <v>23.113457894109349</v>
      </c>
      <c r="BR20" s="25">
        <v>3.4092172432266792</v>
      </c>
      <c r="BS20" s="25">
        <v>0.5726037308362002</v>
      </c>
      <c r="BT20" s="25">
        <v>3.6907174135698084</v>
      </c>
      <c r="BU20" s="25">
        <v>5.9127732555703849</v>
      </c>
      <c r="BV20" s="25">
        <v>0.71157968631764146</v>
      </c>
      <c r="BW20" s="25">
        <v>3.5661619901216595</v>
      </c>
      <c r="BX20" s="25">
        <v>0</v>
      </c>
      <c r="BY20" s="25">
        <v>4819.2470974444177</v>
      </c>
      <c r="BZ20" s="25">
        <v>6665.3743838161636</v>
      </c>
      <c r="CA20" s="25">
        <v>0.18919681769293806</v>
      </c>
      <c r="CB20" s="25">
        <v>0</v>
      </c>
      <c r="CC20" s="25">
        <v>30701.253822498617</v>
      </c>
      <c r="CD20" s="25">
        <v>358.76273421774158</v>
      </c>
      <c r="CE20" s="25">
        <v>1303.1727652059487</v>
      </c>
      <c r="CF20" s="25">
        <v>39028.752902556174</v>
      </c>
      <c r="CG20" s="25">
        <v>43848</v>
      </c>
      <c r="CH20"/>
      <c r="CI20">
        <f t="shared" si="0"/>
        <v>0.89009197460673628</v>
      </c>
      <c r="CJ20"/>
      <c r="CK20"/>
      <c r="CL20"/>
      <c r="CM20"/>
      <c r="CN20"/>
      <c r="CO20"/>
      <c r="CP20"/>
      <c r="CQ20"/>
      <c r="CR20"/>
      <c r="CS20"/>
      <c r="CT20"/>
      <c r="CU20"/>
    </row>
    <row r="21" spans="1:99" s="5" customFormat="1" x14ac:dyDescent="0.3">
      <c r="A21" s="35" t="s">
        <v>25</v>
      </c>
      <c r="B21" s="13" t="s">
        <v>99</v>
      </c>
      <c r="C21" s="5">
        <v>16</v>
      </c>
      <c r="D21" s="25">
        <v>575.89959297462758</v>
      </c>
      <c r="E21" s="25">
        <v>408.86174245243643</v>
      </c>
      <c r="F21" s="25">
        <v>27.078125575125597</v>
      </c>
      <c r="G21" s="25">
        <v>5.0211369652671012</v>
      </c>
      <c r="H21" s="25">
        <v>3.1760824510168657</v>
      </c>
      <c r="I21" s="25">
        <v>1.225781096353548</v>
      </c>
      <c r="J21" s="25">
        <v>0.26039057385195663</v>
      </c>
      <c r="K21" s="25">
        <v>57.13450516522834</v>
      </c>
      <c r="L21" s="25">
        <v>0.62410237435219007</v>
      </c>
      <c r="M21" s="25">
        <v>405.6063431206822</v>
      </c>
      <c r="N21" s="25">
        <v>91.150689799000702</v>
      </c>
      <c r="O21" s="25">
        <v>0.29916003822419512</v>
      </c>
      <c r="P21" s="25">
        <v>31.360025702729924</v>
      </c>
      <c r="Q21" s="25">
        <v>2.5333417873788457</v>
      </c>
      <c r="R21" s="25">
        <v>0.97262586335494794</v>
      </c>
      <c r="S21" s="25">
        <v>3561.053935604044</v>
      </c>
      <c r="T21" s="25">
        <v>551.46127657983902</v>
      </c>
      <c r="U21" s="25">
        <v>0.56589008260184981</v>
      </c>
      <c r="V21" s="25">
        <v>2.0630228964122397</v>
      </c>
      <c r="W21" s="25">
        <v>5.2923185107571026E-2</v>
      </c>
      <c r="X21" s="25">
        <v>9.8132278302966972E-4</v>
      </c>
      <c r="Y21" s="25">
        <v>0.99085793010736489</v>
      </c>
      <c r="Z21" s="25">
        <v>24.669118147257489</v>
      </c>
      <c r="AA21" s="25">
        <v>49.781551585969268</v>
      </c>
      <c r="AB21" s="25">
        <v>1.8465129933731801</v>
      </c>
      <c r="AC21" s="25">
        <v>1.8269033600244682</v>
      </c>
      <c r="AD21" s="25">
        <v>4.9169045298608154</v>
      </c>
      <c r="AE21" s="25">
        <v>38.360309208720174</v>
      </c>
      <c r="AF21" s="25">
        <v>20.559373261957724</v>
      </c>
      <c r="AG21" s="25">
        <v>0.48397907430069476</v>
      </c>
      <c r="AH21" s="25">
        <v>244.31850088754982</v>
      </c>
      <c r="AI21" s="25">
        <v>2.0560778944507638</v>
      </c>
      <c r="AJ21" s="25">
        <v>5.5533200993508265</v>
      </c>
      <c r="AK21" s="25">
        <v>268.62275604968454</v>
      </c>
      <c r="AL21" s="25">
        <v>139.86950335432778</v>
      </c>
      <c r="AM21" s="25">
        <v>94.283122241299196</v>
      </c>
      <c r="AN21" s="25">
        <v>114.49865904488344</v>
      </c>
      <c r="AO21" s="25">
        <v>5155.4476853721289</v>
      </c>
      <c r="AP21" s="25">
        <v>2.9704190557009564</v>
      </c>
      <c r="AQ21" s="25">
        <v>303.96864307328116</v>
      </c>
      <c r="AR21" s="25">
        <v>49.653553996995726</v>
      </c>
      <c r="AS21" s="25">
        <v>35.574918516446054</v>
      </c>
      <c r="AT21" s="25">
        <v>28.219834389706026</v>
      </c>
      <c r="AU21" s="25">
        <v>6.525193357906546</v>
      </c>
      <c r="AV21" s="25">
        <v>5272.3530022514924</v>
      </c>
      <c r="AW21" s="25">
        <v>15.796129529045754</v>
      </c>
      <c r="AX21" s="25">
        <v>2542.947086809711</v>
      </c>
      <c r="AY21" s="40">
        <v>6.0463049545752678</v>
      </c>
      <c r="AZ21" s="25">
        <v>0.38099368759197688</v>
      </c>
      <c r="BA21" s="25">
        <v>0.50376783023816563</v>
      </c>
      <c r="BB21" s="25">
        <v>111.10870455918798</v>
      </c>
      <c r="BC21" s="25">
        <v>5.2650195955158399</v>
      </c>
      <c r="BD21" s="25">
        <v>27.278433124969197</v>
      </c>
      <c r="BE21" s="25">
        <v>0.92471510396970635</v>
      </c>
      <c r="BF21" s="25">
        <v>117.467944899315</v>
      </c>
      <c r="BG21" s="25">
        <v>9.4640346180192836</v>
      </c>
      <c r="BH21" s="25">
        <v>7.9710762440111775</v>
      </c>
      <c r="BI21" s="25">
        <v>22.249568143588508</v>
      </c>
      <c r="BJ21" s="25">
        <v>451.81329834525707</v>
      </c>
      <c r="BK21" s="25">
        <v>22.141556094672666</v>
      </c>
      <c r="BL21" s="25">
        <v>4.3252286635431245</v>
      </c>
      <c r="BM21" s="25">
        <v>4.8999483457747859</v>
      </c>
      <c r="BN21" s="25">
        <v>4.9439587295902365</v>
      </c>
      <c r="BO21" s="25">
        <v>143.49876687177465</v>
      </c>
      <c r="BP21" s="25">
        <v>1.1495339044149535</v>
      </c>
      <c r="BQ21" s="25">
        <v>85.991655433995788</v>
      </c>
      <c r="BR21" s="25">
        <v>26.267861447526954</v>
      </c>
      <c r="BS21" s="25">
        <v>20.108720825582562</v>
      </c>
      <c r="BT21" s="25">
        <v>5.5608174430738391</v>
      </c>
      <c r="BU21" s="25">
        <v>17.945372646197391</v>
      </c>
      <c r="BV21" s="25">
        <v>15.604886622927555</v>
      </c>
      <c r="BW21" s="25">
        <v>231.26643156306363</v>
      </c>
      <c r="BX21" s="25">
        <v>0</v>
      </c>
      <c r="BY21" s="25">
        <v>21496.674191324331</v>
      </c>
      <c r="BZ21" s="25">
        <v>8988.4962240800105</v>
      </c>
      <c r="CA21" s="25">
        <v>0.12378141963519998</v>
      </c>
      <c r="CB21" s="25">
        <v>0</v>
      </c>
      <c r="CC21" s="25">
        <v>2436.8813076685633</v>
      </c>
      <c r="CD21" s="25">
        <v>124.74319635612343</v>
      </c>
      <c r="CE21" s="25">
        <v>-359.91870082642885</v>
      </c>
      <c r="CF21" s="25">
        <v>11190.325808697906</v>
      </c>
      <c r="CG21" s="25">
        <v>32687</v>
      </c>
      <c r="CH21"/>
      <c r="CI21">
        <f t="shared" si="0"/>
        <v>0.34234790004276644</v>
      </c>
      <c r="CJ21"/>
      <c r="CK21"/>
      <c r="CL21"/>
      <c r="CM21"/>
      <c r="CN21"/>
      <c r="CO21"/>
      <c r="CP21"/>
      <c r="CQ21"/>
      <c r="CR21"/>
      <c r="CS21"/>
      <c r="CT21"/>
      <c r="CU21"/>
    </row>
    <row r="22" spans="1:99" s="5" customFormat="1" x14ac:dyDescent="0.3">
      <c r="A22" s="35" t="s">
        <v>26</v>
      </c>
      <c r="B22" s="11" t="s">
        <v>100</v>
      </c>
      <c r="C22" s="5">
        <v>17</v>
      </c>
      <c r="D22" s="25">
        <v>484.47657908812602</v>
      </c>
      <c r="E22" s="25">
        <v>163.41992247595826</v>
      </c>
      <c r="F22" s="25">
        <v>20.615260347114198</v>
      </c>
      <c r="G22" s="25">
        <v>5.8578921770495143</v>
      </c>
      <c r="H22" s="25">
        <v>63.998590091409142</v>
      </c>
      <c r="I22" s="25">
        <v>116.44933324596096</v>
      </c>
      <c r="J22" s="25">
        <v>19.522373066008036</v>
      </c>
      <c r="K22" s="25">
        <v>2946.450864063343</v>
      </c>
      <c r="L22" s="25">
        <v>16.792677936772492</v>
      </c>
      <c r="M22" s="25">
        <v>3579.4642539699116</v>
      </c>
      <c r="N22" s="25">
        <v>227.40911400973994</v>
      </c>
      <c r="O22" s="25">
        <v>527.10497440370898</v>
      </c>
      <c r="P22" s="25">
        <v>533.58149741546777</v>
      </c>
      <c r="Q22" s="25">
        <v>304.23519179800036</v>
      </c>
      <c r="R22" s="25">
        <v>599.12898950250974</v>
      </c>
      <c r="S22" s="25">
        <v>997.05550669050319</v>
      </c>
      <c r="T22" s="25">
        <v>17336.141523292394</v>
      </c>
      <c r="U22" s="25">
        <v>1080.5644362790067</v>
      </c>
      <c r="V22" s="25">
        <v>149.69532659309297</v>
      </c>
      <c r="W22" s="25">
        <v>3.8398047693873503</v>
      </c>
      <c r="X22" s="25">
        <v>5.7059413013689622E-2</v>
      </c>
      <c r="Y22" s="25">
        <v>55.80084979190098</v>
      </c>
      <c r="Z22" s="25">
        <v>109.13595645361006</v>
      </c>
      <c r="AA22" s="25">
        <v>203.32754747843759</v>
      </c>
      <c r="AB22" s="25">
        <v>1479.5944059635219</v>
      </c>
      <c r="AC22" s="25">
        <v>881.64015201840959</v>
      </c>
      <c r="AD22" s="25">
        <v>2148.3735267543443</v>
      </c>
      <c r="AE22" s="25">
        <v>1464.0260625544502</v>
      </c>
      <c r="AF22" s="25">
        <v>44.193157211983952</v>
      </c>
      <c r="AG22" s="25">
        <v>18.777785833759225</v>
      </c>
      <c r="AH22" s="25">
        <v>1188.0628875288216</v>
      </c>
      <c r="AI22" s="25">
        <v>697.10906438325617</v>
      </c>
      <c r="AJ22" s="25">
        <v>368.93227969774961</v>
      </c>
      <c r="AK22" s="25">
        <v>132.28754563704774</v>
      </c>
      <c r="AL22" s="25">
        <v>290.31712655254341</v>
      </c>
      <c r="AM22" s="25">
        <v>705.04817118748031</v>
      </c>
      <c r="AN22" s="25">
        <v>47.987182601319333</v>
      </c>
      <c r="AO22" s="25">
        <v>861.40980278848042</v>
      </c>
      <c r="AP22" s="25">
        <v>24.287570788032568</v>
      </c>
      <c r="AQ22" s="25">
        <v>60.292344010331433</v>
      </c>
      <c r="AR22" s="25">
        <v>9.8488091687822603</v>
      </c>
      <c r="AS22" s="25">
        <v>7.056304241276564</v>
      </c>
      <c r="AT22" s="25">
        <v>3.9153997106606142</v>
      </c>
      <c r="AU22" s="25">
        <v>57.548798715221388</v>
      </c>
      <c r="AV22" s="25">
        <v>341.38662747232547</v>
      </c>
      <c r="AW22" s="25">
        <v>605.5091366437631</v>
      </c>
      <c r="AX22" s="25">
        <v>5757.9757212547684</v>
      </c>
      <c r="AY22" s="40">
        <v>172.26839729477263</v>
      </c>
      <c r="AZ22" s="25">
        <v>44.88445765631959</v>
      </c>
      <c r="BA22" s="25">
        <v>16.699982283057626</v>
      </c>
      <c r="BB22" s="25">
        <v>301.23450955963051</v>
      </c>
      <c r="BC22" s="25">
        <v>179.6825292729275</v>
      </c>
      <c r="BD22" s="25">
        <v>1295.139463873573</v>
      </c>
      <c r="BE22" s="25">
        <v>769.85663133136416</v>
      </c>
      <c r="BF22" s="25">
        <v>121.38809587312124</v>
      </c>
      <c r="BG22" s="25">
        <v>60.099533494634706</v>
      </c>
      <c r="BH22" s="25">
        <v>566.53763841641342</v>
      </c>
      <c r="BI22" s="25">
        <v>1394.2435368236875</v>
      </c>
      <c r="BJ22" s="25">
        <v>292.67537925035981</v>
      </c>
      <c r="BK22" s="25">
        <v>1496.7377422322315</v>
      </c>
      <c r="BL22" s="25">
        <v>375.26764977143358</v>
      </c>
      <c r="BM22" s="25">
        <v>516.77110522424675</v>
      </c>
      <c r="BN22" s="25">
        <v>441.52115269618628</v>
      </c>
      <c r="BO22" s="25">
        <v>1897.0610850099845</v>
      </c>
      <c r="BP22" s="25">
        <v>35.822763577414072</v>
      </c>
      <c r="BQ22" s="25">
        <v>843.65663235393299</v>
      </c>
      <c r="BR22" s="25">
        <v>646.23875732468036</v>
      </c>
      <c r="BS22" s="25">
        <v>483.89953808075313</v>
      </c>
      <c r="BT22" s="25">
        <v>130.78637323516386</v>
      </c>
      <c r="BU22" s="25">
        <v>839.06053927534674</v>
      </c>
      <c r="BV22" s="25">
        <v>66.767841390422049</v>
      </c>
      <c r="BW22" s="25">
        <v>558.64345554160946</v>
      </c>
      <c r="BX22" s="25">
        <v>0</v>
      </c>
      <c r="BY22" s="25">
        <v>60286.650177914038</v>
      </c>
      <c r="BZ22" s="25">
        <v>34160.217659532369</v>
      </c>
      <c r="CA22" s="25">
        <v>0.21114252305990536</v>
      </c>
      <c r="CB22" s="25">
        <v>0</v>
      </c>
      <c r="CC22" s="25">
        <v>14142.497722479031</v>
      </c>
      <c r="CD22" s="25">
        <v>218.06720880545404</v>
      </c>
      <c r="CE22" s="25">
        <v>787.35608879618803</v>
      </c>
      <c r="CF22" s="25">
        <v>49308.349822136122</v>
      </c>
      <c r="CG22" s="25">
        <v>109595</v>
      </c>
      <c r="CH22"/>
      <c r="CI22">
        <f t="shared" si="0"/>
        <v>0.44991422804084241</v>
      </c>
      <c r="CJ22"/>
      <c r="CK22"/>
      <c r="CL22"/>
      <c r="CM22"/>
      <c r="CN22"/>
      <c r="CO22"/>
      <c r="CP22"/>
      <c r="CQ22"/>
      <c r="CR22"/>
      <c r="CS22"/>
      <c r="CT22"/>
      <c r="CU22"/>
    </row>
    <row r="23" spans="1:99" s="5" customFormat="1" x14ac:dyDescent="0.3">
      <c r="A23" s="35" t="s">
        <v>27</v>
      </c>
      <c r="B23" s="11" t="s">
        <v>101</v>
      </c>
      <c r="C23" s="5">
        <v>18</v>
      </c>
      <c r="D23" s="25">
        <v>13.339322336485235</v>
      </c>
      <c r="E23" s="25">
        <v>3.1329613532081737</v>
      </c>
      <c r="F23" s="25">
        <v>2.4387295803335323</v>
      </c>
      <c r="G23" s="25">
        <v>0.41174963220345551</v>
      </c>
      <c r="H23" s="25">
        <v>6.6182739715733696</v>
      </c>
      <c r="I23" s="25">
        <v>14.804113355511834</v>
      </c>
      <c r="J23" s="25">
        <v>3.8701544742412097</v>
      </c>
      <c r="K23" s="25">
        <v>85.186409952943919</v>
      </c>
      <c r="L23" s="25">
        <v>11.087753283561041</v>
      </c>
      <c r="M23" s="25">
        <v>114.11040389106206</v>
      </c>
      <c r="N23" s="25">
        <v>221.79900535780783</v>
      </c>
      <c r="O23" s="25">
        <v>5.157676783603768</v>
      </c>
      <c r="P23" s="25">
        <v>17.391981351023837</v>
      </c>
      <c r="Q23" s="25">
        <v>19.532918733880258</v>
      </c>
      <c r="R23" s="25">
        <v>12.239218348222984</v>
      </c>
      <c r="S23" s="25">
        <v>28.70140216483221</v>
      </c>
      <c r="T23" s="25">
        <v>196.93695866879804</v>
      </c>
      <c r="U23" s="25">
        <v>996.48161893031045</v>
      </c>
      <c r="V23" s="25">
        <v>8.9755705319727976</v>
      </c>
      <c r="W23" s="25">
        <v>0.23020988411853741</v>
      </c>
      <c r="X23" s="25">
        <v>2.6149486501612427E-3</v>
      </c>
      <c r="Y23" s="25">
        <v>9.8994416833193135</v>
      </c>
      <c r="Z23" s="25">
        <v>5.5179686526019465</v>
      </c>
      <c r="AA23" s="25">
        <v>23.272288452989464</v>
      </c>
      <c r="AB23" s="25">
        <v>16.904612099165309</v>
      </c>
      <c r="AC23" s="25">
        <v>18.810886334988925</v>
      </c>
      <c r="AD23" s="25">
        <v>61.632086605662025</v>
      </c>
      <c r="AE23" s="25">
        <v>25.16405186894179</v>
      </c>
      <c r="AF23" s="25">
        <v>18.243604821766155</v>
      </c>
      <c r="AG23" s="25">
        <v>1.7709165931754178</v>
      </c>
      <c r="AH23" s="25">
        <v>31.445401191103375</v>
      </c>
      <c r="AI23" s="25">
        <v>194.60325009516066</v>
      </c>
      <c r="AJ23" s="25">
        <v>13.867940817486756</v>
      </c>
      <c r="AK23" s="25">
        <v>22.023420020685744</v>
      </c>
      <c r="AL23" s="25">
        <v>28.005185858666746</v>
      </c>
      <c r="AM23" s="25">
        <v>28.21837239817825</v>
      </c>
      <c r="AN23" s="25">
        <v>5.3995950654618863</v>
      </c>
      <c r="AO23" s="25">
        <v>39.211127289602899</v>
      </c>
      <c r="AP23" s="25">
        <v>3.8478854595298939</v>
      </c>
      <c r="AQ23" s="25">
        <v>22.346285787186023</v>
      </c>
      <c r="AR23" s="25">
        <v>3.6502860846039376</v>
      </c>
      <c r="AS23" s="25">
        <v>2.6152937618394665</v>
      </c>
      <c r="AT23" s="25">
        <v>5.3059561107700794</v>
      </c>
      <c r="AU23" s="25">
        <v>11.366928333523759</v>
      </c>
      <c r="AV23" s="25">
        <v>71.515593522430578</v>
      </c>
      <c r="AW23" s="25">
        <v>111.40668932156279</v>
      </c>
      <c r="AX23" s="25">
        <v>6729.9426449456223</v>
      </c>
      <c r="AY23" s="40">
        <v>56.85771285147267</v>
      </c>
      <c r="AZ23" s="25">
        <v>1.7187503961847612</v>
      </c>
      <c r="BA23" s="25">
        <v>33.680218153388793</v>
      </c>
      <c r="BB23" s="25">
        <v>63.906744764856342</v>
      </c>
      <c r="BC23" s="25">
        <v>10.455078327361646</v>
      </c>
      <c r="BD23" s="25">
        <v>101.21687459716247</v>
      </c>
      <c r="BE23" s="25">
        <v>1189.4141458884806</v>
      </c>
      <c r="BF23" s="25">
        <v>211.93620447332046</v>
      </c>
      <c r="BG23" s="25">
        <v>605.27134125392308</v>
      </c>
      <c r="BH23" s="25">
        <v>538.32545311209321</v>
      </c>
      <c r="BI23" s="25">
        <v>1458.0065591688883</v>
      </c>
      <c r="BJ23" s="25">
        <v>330.83616985435003</v>
      </c>
      <c r="BK23" s="25">
        <v>556.47460661289415</v>
      </c>
      <c r="BL23" s="25">
        <v>226.79438734614351</v>
      </c>
      <c r="BM23" s="25">
        <v>2104.0793969167003</v>
      </c>
      <c r="BN23" s="25">
        <v>63.744541446255411</v>
      </c>
      <c r="BO23" s="25">
        <v>1293.0832488715801</v>
      </c>
      <c r="BP23" s="25">
        <v>2.9332676004145624</v>
      </c>
      <c r="BQ23" s="25">
        <v>1054.3198988395673</v>
      </c>
      <c r="BR23" s="25">
        <v>222.82941521498168</v>
      </c>
      <c r="BS23" s="25">
        <v>41.714129950786727</v>
      </c>
      <c r="BT23" s="25">
        <v>89.605469705838274</v>
      </c>
      <c r="BU23" s="25">
        <v>103.38244922351554</v>
      </c>
      <c r="BV23" s="25">
        <v>328.68184010140919</v>
      </c>
      <c r="BW23" s="25">
        <v>344.79312245990695</v>
      </c>
      <c r="BX23" s="25">
        <v>0</v>
      </c>
      <c r="BY23" s="25">
        <v>20302.49778784185</v>
      </c>
      <c r="BZ23" s="25">
        <v>176.53574298205356</v>
      </c>
      <c r="CA23" s="25">
        <v>0.26935788229663143</v>
      </c>
      <c r="CB23" s="25">
        <v>0</v>
      </c>
      <c r="CC23" s="25">
        <v>1258.4005468510047</v>
      </c>
      <c r="CD23" s="25">
        <v>40.666815602113267</v>
      </c>
      <c r="CE23" s="25">
        <v>-445.37025112817054</v>
      </c>
      <c r="CF23" s="25">
        <v>1030.5022121892976</v>
      </c>
      <c r="CG23" s="25">
        <v>21333</v>
      </c>
      <c r="CH23"/>
      <c r="CI23">
        <f t="shared" si="0"/>
        <v>4.8305545970529114E-2</v>
      </c>
      <c r="CJ23"/>
      <c r="CK23"/>
      <c r="CL23"/>
      <c r="CM23"/>
      <c r="CN23"/>
      <c r="CO23"/>
      <c r="CP23"/>
      <c r="CQ23"/>
      <c r="CR23"/>
      <c r="CS23"/>
      <c r="CT23"/>
      <c r="CU23"/>
    </row>
    <row r="24" spans="1:99" s="18" customFormat="1" x14ac:dyDescent="0.3">
      <c r="A24" s="35" t="s">
        <v>28</v>
      </c>
      <c r="B24" s="4" t="s">
        <v>102</v>
      </c>
      <c r="C24" s="18">
        <v>19</v>
      </c>
      <c r="D24" s="46">
        <v>12522.632519533092</v>
      </c>
      <c r="E24" s="46">
        <v>4529.1576882829731</v>
      </c>
      <c r="F24" s="46">
        <v>691.20360658459242</v>
      </c>
      <c r="G24" s="46">
        <v>1123.6606102339751</v>
      </c>
      <c r="H24" s="46">
        <v>3436.5901396139275</v>
      </c>
      <c r="I24" s="46">
        <v>4990.8881594386366</v>
      </c>
      <c r="J24" s="46">
        <v>1243.4586100658526</v>
      </c>
      <c r="K24" s="46">
        <v>3099.5978747182226</v>
      </c>
      <c r="L24" s="46">
        <v>901.23197496123021</v>
      </c>
      <c r="M24" s="46">
        <v>3777.5560112972616</v>
      </c>
      <c r="N24" s="46">
        <v>721.48778110527439</v>
      </c>
      <c r="O24" s="46">
        <v>19.753751511316885</v>
      </c>
      <c r="P24" s="46">
        <v>252.82664097451064</v>
      </c>
      <c r="Q24" s="46">
        <v>105.1450681065524</v>
      </c>
      <c r="R24" s="46">
        <v>196.64050937947721</v>
      </c>
      <c r="S24" s="46">
        <v>273.71901313171429</v>
      </c>
      <c r="T24" s="46">
        <v>2024.9337788883145</v>
      </c>
      <c r="U24" s="46">
        <v>22.932426491456628</v>
      </c>
      <c r="V24" s="46">
        <v>110832.26105709503</v>
      </c>
      <c r="W24" s="46">
        <v>2852.6018414340801</v>
      </c>
      <c r="X24" s="46">
        <v>913.18108339073501</v>
      </c>
      <c r="Y24" s="46">
        <v>372.77800864538665</v>
      </c>
      <c r="Z24" s="46">
        <v>10873.963150608515</v>
      </c>
      <c r="AA24" s="46">
        <v>960.79738217402087</v>
      </c>
      <c r="AB24" s="46">
        <v>470.1262062355666</v>
      </c>
      <c r="AC24" s="46">
        <v>187.46501781303067</v>
      </c>
      <c r="AD24" s="46">
        <v>1671.0651731823252</v>
      </c>
      <c r="AE24" s="46">
        <v>2993.1382155248989</v>
      </c>
      <c r="AF24" s="46">
        <v>1853.8128862687497</v>
      </c>
      <c r="AG24" s="46">
        <v>2401.590078444216</v>
      </c>
      <c r="AH24" s="46">
        <v>412.73978207336182</v>
      </c>
      <c r="AI24" s="46">
        <v>196.80683430812857</v>
      </c>
      <c r="AJ24" s="46">
        <v>532.91945425261213</v>
      </c>
      <c r="AK24" s="46">
        <v>438.35205049141177</v>
      </c>
      <c r="AL24" s="46">
        <v>997.16558673446275</v>
      </c>
      <c r="AM24" s="46">
        <v>366.59462089235251</v>
      </c>
      <c r="AN24" s="46">
        <v>99.828542069340401</v>
      </c>
      <c r="AO24" s="46">
        <v>264.11533615702814</v>
      </c>
      <c r="AP24" s="46">
        <v>340.00152047639358</v>
      </c>
      <c r="AQ24" s="46">
        <v>2403.6211238173555</v>
      </c>
      <c r="AR24" s="46">
        <v>392.5613967492672</v>
      </c>
      <c r="AS24" s="46">
        <v>281.2555915514609</v>
      </c>
      <c r="AT24" s="46">
        <v>39.351034825142662</v>
      </c>
      <c r="AU24" s="46">
        <v>1057.6584168554284</v>
      </c>
      <c r="AV24" s="46">
        <v>6560.9161595641526</v>
      </c>
      <c r="AW24" s="46">
        <v>959.18197134293257</v>
      </c>
      <c r="AX24" s="46">
        <v>15601.925063646577</v>
      </c>
      <c r="AY24" s="48">
        <v>72335.83666423877</v>
      </c>
      <c r="AZ24" s="46">
        <v>1664.3254032695027</v>
      </c>
      <c r="BA24" s="46">
        <v>6710.988050768251</v>
      </c>
      <c r="BB24" s="46">
        <v>2004.3535197355434</v>
      </c>
      <c r="BC24" s="46">
        <v>84.590635668237184</v>
      </c>
      <c r="BD24" s="46">
        <v>2272.97567882577</v>
      </c>
      <c r="BE24" s="46">
        <v>23.045753027364938</v>
      </c>
      <c r="BF24" s="46">
        <v>58.727794531367806</v>
      </c>
      <c r="BG24" s="46">
        <v>89.357006794270276</v>
      </c>
      <c r="BH24" s="46">
        <v>172.01030491538387</v>
      </c>
      <c r="BI24" s="46">
        <v>598.21743042017511</v>
      </c>
      <c r="BJ24" s="46">
        <v>101.5923021008885</v>
      </c>
      <c r="BK24" s="46">
        <v>574.34079343583812</v>
      </c>
      <c r="BL24" s="46">
        <v>407.7551894533571</v>
      </c>
      <c r="BM24" s="46">
        <v>131.53972635633767</v>
      </c>
      <c r="BN24" s="46">
        <v>708.48833907984294</v>
      </c>
      <c r="BO24" s="46">
        <v>565.40770019436866</v>
      </c>
      <c r="BP24" s="46">
        <v>427.26511935873617</v>
      </c>
      <c r="BQ24" s="46">
        <v>2331.4275477576762</v>
      </c>
      <c r="BR24" s="46">
        <v>334.33949886834267</v>
      </c>
      <c r="BS24" s="46">
        <v>129.02050993549793</v>
      </c>
      <c r="BT24" s="46">
        <v>80.289527507648458</v>
      </c>
      <c r="BU24" s="46">
        <v>348.12057642093322</v>
      </c>
      <c r="BV24" s="46">
        <v>142.96643688512478</v>
      </c>
      <c r="BW24" s="46">
        <v>710.68954719135274</v>
      </c>
      <c r="BX24" s="46">
        <v>0</v>
      </c>
      <c r="BY24" s="46">
        <v>300268.8618076829</v>
      </c>
      <c r="BZ24" s="46">
        <v>21129.468115285599</v>
      </c>
      <c r="CA24" s="46">
        <v>0</v>
      </c>
      <c r="CB24" s="46">
        <v>0</v>
      </c>
      <c r="CC24" s="46">
        <v>117714.641201433</v>
      </c>
      <c r="CD24" s="46">
        <v>1.4315587348310601</v>
      </c>
      <c r="CE24" s="46">
        <v>-5303.1361940251199</v>
      </c>
      <c r="CF24" s="46">
        <v>133542.40468142793</v>
      </c>
      <c r="CG24" s="46">
        <v>433811.26648911083</v>
      </c>
      <c r="CH24"/>
      <c r="CI24">
        <f t="shared" si="0"/>
        <v>0.30783526154634805</v>
      </c>
      <c r="CJ24"/>
      <c r="CK24"/>
      <c r="CL24"/>
      <c r="CM24"/>
      <c r="CN24"/>
      <c r="CO24"/>
      <c r="CP24"/>
      <c r="CQ24"/>
      <c r="CR24"/>
      <c r="CS24"/>
      <c r="CT24"/>
      <c r="CU24"/>
    </row>
    <row r="25" spans="1:99" s="18" customFormat="1" x14ac:dyDescent="0.3">
      <c r="A25" s="35" t="s">
        <v>29</v>
      </c>
      <c r="B25" s="4" t="s">
        <v>103</v>
      </c>
      <c r="C25" s="18">
        <v>20</v>
      </c>
      <c r="D25" s="46">
        <v>800.98709238031074</v>
      </c>
      <c r="E25" s="46">
        <v>228.31395134121664</v>
      </c>
      <c r="F25" s="46">
        <v>42.84210846485729</v>
      </c>
      <c r="G25" s="46">
        <v>49.015375331955099</v>
      </c>
      <c r="H25" s="46">
        <v>29.475244253497728</v>
      </c>
      <c r="I25" s="46">
        <v>349.95761769903044</v>
      </c>
      <c r="J25" s="46">
        <v>66.507064819792134</v>
      </c>
      <c r="K25" s="46">
        <v>152.9995966611024</v>
      </c>
      <c r="L25" s="46">
        <v>66.775694859087963</v>
      </c>
      <c r="M25" s="46">
        <v>217.49628010011335</v>
      </c>
      <c r="N25" s="46">
        <v>35.430374874966532</v>
      </c>
      <c r="O25" s="46">
        <v>1.2241021908097549</v>
      </c>
      <c r="P25" s="46">
        <v>8.7468574422966933E-2</v>
      </c>
      <c r="Q25" s="46">
        <v>4.1680127820015886E-2</v>
      </c>
      <c r="R25" s="46">
        <v>5.2176194185798191E-2</v>
      </c>
      <c r="S25" s="46">
        <v>0.70663884087715245</v>
      </c>
      <c r="T25" s="46">
        <v>36.050744959885058</v>
      </c>
      <c r="U25" s="46">
        <v>1.6231507350466379</v>
      </c>
      <c r="V25" s="46">
        <v>4.9463166031858421</v>
      </c>
      <c r="W25" s="46">
        <v>0.12740008991067267</v>
      </c>
      <c r="X25" s="46">
        <v>2.2286903330390823E-2</v>
      </c>
      <c r="Y25" s="46">
        <v>830.99987346381795</v>
      </c>
      <c r="Z25" s="46">
        <v>88.073225849021981</v>
      </c>
      <c r="AA25" s="46">
        <v>26.385249778054153</v>
      </c>
      <c r="AB25" s="46">
        <v>22.19683428704419</v>
      </c>
      <c r="AC25" s="46">
        <v>15.228424622984061</v>
      </c>
      <c r="AD25" s="46">
        <v>59.441331229481158</v>
      </c>
      <c r="AE25" s="46">
        <v>62.48707651720617</v>
      </c>
      <c r="AF25" s="46">
        <v>53.695921184526156</v>
      </c>
      <c r="AG25" s="46">
        <v>14.697807497505472</v>
      </c>
      <c r="AH25" s="46">
        <v>22.59738246849809</v>
      </c>
      <c r="AI25" s="46">
        <v>14.780253823385392</v>
      </c>
      <c r="AJ25" s="46">
        <v>16.201304973411656</v>
      </c>
      <c r="AK25" s="46">
        <v>18.656441525958165</v>
      </c>
      <c r="AL25" s="46">
        <v>66.238086762132014</v>
      </c>
      <c r="AM25" s="46">
        <v>15.162335757206742</v>
      </c>
      <c r="AN25" s="46">
        <v>6.2855793006054697</v>
      </c>
      <c r="AO25" s="46">
        <v>16.047930732855296</v>
      </c>
      <c r="AP25" s="46">
        <v>15.826858358950924</v>
      </c>
      <c r="AQ25" s="46">
        <v>1.0453906676912066</v>
      </c>
      <c r="AR25" s="46">
        <v>0.17033481756105376</v>
      </c>
      <c r="AS25" s="46">
        <v>0.12203854039561458</v>
      </c>
      <c r="AT25" s="46">
        <v>2.0696437936307807E-2</v>
      </c>
      <c r="AU25" s="46">
        <v>0.84012605867218304</v>
      </c>
      <c r="AV25" s="46">
        <v>314.86489219163877</v>
      </c>
      <c r="AW25" s="46">
        <v>14.792994580132206</v>
      </c>
      <c r="AX25" s="46">
        <v>747.61131564934908</v>
      </c>
      <c r="AY25" s="48">
        <v>5181.1799382375975</v>
      </c>
      <c r="AZ25" s="46">
        <v>0.84983695185490293</v>
      </c>
      <c r="BA25" s="46">
        <v>32.27113757300112</v>
      </c>
      <c r="BB25" s="46">
        <v>102.63218127976005</v>
      </c>
      <c r="BC25" s="46">
        <v>1.5996283358392476</v>
      </c>
      <c r="BD25" s="46">
        <v>1.1177232242077269</v>
      </c>
      <c r="BE25" s="46">
        <v>0.21533386704567911</v>
      </c>
      <c r="BF25" s="46">
        <v>0.7536020199406791</v>
      </c>
      <c r="BG25" s="46">
        <v>0.52129845275347098</v>
      </c>
      <c r="BH25" s="46">
        <v>0.78407177280580997</v>
      </c>
      <c r="BI25" s="46">
        <v>2.723078605507566</v>
      </c>
      <c r="BJ25" s="46">
        <v>0.56868637304067438</v>
      </c>
      <c r="BK25" s="46">
        <v>2.6149690456407759</v>
      </c>
      <c r="BL25" s="46">
        <v>2.1615132488413709</v>
      </c>
      <c r="BM25" s="46">
        <v>0.55949068530369961</v>
      </c>
      <c r="BN25" s="46">
        <v>8.1413889672549988</v>
      </c>
      <c r="BO25" s="46">
        <v>2.5664201960293136</v>
      </c>
      <c r="BP25" s="46">
        <v>24.202500883003804</v>
      </c>
      <c r="BQ25" s="46">
        <v>7.0732373027531645</v>
      </c>
      <c r="BR25" s="46">
        <v>0.70014747876949934</v>
      </c>
      <c r="BS25" s="46">
        <v>6.9915698388294043</v>
      </c>
      <c r="BT25" s="46">
        <v>0.2017277790717576</v>
      </c>
      <c r="BU25" s="46">
        <v>4.8962952711294179</v>
      </c>
      <c r="BV25" s="46">
        <v>4.0101391892789389</v>
      </c>
      <c r="BW25" s="46">
        <v>16.713675476606536</v>
      </c>
      <c r="BX25" s="46">
        <v>0</v>
      </c>
      <c r="BY25" s="46">
        <v>9935.2016651372924</v>
      </c>
      <c r="BZ25" s="46">
        <v>421.58378395935199</v>
      </c>
      <c r="CA25" s="46">
        <v>0</v>
      </c>
      <c r="CB25" s="46">
        <v>0</v>
      </c>
      <c r="CC25" s="46">
        <v>43.723354520799496</v>
      </c>
      <c r="CD25" s="46">
        <v>0.48795201857792703</v>
      </c>
      <c r="CE25" s="46">
        <v>-15.134626870855699</v>
      </c>
      <c r="CF25" s="46">
        <v>450.66046362787347</v>
      </c>
      <c r="CG25" s="46">
        <v>10385.862128765166</v>
      </c>
      <c r="CH25"/>
      <c r="CI25">
        <f t="shared" si="0"/>
        <v>4.339172406108717E-2</v>
      </c>
      <c r="CJ25"/>
      <c r="CK25"/>
      <c r="CL25"/>
      <c r="CM25"/>
      <c r="CN25"/>
      <c r="CO25"/>
      <c r="CP25"/>
      <c r="CQ25"/>
      <c r="CR25"/>
      <c r="CS25"/>
      <c r="CT25"/>
      <c r="CU25"/>
    </row>
    <row r="26" spans="1:99" s="18" customFormat="1" x14ac:dyDescent="0.3">
      <c r="A26" s="35" t="s">
        <v>30</v>
      </c>
      <c r="B26" s="11" t="s">
        <v>104</v>
      </c>
      <c r="C26" s="18">
        <v>21</v>
      </c>
      <c r="D26" s="46">
        <v>3.097599811957731</v>
      </c>
      <c r="E26" s="46">
        <v>2.6317441718778483</v>
      </c>
      <c r="F26" s="46">
        <v>0.25045315140373309</v>
      </c>
      <c r="G26" s="46">
        <v>1.1454317617459846</v>
      </c>
      <c r="H26" s="46">
        <v>63.643880813932434</v>
      </c>
      <c r="I26" s="46">
        <v>25.411817206673721</v>
      </c>
      <c r="J26" s="46">
        <v>4.7089032887406397</v>
      </c>
      <c r="K26" s="46">
        <v>1.4120661489589843</v>
      </c>
      <c r="L26" s="46">
        <v>2.2448832994914965E-2</v>
      </c>
      <c r="M26" s="46">
        <v>0.73106477719809781</v>
      </c>
      <c r="N26" s="46">
        <v>0.31731661243234488</v>
      </c>
      <c r="O26" s="46">
        <v>4.2146732089029188E-3</v>
      </c>
      <c r="P26" s="46">
        <v>7.3819091888877947E-2</v>
      </c>
      <c r="Q26" s="46">
        <v>1.8262355748853928E-3</v>
      </c>
      <c r="R26" s="46">
        <v>6.8517283904238738E-2</v>
      </c>
      <c r="S26" s="46">
        <v>0.41032360765982845</v>
      </c>
      <c r="T26" s="46">
        <v>0.80412552092852674</v>
      </c>
      <c r="U26" s="46">
        <v>4.2380244401252782E-3</v>
      </c>
      <c r="V26" s="46">
        <v>111.54950844292934</v>
      </c>
      <c r="W26" s="46">
        <v>15.910302955689614</v>
      </c>
      <c r="X26" s="46">
        <v>1312.4122952422433</v>
      </c>
      <c r="Y26" s="46">
        <v>3.3455571526155286E-3</v>
      </c>
      <c r="Z26" s="46">
        <v>3.6823053334142277</v>
      </c>
      <c r="AA26" s="46">
        <v>0.54571521204773887</v>
      </c>
      <c r="AB26" s="46">
        <v>0.20430783912428513</v>
      </c>
      <c r="AC26" s="46">
        <v>2.3745335612572707E-2</v>
      </c>
      <c r="AD26" s="46">
        <v>0.91186851007197556</v>
      </c>
      <c r="AE26" s="46">
        <v>18.895061571639101</v>
      </c>
      <c r="AF26" s="46">
        <v>1035.1843245612683</v>
      </c>
      <c r="AG26" s="46">
        <v>27.184975318788272</v>
      </c>
      <c r="AH26" s="46">
        <v>20.27854295009459</v>
      </c>
      <c r="AI26" s="46">
        <v>0.11311615847944548</v>
      </c>
      <c r="AJ26" s="46">
        <v>81.726580369796153</v>
      </c>
      <c r="AK26" s="46">
        <v>26.200130192655507</v>
      </c>
      <c r="AL26" s="46">
        <v>22.452421923146879</v>
      </c>
      <c r="AM26" s="46">
        <v>41.159031431785124</v>
      </c>
      <c r="AN26" s="46">
        <v>2.3537012046784431</v>
      </c>
      <c r="AO26" s="46">
        <v>10.863703891176662</v>
      </c>
      <c r="AP26" s="46">
        <v>29.206644372032159</v>
      </c>
      <c r="AQ26" s="46">
        <v>4.8418514602366525</v>
      </c>
      <c r="AR26" s="46">
        <v>0.79068716599325317</v>
      </c>
      <c r="AS26" s="46">
        <v>0.56649784834961781</v>
      </c>
      <c r="AT26" s="46">
        <v>8.0074452856133779E-2</v>
      </c>
      <c r="AU26" s="46">
        <v>0.42937543654728849</v>
      </c>
      <c r="AV26" s="46">
        <v>3.1763959094286802</v>
      </c>
      <c r="AW26" s="46">
        <v>2.2347957659808628</v>
      </c>
      <c r="AX26" s="46">
        <v>8.125685475566307</v>
      </c>
      <c r="AY26" s="47">
        <v>81.923630447983768</v>
      </c>
      <c r="AZ26" s="46">
        <v>0.47737028934962372</v>
      </c>
      <c r="BA26" s="46">
        <v>20.979156471462314</v>
      </c>
      <c r="BB26" s="46">
        <v>0.51031590022122419</v>
      </c>
      <c r="BC26" s="46">
        <v>0.16350879002132898</v>
      </c>
      <c r="BD26" s="46">
        <v>2.3645019132421026</v>
      </c>
      <c r="BE26" s="46">
        <v>5.9745756307938339E-2</v>
      </c>
      <c r="BF26" s="46">
        <v>0.13976576889911693</v>
      </c>
      <c r="BG26" s="46">
        <v>0.24553158710949882</v>
      </c>
      <c r="BH26" s="46">
        <v>0.47845515745081435</v>
      </c>
      <c r="BI26" s="46">
        <v>1.662730734749762</v>
      </c>
      <c r="BJ26" s="46">
        <v>0.27622412382272732</v>
      </c>
      <c r="BK26" s="46">
        <v>1.5968385467742297</v>
      </c>
      <c r="BL26" s="46">
        <v>0.93384180922662152</v>
      </c>
      <c r="BM26" s="46">
        <v>0.32403957193137806</v>
      </c>
      <c r="BN26" s="46">
        <v>1.3773636678633441</v>
      </c>
      <c r="BO26" s="46">
        <v>1.5326187593784086</v>
      </c>
      <c r="BP26" s="46">
        <v>0.31426729001727954</v>
      </c>
      <c r="BQ26" s="46">
        <v>4.627677112606114</v>
      </c>
      <c r="BR26" s="46">
        <v>0.47313426560644828</v>
      </c>
      <c r="BS26" s="46">
        <v>0.11307740656055784</v>
      </c>
      <c r="BT26" s="46">
        <v>0.12320486535608087</v>
      </c>
      <c r="BU26" s="46">
        <v>0.7588136653642249</v>
      </c>
      <c r="BV26" s="46">
        <v>0.26476190806565353</v>
      </c>
      <c r="BW26" s="46">
        <v>0.95884654273782299</v>
      </c>
      <c r="BX26" s="46">
        <v>0</v>
      </c>
      <c r="BY26" s="46">
        <v>3008.5262052564158</v>
      </c>
      <c r="BZ26" s="46">
        <v>51.5371752636905</v>
      </c>
      <c r="CA26" s="46">
        <v>0</v>
      </c>
      <c r="CB26" s="46">
        <v>0</v>
      </c>
      <c r="CC26" s="46">
        <v>245.87140316222499</v>
      </c>
      <c r="CD26" s="46">
        <v>0</v>
      </c>
      <c r="CE26" s="46">
        <v>-2.06340155831924</v>
      </c>
      <c r="CF26" s="46">
        <v>295.34517686759636</v>
      </c>
      <c r="CG26" s="46">
        <v>3303.8713821240121</v>
      </c>
      <c r="CH26"/>
      <c r="CI26">
        <f t="shared" si="0"/>
        <v>8.939366661353601E-2</v>
      </c>
      <c r="CJ26"/>
      <c r="CK26"/>
      <c r="CL26"/>
      <c r="CM26"/>
      <c r="CN26"/>
      <c r="CO26"/>
      <c r="CP26"/>
      <c r="CQ26"/>
      <c r="CR26"/>
      <c r="CS26"/>
      <c r="CT26"/>
      <c r="CU26"/>
    </row>
    <row r="27" spans="1:99" s="18" customFormat="1" x14ac:dyDescent="0.3">
      <c r="A27" s="35" t="s">
        <v>31</v>
      </c>
      <c r="B27" s="9" t="s">
        <v>105</v>
      </c>
      <c r="C27" s="18">
        <v>22</v>
      </c>
      <c r="D27" s="46">
        <v>79.900398643439559</v>
      </c>
      <c r="E27" s="46">
        <v>99.636051155377572</v>
      </c>
      <c r="F27" s="46">
        <v>3.1945139257046757</v>
      </c>
      <c r="G27" s="46">
        <v>2.5063210381545988</v>
      </c>
      <c r="H27" s="46">
        <v>632.57369899417984</v>
      </c>
      <c r="I27" s="46">
        <v>6.4954438367298497</v>
      </c>
      <c r="J27" s="46">
        <v>1.6063796343317513</v>
      </c>
      <c r="K27" s="46">
        <v>227.81003844824465</v>
      </c>
      <c r="L27" s="46">
        <v>193.42907447130622</v>
      </c>
      <c r="M27" s="46">
        <v>910.61411127192025</v>
      </c>
      <c r="N27" s="46">
        <v>183.16587399259419</v>
      </c>
      <c r="O27" s="46">
        <v>0.19687255186620539</v>
      </c>
      <c r="P27" s="46">
        <v>1.4072228580930899</v>
      </c>
      <c r="Q27" s="46">
        <v>0.9664003321803617</v>
      </c>
      <c r="R27" s="46">
        <v>1.1141634178397606</v>
      </c>
      <c r="S27" s="46">
        <v>26.899322903780181</v>
      </c>
      <c r="T27" s="46">
        <v>9.3848406540838791</v>
      </c>
      <c r="U27" s="46">
        <v>0.67263276752480161</v>
      </c>
      <c r="V27" s="46">
        <v>15110.474440783461</v>
      </c>
      <c r="W27" s="46">
        <v>76.356762277775346</v>
      </c>
      <c r="X27" s="46">
        <v>76.309221377926335</v>
      </c>
      <c r="Y27" s="46">
        <v>457.97466030633063</v>
      </c>
      <c r="Z27" s="46">
        <v>296.72564945244068</v>
      </c>
      <c r="AA27" s="46">
        <v>299.30407939715974</v>
      </c>
      <c r="AB27" s="46">
        <v>1246.3545287279433</v>
      </c>
      <c r="AC27" s="46">
        <v>713.90217858633127</v>
      </c>
      <c r="AD27" s="46">
        <v>7.7573680250948573</v>
      </c>
      <c r="AE27" s="46">
        <v>2.9343725801158467</v>
      </c>
      <c r="AF27" s="46">
        <v>3.4760919883159147</v>
      </c>
      <c r="AG27" s="46">
        <v>1.4932503374748685</v>
      </c>
      <c r="AH27" s="46">
        <v>31.020153239681459</v>
      </c>
      <c r="AI27" s="46">
        <v>1.493382929405739</v>
      </c>
      <c r="AJ27" s="46">
        <v>3.833323710114561</v>
      </c>
      <c r="AK27" s="46">
        <v>25.744484983700801</v>
      </c>
      <c r="AL27" s="46">
        <v>15.046528772896151</v>
      </c>
      <c r="AM27" s="46">
        <v>2.804612858897066</v>
      </c>
      <c r="AN27" s="46">
        <v>1.1816601153834354</v>
      </c>
      <c r="AO27" s="46">
        <v>3.5941609127456209</v>
      </c>
      <c r="AP27" s="46">
        <v>16.582466245429515</v>
      </c>
      <c r="AQ27" s="46">
        <v>6.1615523604345581</v>
      </c>
      <c r="AR27" s="46">
        <v>1.0064951757553382</v>
      </c>
      <c r="AS27" s="46">
        <v>0.72111623403349223</v>
      </c>
      <c r="AT27" s="46">
        <v>0.14624501845386453</v>
      </c>
      <c r="AU27" s="46">
        <v>19.763070665683248</v>
      </c>
      <c r="AV27" s="46">
        <v>293.64415461460698</v>
      </c>
      <c r="AW27" s="46">
        <v>274.54746406836551</v>
      </c>
      <c r="AX27" s="46">
        <v>499.37373969253753</v>
      </c>
      <c r="AY27" s="48">
        <v>701.33619022676862</v>
      </c>
      <c r="AZ27" s="46">
        <v>4.3904133825691698</v>
      </c>
      <c r="BA27" s="46">
        <v>18.370765062988067</v>
      </c>
      <c r="BB27" s="46">
        <v>45.122455201350661</v>
      </c>
      <c r="BC27" s="46">
        <v>9.6670383452120223</v>
      </c>
      <c r="BD27" s="46">
        <v>267.16490026221402</v>
      </c>
      <c r="BE27" s="46">
        <v>3.5708401091085591</v>
      </c>
      <c r="BF27" s="46">
        <v>7.7979006262281683</v>
      </c>
      <c r="BG27" s="46">
        <v>19.931211968101252</v>
      </c>
      <c r="BH27" s="46">
        <v>31.085430080000744</v>
      </c>
      <c r="BI27" s="46">
        <v>116.31030923269896</v>
      </c>
      <c r="BJ27" s="46">
        <v>14.918810684157439</v>
      </c>
      <c r="BK27" s="46">
        <v>120.40394087675234</v>
      </c>
      <c r="BL27" s="46">
        <v>94.923340310639233</v>
      </c>
      <c r="BM27" s="46">
        <v>37.083554048944201</v>
      </c>
      <c r="BN27" s="46">
        <v>94.076892505068784</v>
      </c>
      <c r="BO27" s="46">
        <v>113.06571632590388</v>
      </c>
      <c r="BP27" s="46">
        <v>63.77865197027522</v>
      </c>
      <c r="BQ27" s="46">
        <v>545.1484605432837</v>
      </c>
      <c r="BR27" s="46">
        <v>77.529339453011886</v>
      </c>
      <c r="BS27" s="46">
        <v>7.9860566791466265</v>
      </c>
      <c r="BT27" s="46">
        <v>31.915945471629662</v>
      </c>
      <c r="BU27" s="46">
        <v>89.581739955367482</v>
      </c>
      <c r="BV27" s="46">
        <v>15.024297994362884</v>
      </c>
      <c r="BW27" s="46">
        <v>141.68801243329764</v>
      </c>
      <c r="BX27" s="46">
        <v>0</v>
      </c>
      <c r="BY27" s="46">
        <v>24543.172790084926</v>
      </c>
      <c r="BZ27" s="46">
        <v>5351.6554134196831</v>
      </c>
      <c r="CA27" s="46">
        <v>0.20439015636524591</v>
      </c>
      <c r="CB27" s="46">
        <v>0</v>
      </c>
      <c r="CC27" s="46">
        <v>24299.633170119676</v>
      </c>
      <c r="CD27" s="46">
        <v>72.643596277789399</v>
      </c>
      <c r="CE27" s="46">
        <v>369.69063994322966</v>
      </c>
      <c r="CF27" s="46">
        <v>30093.827209916744</v>
      </c>
      <c r="CG27" s="46">
        <v>54637</v>
      </c>
      <c r="CH27"/>
      <c r="CI27">
        <f t="shared" si="0"/>
        <v>0.55079574665367326</v>
      </c>
      <c r="CJ27"/>
      <c r="CK27"/>
      <c r="CL27"/>
      <c r="CM27"/>
      <c r="CN27"/>
      <c r="CO27"/>
      <c r="CP27"/>
      <c r="CQ27"/>
      <c r="CR27"/>
      <c r="CS27"/>
      <c r="CT27"/>
      <c r="CU27"/>
    </row>
    <row r="28" spans="1:99" s="18" customFormat="1" x14ac:dyDescent="0.3">
      <c r="A28" s="35" t="s">
        <v>32</v>
      </c>
      <c r="B28" s="13" t="s">
        <v>106</v>
      </c>
      <c r="C28" s="18">
        <v>23</v>
      </c>
      <c r="D28" s="46">
        <v>45933.044359638436</v>
      </c>
      <c r="E28" s="46">
        <v>4700.5044163265666</v>
      </c>
      <c r="F28" s="46">
        <v>342.73136390902454</v>
      </c>
      <c r="G28" s="46">
        <v>238.96792391327978</v>
      </c>
      <c r="H28" s="46">
        <v>4857.5133156899028</v>
      </c>
      <c r="I28" s="46">
        <v>340.81703858764217</v>
      </c>
      <c r="J28" s="46">
        <v>131.04423066879949</v>
      </c>
      <c r="K28" s="46">
        <v>458.64651981621552</v>
      </c>
      <c r="L28" s="46">
        <v>172.1912484025066</v>
      </c>
      <c r="M28" s="46">
        <v>1063.8133565738997</v>
      </c>
      <c r="N28" s="46">
        <v>94.697046441751269</v>
      </c>
      <c r="O28" s="46">
        <v>16.378011510186006</v>
      </c>
      <c r="P28" s="46">
        <v>3539.888795553667</v>
      </c>
      <c r="Q28" s="46">
        <v>140.2501878176308</v>
      </c>
      <c r="R28" s="46">
        <v>1473.9022093587721</v>
      </c>
      <c r="S28" s="46">
        <v>677.61342195254645</v>
      </c>
      <c r="T28" s="46">
        <v>4354.276400576402</v>
      </c>
      <c r="U28" s="46">
        <v>67.362735403493403</v>
      </c>
      <c r="V28" s="46">
        <v>2393.0475479893194</v>
      </c>
      <c r="W28" s="46">
        <v>61.87209758267435</v>
      </c>
      <c r="X28" s="46">
        <v>98.627655104761928</v>
      </c>
      <c r="Y28" s="46">
        <v>648.58312906910044</v>
      </c>
      <c r="Z28" s="46">
        <v>32375.576721911151</v>
      </c>
      <c r="AA28" s="46">
        <v>12475.942717223639</v>
      </c>
      <c r="AB28" s="46">
        <v>4409.2644078602816</v>
      </c>
      <c r="AC28" s="46">
        <v>1782.2171736904882</v>
      </c>
      <c r="AD28" s="46">
        <v>16336.883889888046</v>
      </c>
      <c r="AE28" s="46">
        <v>2295.3151360232764</v>
      </c>
      <c r="AF28" s="46">
        <v>973.06272085871444</v>
      </c>
      <c r="AG28" s="46">
        <v>908.00850643377476</v>
      </c>
      <c r="AH28" s="46">
        <v>1236.0285761317223</v>
      </c>
      <c r="AI28" s="46">
        <v>176.46662538129186</v>
      </c>
      <c r="AJ28" s="46">
        <v>2291.575475123389</v>
      </c>
      <c r="AK28" s="46">
        <v>179.95359302721911</v>
      </c>
      <c r="AL28" s="46">
        <v>154.70952198696784</v>
      </c>
      <c r="AM28" s="46">
        <v>1135.6975642494849</v>
      </c>
      <c r="AN28" s="46">
        <v>253.54152761239519</v>
      </c>
      <c r="AO28" s="46">
        <v>1680.149036583515</v>
      </c>
      <c r="AP28" s="46">
        <v>172.49950015048447</v>
      </c>
      <c r="AQ28" s="46">
        <v>136.21436258311925</v>
      </c>
      <c r="AR28" s="46">
        <v>22.250739876667826</v>
      </c>
      <c r="AS28" s="46">
        <v>15.941824790446791</v>
      </c>
      <c r="AT28" s="46">
        <v>1.9475205234391786</v>
      </c>
      <c r="AU28" s="46">
        <v>656.55925163066536</v>
      </c>
      <c r="AV28" s="46">
        <v>483.24643627978298</v>
      </c>
      <c r="AW28" s="46">
        <v>95.956963698845016</v>
      </c>
      <c r="AX28" s="46">
        <v>1195.4936096891383</v>
      </c>
      <c r="AY28" s="47">
        <v>117.98955045004034</v>
      </c>
      <c r="AZ28" s="46">
        <v>2.4453832279960048</v>
      </c>
      <c r="BA28" s="46">
        <v>4.7189595831741658</v>
      </c>
      <c r="BB28" s="46">
        <v>50.015835454144906</v>
      </c>
      <c r="BC28" s="46">
        <v>21.034007298556386</v>
      </c>
      <c r="BD28" s="46">
        <v>166.06271438385446</v>
      </c>
      <c r="BE28" s="46">
        <v>6.597310075905523</v>
      </c>
      <c r="BF28" s="46">
        <v>11.591102799505713</v>
      </c>
      <c r="BG28" s="46">
        <v>36.650030246830845</v>
      </c>
      <c r="BH28" s="46">
        <v>29.675183083945797</v>
      </c>
      <c r="BI28" s="46">
        <v>81.33039216796719</v>
      </c>
      <c r="BJ28" s="46">
        <v>75.323321345095906</v>
      </c>
      <c r="BK28" s="46">
        <v>83.229416160293823</v>
      </c>
      <c r="BL28" s="46">
        <v>53.316174560087184</v>
      </c>
      <c r="BM28" s="46">
        <v>26.321729449122614</v>
      </c>
      <c r="BN28" s="46">
        <v>24.461214920479264</v>
      </c>
      <c r="BO28" s="46">
        <v>117.98116821629961</v>
      </c>
      <c r="BP28" s="46">
        <v>4.1900922783847836</v>
      </c>
      <c r="BQ28" s="46">
        <v>83.092200294350675</v>
      </c>
      <c r="BR28" s="46">
        <v>74.527759464976711</v>
      </c>
      <c r="BS28" s="46">
        <v>72.118322577308518</v>
      </c>
      <c r="BT28" s="46">
        <v>277.19832920651629</v>
      </c>
      <c r="BU28" s="46">
        <v>554.07565329523732</v>
      </c>
      <c r="BV28" s="46">
        <v>57.26041938985324</v>
      </c>
      <c r="BW28" s="46">
        <v>364.80967003077694</v>
      </c>
      <c r="BX28" s="46">
        <v>0</v>
      </c>
      <c r="BY28" s="46">
        <v>155646.29235505522</v>
      </c>
      <c r="BZ28" s="46">
        <v>19441.06574357233</v>
      </c>
      <c r="CA28" s="46">
        <v>11.449278827996304</v>
      </c>
      <c r="CB28" s="46">
        <v>0</v>
      </c>
      <c r="CC28" s="46">
        <v>3542.3545724804844</v>
      </c>
      <c r="CD28" s="46">
        <v>713.9505455643623</v>
      </c>
      <c r="CE28" s="46">
        <v>150.88750449960969</v>
      </c>
      <c r="CF28" s="46">
        <v>23859.707644944781</v>
      </c>
      <c r="CG28" s="46">
        <v>179506</v>
      </c>
      <c r="CH28"/>
      <c r="CI28">
        <f t="shared" si="0"/>
        <v>0.13291871940182937</v>
      </c>
      <c r="CJ28"/>
      <c r="CK28"/>
      <c r="CL28"/>
      <c r="CM28"/>
      <c r="CN28"/>
      <c r="CO28"/>
      <c r="CP28"/>
      <c r="CQ28"/>
      <c r="CR28"/>
      <c r="CS28"/>
      <c r="CT28"/>
      <c r="CU28"/>
    </row>
    <row r="29" spans="1:99" s="5" customFormat="1" x14ac:dyDescent="0.3">
      <c r="A29" s="35" t="s">
        <v>33</v>
      </c>
      <c r="B29" s="11" t="s">
        <v>107</v>
      </c>
      <c r="C29" s="5">
        <v>24</v>
      </c>
      <c r="D29" s="25">
        <v>23436.868191937006</v>
      </c>
      <c r="E29" s="25">
        <v>2659.0458293743441</v>
      </c>
      <c r="F29" s="25">
        <v>87.893458636695129</v>
      </c>
      <c r="G29" s="25">
        <v>1560.7928218944237</v>
      </c>
      <c r="H29" s="25">
        <v>575.39184909017627</v>
      </c>
      <c r="I29" s="25">
        <v>277.16980420078181</v>
      </c>
      <c r="J29" s="25">
        <v>112.62711110644612</v>
      </c>
      <c r="K29" s="25">
        <v>839.47489935650447</v>
      </c>
      <c r="L29" s="25">
        <v>34.242340109106259</v>
      </c>
      <c r="M29" s="25">
        <v>2339.5945956357714</v>
      </c>
      <c r="N29" s="25">
        <v>116.42229199713566</v>
      </c>
      <c r="O29" s="25">
        <v>5.0548920181282329</v>
      </c>
      <c r="P29" s="25">
        <v>306.23554303976846</v>
      </c>
      <c r="Q29" s="25">
        <v>43.171646276788621</v>
      </c>
      <c r="R29" s="25">
        <v>206.63341942890125</v>
      </c>
      <c r="S29" s="25">
        <v>705.30912868817813</v>
      </c>
      <c r="T29" s="25">
        <v>1430.9480741273044</v>
      </c>
      <c r="U29" s="25">
        <v>638.57581674164305</v>
      </c>
      <c r="V29" s="25">
        <v>388.26298998601413</v>
      </c>
      <c r="W29" s="25">
        <v>9.8737706133711924</v>
      </c>
      <c r="X29" s="25">
        <v>2.8454792006437897</v>
      </c>
      <c r="Y29" s="25">
        <v>164.27652533342126</v>
      </c>
      <c r="Z29" s="25">
        <v>2006.776280480615</v>
      </c>
      <c r="AA29" s="25">
        <v>9284.6464714127978</v>
      </c>
      <c r="AB29" s="25">
        <v>1704.2634040976709</v>
      </c>
      <c r="AC29" s="25">
        <v>864.88759356882542</v>
      </c>
      <c r="AD29" s="25">
        <v>2767.0056618200242</v>
      </c>
      <c r="AE29" s="25">
        <v>906.56113969593707</v>
      </c>
      <c r="AF29" s="25">
        <v>446.19847339490462</v>
      </c>
      <c r="AG29" s="25">
        <v>91.701863141986848</v>
      </c>
      <c r="AH29" s="25">
        <v>559.0055764442551</v>
      </c>
      <c r="AI29" s="25">
        <v>194.65755678790595</v>
      </c>
      <c r="AJ29" s="25">
        <v>204.95976057854418</v>
      </c>
      <c r="AK29" s="25">
        <v>175.09465600952271</v>
      </c>
      <c r="AL29" s="25">
        <v>497.86932589120698</v>
      </c>
      <c r="AM29" s="25">
        <v>231.01984241682032</v>
      </c>
      <c r="AN29" s="25">
        <v>111.28724018073264</v>
      </c>
      <c r="AO29" s="25">
        <v>540.55535256141468</v>
      </c>
      <c r="AP29" s="25">
        <v>671.10571636545251</v>
      </c>
      <c r="AQ29" s="25">
        <v>126.61998580241371</v>
      </c>
      <c r="AR29" s="25">
        <v>20.588788629345892</v>
      </c>
      <c r="AS29" s="25">
        <v>14.748137499305241</v>
      </c>
      <c r="AT29" s="25">
        <v>1.7755107518890538</v>
      </c>
      <c r="AU29" s="25">
        <v>331.61133322139011</v>
      </c>
      <c r="AV29" s="25">
        <v>7547.2977031495711</v>
      </c>
      <c r="AW29" s="25">
        <v>879.46696282450614</v>
      </c>
      <c r="AX29" s="25">
        <v>1715.1880233685588</v>
      </c>
      <c r="AY29" s="40">
        <v>224.13310682225537</v>
      </c>
      <c r="AZ29" s="25">
        <v>0.97484303317497201</v>
      </c>
      <c r="BA29" s="25">
        <v>3.420821431224315</v>
      </c>
      <c r="BB29" s="25">
        <v>54.346921519352513</v>
      </c>
      <c r="BC29" s="25">
        <v>27.371451109936658</v>
      </c>
      <c r="BD29" s="25">
        <v>87.896789606737485</v>
      </c>
      <c r="BE29" s="25">
        <v>89.460215174896419</v>
      </c>
      <c r="BF29" s="25">
        <v>113.90617045278515</v>
      </c>
      <c r="BG29" s="25">
        <v>21.41148903564758</v>
      </c>
      <c r="BH29" s="25">
        <v>17.569591346501603</v>
      </c>
      <c r="BI29" s="25">
        <v>66.39866349882702</v>
      </c>
      <c r="BJ29" s="25">
        <v>1157.3310351553157</v>
      </c>
      <c r="BK29" s="25">
        <v>41.759659887863243</v>
      </c>
      <c r="BL29" s="25">
        <v>42.798939307746721</v>
      </c>
      <c r="BM29" s="25">
        <v>35.716778887081304</v>
      </c>
      <c r="BN29" s="25">
        <v>22.450403078188788</v>
      </c>
      <c r="BO29" s="25">
        <v>1733.335625261504</v>
      </c>
      <c r="BP29" s="25">
        <v>2.7201007097894401</v>
      </c>
      <c r="BQ29" s="25">
        <v>227.90156694512359</v>
      </c>
      <c r="BR29" s="25">
        <v>255.68521382474333</v>
      </c>
      <c r="BS29" s="25">
        <v>36.280846208996053</v>
      </c>
      <c r="BT29" s="25">
        <v>668.46402803610079</v>
      </c>
      <c r="BU29" s="25">
        <v>97.554513092514966</v>
      </c>
      <c r="BV29" s="25">
        <v>37.181085693111328</v>
      </c>
      <c r="BW29" s="25">
        <v>119.89123038066489</v>
      </c>
      <c r="BX29" s="25">
        <v>0</v>
      </c>
      <c r="BY29" s="25">
        <v>73021.563928388263</v>
      </c>
      <c r="BZ29" s="25">
        <v>8559.7078149193294</v>
      </c>
      <c r="CA29" s="25">
        <v>16.412403652008503</v>
      </c>
      <c r="CB29" s="25">
        <v>0</v>
      </c>
      <c r="CC29" s="25">
        <v>3234.4272014584262</v>
      </c>
      <c r="CD29" s="25">
        <v>1022.6945528328781</v>
      </c>
      <c r="CE29" s="25">
        <v>2453.0638745786468</v>
      </c>
      <c r="CF29" s="25">
        <v>15286.305847441292</v>
      </c>
      <c r="CG29" s="25">
        <v>88308</v>
      </c>
      <c r="CH29"/>
      <c r="CI29">
        <f t="shared" si="0"/>
        <v>0.17310216342167517</v>
      </c>
      <c r="CJ29"/>
      <c r="CK29"/>
      <c r="CL29"/>
      <c r="CM29"/>
      <c r="CN29"/>
      <c r="CO29"/>
      <c r="CP29"/>
      <c r="CQ29"/>
      <c r="CR29"/>
      <c r="CS29"/>
      <c r="CT29"/>
      <c r="CU29"/>
    </row>
    <row r="30" spans="1:99" s="5" customFormat="1" x14ac:dyDescent="0.3">
      <c r="A30" s="35" t="s">
        <v>34</v>
      </c>
      <c r="B30" s="13" t="s">
        <v>108</v>
      </c>
      <c r="C30" s="5">
        <v>25</v>
      </c>
      <c r="D30" s="25">
        <v>765.32407228554757</v>
      </c>
      <c r="E30" s="25">
        <v>124.11387850179078</v>
      </c>
      <c r="F30" s="25">
        <v>4.1411188153510174</v>
      </c>
      <c r="G30" s="25">
        <v>26.412863045666757</v>
      </c>
      <c r="H30" s="25">
        <v>122.19348830272185</v>
      </c>
      <c r="I30" s="25">
        <v>63.069815311004142</v>
      </c>
      <c r="J30" s="25">
        <v>11.163087907145654</v>
      </c>
      <c r="K30" s="25">
        <v>95.473773292238747</v>
      </c>
      <c r="L30" s="25">
        <v>9.1511033885046196</v>
      </c>
      <c r="M30" s="25">
        <v>192.91991867350174</v>
      </c>
      <c r="N30" s="25">
        <v>34.513375800956148</v>
      </c>
      <c r="O30" s="25">
        <v>3.2668037519040349</v>
      </c>
      <c r="P30" s="25">
        <v>51.801738888519992</v>
      </c>
      <c r="Q30" s="25">
        <v>35.76642807129145</v>
      </c>
      <c r="R30" s="25">
        <v>26.440693725389696</v>
      </c>
      <c r="S30" s="25">
        <v>30.120874219206467</v>
      </c>
      <c r="T30" s="25">
        <v>123.1126632615119</v>
      </c>
      <c r="U30" s="25">
        <v>22.783765951060694</v>
      </c>
      <c r="V30" s="25">
        <v>124.17839587838451</v>
      </c>
      <c r="W30" s="25">
        <v>2.0914553904543145</v>
      </c>
      <c r="X30" s="25">
        <v>0.94011926883268948</v>
      </c>
      <c r="Y30" s="25">
        <v>15.692138604437643</v>
      </c>
      <c r="Z30" s="25">
        <v>448.56543891392897</v>
      </c>
      <c r="AA30" s="25">
        <v>480.65157317625301</v>
      </c>
      <c r="AB30" s="25">
        <v>924.76116878084099</v>
      </c>
      <c r="AC30" s="25">
        <v>75.265260537033612</v>
      </c>
      <c r="AD30" s="25">
        <v>144.47270541708136</v>
      </c>
      <c r="AE30" s="25">
        <v>65.701679774365658</v>
      </c>
      <c r="AF30" s="25">
        <v>37.95752489666986</v>
      </c>
      <c r="AG30" s="25">
        <v>41.675918483687312</v>
      </c>
      <c r="AH30" s="25">
        <v>317.05272978135366</v>
      </c>
      <c r="AI30" s="25">
        <v>29.079180527867894</v>
      </c>
      <c r="AJ30" s="25">
        <v>28.954047476786545</v>
      </c>
      <c r="AK30" s="25">
        <v>43.497999341133976</v>
      </c>
      <c r="AL30" s="25">
        <v>34.73592326046758</v>
      </c>
      <c r="AM30" s="25">
        <v>37.306511748934938</v>
      </c>
      <c r="AN30" s="25">
        <v>9.7057737312474952</v>
      </c>
      <c r="AO30" s="25">
        <v>38.819059029139787</v>
      </c>
      <c r="AP30" s="25">
        <v>24.596692342297754</v>
      </c>
      <c r="AQ30" s="25">
        <v>18.204243080080232</v>
      </c>
      <c r="AR30" s="25">
        <v>2.9736796454142302</v>
      </c>
      <c r="AS30" s="25">
        <v>2.1305304970924372</v>
      </c>
      <c r="AT30" s="25">
        <v>0.64633242431100457</v>
      </c>
      <c r="AU30" s="25">
        <v>42.033846960204116</v>
      </c>
      <c r="AV30" s="25">
        <v>195.92545477331595</v>
      </c>
      <c r="AW30" s="25">
        <v>120.4157439284653</v>
      </c>
      <c r="AX30" s="25">
        <v>1401.1009267267268</v>
      </c>
      <c r="AY30" s="40">
        <v>203.90997113813663</v>
      </c>
      <c r="AZ30" s="25">
        <v>5.5952137081025688</v>
      </c>
      <c r="BA30" s="25">
        <v>1.1265727598851401</v>
      </c>
      <c r="BB30" s="25">
        <v>68.884046741803957</v>
      </c>
      <c r="BC30" s="25">
        <v>53.710385927398235</v>
      </c>
      <c r="BD30" s="25">
        <v>82.24949145659258</v>
      </c>
      <c r="BE30" s="25">
        <v>21.158267396351164</v>
      </c>
      <c r="BF30" s="25">
        <v>34.420095833078832</v>
      </c>
      <c r="BG30" s="25">
        <v>70.625037677671259</v>
      </c>
      <c r="BH30" s="25">
        <v>17.722423926174685</v>
      </c>
      <c r="BI30" s="25">
        <v>36.376816158407671</v>
      </c>
      <c r="BJ30" s="25">
        <v>16.273948589978041</v>
      </c>
      <c r="BK30" s="25">
        <v>190.5955151165258</v>
      </c>
      <c r="BL30" s="25">
        <v>71.454878200582485</v>
      </c>
      <c r="BM30" s="25">
        <v>199.62394567673493</v>
      </c>
      <c r="BN30" s="25">
        <v>71.73330640310796</v>
      </c>
      <c r="BO30" s="25">
        <v>1199.0862876313577</v>
      </c>
      <c r="BP30" s="25">
        <v>1.6549958781979446</v>
      </c>
      <c r="BQ30" s="25">
        <v>159.23256167147863</v>
      </c>
      <c r="BR30" s="25">
        <v>119.9270390654266</v>
      </c>
      <c r="BS30" s="25">
        <v>95.531753477834599</v>
      </c>
      <c r="BT30" s="25">
        <v>94.289859108825453</v>
      </c>
      <c r="BU30" s="25">
        <v>592.29431745727231</v>
      </c>
      <c r="BV30" s="25">
        <v>110.0251636837786</v>
      </c>
      <c r="BW30" s="25">
        <v>795.73451950291633</v>
      </c>
      <c r="BX30" s="25">
        <v>0</v>
      </c>
      <c r="BY30" s="25">
        <v>10764.137931777743</v>
      </c>
      <c r="BZ30" s="25">
        <v>3455.2589383894306</v>
      </c>
      <c r="CA30" s="25">
        <v>35.713769285259886</v>
      </c>
      <c r="CB30" s="25">
        <v>0</v>
      </c>
      <c r="CC30" s="25">
        <v>33581.623776443317</v>
      </c>
      <c r="CD30" s="25">
        <v>524.80293503638927</v>
      </c>
      <c r="CE30" s="25">
        <v>1814.3668191400257</v>
      </c>
      <c r="CF30" s="25">
        <v>39411.766238294418</v>
      </c>
      <c r="CG30" s="25">
        <v>50176</v>
      </c>
      <c r="CH30"/>
      <c r="CI30">
        <f t="shared" si="0"/>
        <v>0.78547046871600801</v>
      </c>
      <c r="CJ30"/>
      <c r="CK30"/>
      <c r="CL30"/>
      <c r="CM30"/>
      <c r="CN30"/>
      <c r="CO30"/>
      <c r="CP30"/>
      <c r="CQ30"/>
      <c r="CR30"/>
      <c r="CS30"/>
      <c r="CT30"/>
      <c r="CU30"/>
    </row>
    <row r="31" spans="1:99" s="5" customFormat="1" x14ac:dyDescent="0.3">
      <c r="A31" s="35" t="s">
        <v>35</v>
      </c>
      <c r="B31" s="11" t="s">
        <v>109</v>
      </c>
      <c r="C31" s="5">
        <v>26</v>
      </c>
      <c r="D31" s="25">
        <v>443.97217151359592</v>
      </c>
      <c r="E31" s="25">
        <v>1869.1641231126855</v>
      </c>
      <c r="F31" s="25">
        <v>14.509689719427843</v>
      </c>
      <c r="G31" s="25">
        <v>21.801574985008322</v>
      </c>
      <c r="H31" s="25">
        <v>344.65019746950128</v>
      </c>
      <c r="I31" s="25">
        <v>12.749822177431822</v>
      </c>
      <c r="J31" s="25">
        <v>2.5974450497443975</v>
      </c>
      <c r="K31" s="25">
        <v>76.787091348360789</v>
      </c>
      <c r="L31" s="25">
        <v>1.3569438674573762</v>
      </c>
      <c r="M31" s="25">
        <v>285.83398368415976</v>
      </c>
      <c r="N31" s="25">
        <v>11.028080155814289</v>
      </c>
      <c r="O31" s="25">
        <v>1.3513649756152128</v>
      </c>
      <c r="P31" s="25">
        <v>11.481965066808659</v>
      </c>
      <c r="Q31" s="25">
        <v>44.242044331893702</v>
      </c>
      <c r="R31" s="25">
        <v>15.518909476881802</v>
      </c>
      <c r="S31" s="25">
        <v>7.8798413056405519</v>
      </c>
      <c r="T31" s="25">
        <v>21.626560099752098</v>
      </c>
      <c r="U31" s="25">
        <v>2.9720982687295496</v>
      </c>
      <c r="V31" s="25">
        <v>12.242890835212263</v>
      </c>
      <c r="W31" s="25">
        <v>0.31444667494117745</v>
      </c>
      <c r="X31" s="25">
        <v>2.0529487493655307E-2</v>
      </c>
      <c r="Y31" s="25">
        <v>7.4184148620428205</v>
      </c>
      <c r="Z31" s="25">
        <v>150.798997275326</v>
      </c>
      <c r="AA31" s="25">
        <v>375.00097328736553</v>
      </c>
      <c r="AB31" s="25">
        <v>53.960868440938519</v>
      </c>
      <c r="AC31" s="25">
        <v>3129.9100339540382</v>
      </c>
      <c r="AD31" s="25">
        <v>38.414583241951156</v>
      </c>
      <c r="AE31" s="25">
        <v>12.782497171358527</v>
      </c>
      <c r="AF31" s="25">
        <v>12.930878239459119</v>
      </c>
      <c r="AG31" s="25">
        <v>7.8937147128118461</v>
      </c>
      <c r="AH31" s="25">
        <v>12.581001969579674</v>
      </c>
      <c r="AI31" s="25">
        <v>7.0458294774843608</v>
      </c>
      <c r="AJ31" s="25">
        <v>9.0717900704220966</v>
      </c>
      <c r="AK31" s="25">
        <v>23.978799357804675</v>
      </c>
      <c r="AL31" s="25">
        <v>21.038799059598425</v>
      </c>
      <c r="AM31" s="25">
        <v>8.1781439128328994</v>
      </c>
      <c r="AN31" s="25">
        <v>2.5045048600577866</v>
      </c>
      <c r="AO31" s="25">
        <v>38.129607978566824</v>
      </c>
      <c r="AP31" s="25">
        <v>10.456296298511003</v>
      </c>
      <c r="AQ31" s="25">
        <v>7.1915975681491329</v>
      </c>
      <c r="AR31" s="25">
        <v>1.1747539962162112</v>
      </c>
      <c r="AS31" s="25">
        <v>0.84166739997684148</v>
      </c>
      <c r="AT31" s="25">
        <v>0.57083643574971177</v>
      </c>
      <c r="AU31" s="25">
        <v>6.7002783705652291</v>
      </c>
      <c r="AV31" s="25">
        <v>38.494486556234271</v>
      </c>
      <c r="AW31" s="25">
        <v>11.011734927339187</v>
      </c>
      <c r="AX31" s="25">
        <v>350.93073802352893</v>
      </c>
      <c r="AY31" s="40">
        <v>15.00196454727465</v>
      </c>
      <c r="AZ31" s="25">
        <v>3.1854828487345221</v>
      </c>
      <c r="BA31" s="25">
        <v>0.89327323344411003</v>
      </c>
      <c r="BB31" s="25">
        <v>12.376354879591545</v>
      </c>
      <c r="BC31" s="25">
        <v>5.1967772626154582</v>
      </c>
      <c r="BD31" s="25">
        <v>57.999276105995435</v>
      </c>
      <c r="BE31" s="25">
        <v>1.0528672043195852</v>
      </c>
      <c r="BF31" s="25">
        <v>3.3242458189919772</v>
      </c>
      <c r="BG31" s="25">
        <v>8.6575109527345422</v>
      </c>
      <c r="BH31" s="25">
        <v>9.9219241877981155</v>
      </c>
      <c r="BI31" s="25">
        <v>18.970806213526092</v>
      </c>
      <c r="BJ31" s="25">
        <v>10.232229131918936</v>
      </c>
      <c r="BK31" s="25">
        <v>22.657946560890359</v>
      </c>
      <c r="BL31" s="25">
        <v>38.805067212527774</v>
      </c>
      <c r="BM31" s="25">
        <v>45.310747131768821</v>
      </c>
      <c r="BN31" s="25">
        <v>20.785824100399655</v>
      </c>
      <c r="BO31" s="25">
        <v>42.917218660616193</v>
      </c>
      <c r="BP31" s="25">
        <v>1.2398895556709761</v>
      </c>
      <c r="BQ31" s="25">
        <v>372.68888795564266</v>
      </c>
      <c r="BR31" s="25">
        <v>319.37331384252718</v>
      </c>
      <c r="BS31" s="25">
        <v>159.336749704027</v>
      </c>
      <c r="BT31" s="25">
        <v>3521.2986065344753</v>
      </c>
      <c r="BU31" s="25">
        <v>8425.784091602638</v>
      </c>
      <c r="BV31" s="25">
        <v>17.09677444069024</v>
      </c>
      <c r="BW31" s="25">
        <v>404.31235908193423</v>
      </c>
      <c r="BX31" s="25">
        <v>0</v>
      </c>
      <c r="BY31" s="25">
        <v>21079.533789824818</v>
      </c>
      <c r="BZ31" s="25">
        <v>3220.0470717150952</v>
      </c>
      <c r="CA31" s="25">
        <v>5793.2843616481869</v>
      </c>
      <c r="CB31" s="25">
        <v>0</v>
      </c>
      <c r="CC31" s="25">
        <v>40030.055492508189</v>
      </c>
      <c r="CD31" s="25">
        <v>1351.8377898639048</v>
      </c>
      <c r="CE31" s="25">
        <v>4769.2414944475986</v>
      </c>
      <c r="CF31" s="25">
        <v>55164.466210182982</v>
      </c>
      <c r="CG31" s="25">
        <v>76244</v>
      </c>
      <c r="CH31"/>
      <c r="CI31">
        <f t="shared" si="0"/>
        <v>0.72352534245557665</v>
      </c>
      <c r="CJ31"/>
      <c r="CK31"/>
      <c r="CL31"/>
      <c r="CM31"/>
      <c r="CN31"/>
      <c r="CO31"/>
      <c r="CP31"/>
      <c r="CQ31"/>
      <c r="CR31"/>
      <c r="CS31"/>
      <c r="CT31"/>
      <c r="CU31"/>
    </row>
    <row r="32" spans="1:99" s="5" customFormat="1" x14ac:dyDescent="0.3">
      <c r="A32" s="35" t="s">
        <v>36</v>
      </c>
      <c r="B32" s="11" t="s">
        <v>110</v>
      </c>
      <c r="C32" s="5">
        <v>27</v>
      </c>
      <c r="D32" s="25">
        <v>698.19120611355686</v>
      </c>
      <c r="E32" s="25">
        <v>235.00732894487612</v>
      </c>
      <c r="F32" s="25">
        <v>46.570392897485277</v>
      </c>
      <c r="G32" s="25">
        <v>145.47520267504802</v>
      </c>
      <c r="H32" s="25">
        <v>191.68712516730781</v>
      </c>
      <c r="I32" s="25">
        <v>734.8401183638382</v>
      </c>
      <c r="J32" s="25">
        <v>72.852895045306624</v>
      </c>
      <c r="K32" s="25">
        <v>2835.2781442329774</v>
      </c>
      <c r="L32" s="25">
        <v>123.23956835726558</v>
      </c>
      <c r="M32" s="25">
        <v>8166.6726624034654</v>
      </c>
      <c r="N32" s="25">
        <v>2823.5616616332836</v>
      </c>
      <c r="O32" s="25">
        <v>5.829172542163934</v>
      </c>
      <c r="P32" s="25">
        <v>242.18885067809185</v>
      </c>
      <c r="Q32" s="25">
        <v>198.43575550260184</v>
      </c>
      <c r="R32" s="25">
        <v>712.23020966267848</v>
      </c>
      <c r="S32" s="25">
        <v>266.74123173073173</v>
      </c>
      <c r="T32" s="25">
        <v>738.6273624387095</v>
      </c>
      <c r="U32" s="25">
        <v>733.41383985966013</v>
      </c>
      <c r="V32" s="25">
        <v>110.29826111510954</v>
      </c>
      <c r="W32" s="25">
        <v>2.8397278939999633</v>
      </c>
      <c r="X32" s="25">
        <v>0.45112675088901755</v>
      </c>
      <c r="Y32" s="25">
        <v>43.249097984475434</v>
      </c>
      <c r="Z32" s="25">
        <v>1403.928516481019</v>
      </c>
      <c r="AA32" s="25">
        <v>719.21446758915226</v>
      </c>
      <c r="AB32" s="25">
        <v>1682.385729724693</v>
      </c>
      <c r="AC32" s="25">
        <v>463.56477141687969</v>
      </c>
      <c r="AD32" s="25">
        <v>14371.991843298307</v>
      </c>
      <c r="AE32" s="25">
        <v>1850.3009085535984</v>
      </c>
      <c r="AF32" s="25">
        <v>520.8080440186443</v>
      </c>
      <c r="AG32" s="25">
        <v>57.315708493171336</v>
      </c>
      <c r="AH32" s="25">
        <v>828.61201432061296</v>
      </c>
      <c r="AI32" s="25">
        <v>912.98050464519679</v>
      </c>
      <c r="AJ32" s="25">
        <v>1826.2680802120797</v>
      </c>
      <c r="AK32" s="25">
        <v>2015.725779141412</v>
      </c>
      <c r="AL32" s="25">
        <v>8176.9329043593352</v>
      </c>
      <c r="AM32" s="25">
        <v>3620.2689161006506</v>
      </c>
      <c r="AN32" s="25">
        <v>922.26891684546194</v>
      </c>
      <c r="AO32" s="25">
        <v>2285.0354996915526</v>
      </c>
      <c r="AP32" s="25">
        <v>1454.4904347081451</v>
      </c>
      <c r="AQ32" s="25">
        <v>257.62247831813414</v>
      </c>
      <c r="AR32" s="25">
        <v>42.082865879443538</v>
      </c>
      <c r="AS32" s="25">
        <v>30.150802995699234</v>
      </c>
      <c r="AT32" s="25">
        <v>7.1900259126368766</v>
      </c>
      <c r="AU32" s="25">
        <v>429.33990256957657</v>
      </c>
      <c r="AV32" s="25">
        <v>12177.286383342467</v>
      </c>
      <c r="AW32" s="25">
        <v>1941.0435905118864</v>
      </c>
      <c r="AX32" s="25">
        <v>6198.7944490538466</v>
      </c>
      <c r="AY32" s="40">
        <v>5894.515874999357</v>
      </c>
      <c r="AZ32" s="25">
        <v>4.6589395894430004</v>
      </c>
      <c r="BA32" s="25">
        <v>696.32353467204223</v>
      </c>
      <c r="BB32" s="25">
        <v>156.37460688129173</v>
      </c>
      <c r="BC32" s="25">
        <v>35.118482091435013</v>
      </c>
      <c r="BD32" s="25">
        <v>615.7715407016625</v>
      </c>
      <c r="BE32" s="25">
        <v>13.98893549175458</v>
      </c>
      <c r="BF32" s="25">
        <v>9.2621639740128554</v>
      </c>
      <c r="BG32" s="25">
        <v>34.376200596067932</v>
      </c>
      <c r="BH32" s="25">
        <v>32.765046656742619</v>
      </c>
      <c r="BI32" s="25">
        <v>107.3241552362624</v>
      </c>
      <c r="BJ32" s="25">
        <v>147.82293033399088</v>
      </c>
      <c r="BK32" s="25">
        <v>554.69942201469837</v>
      </c>
      <c r="BL32" s="25">
        <v>36.239847887767361</v>
      </c>
      <c r="BM32" s="25">
        <v>32.213399284135718</v>
      </c>
      <c r="BN32" s="25">
        <v>323.86813982315834</v>
      </c>
      <c r="BO32" s="25">
        <v>604.7309315345027</v>
      </c>
      <c r="BP32" s="25">
        <v>4.7775075772886808</v>
      </c>
      <c r="BQ32" s="25">
        <v>220.0332257609727</v>
      </c>
      <c r="BR32" s="25">
        <v>214.32989186945926</v>
      </c>
      <c r="BS32" s="25">
        <v>57.369330350965733</v>
      </c>
      <c r="BT32" s="25">
        <v>570.95267173392745</v>
      </c>
      <c r="BU32" s="25">
        <v>669.58857904486888</v>
      </c>
      <c r="BV32" s="25">
        <v>45.98435367952267</v>
      </c>
      <c r="BW32" s="25">
        <v>182.77788191994347</v>
      </c>
      <c r="BX32" s="25">
        <v>0</v>
      </c>
      <c r="BY32" s="25">
        <v>94589.152073882418</v>
      </c>
      <c r="BZ32" s="25">
        <v>9260.7613637163904</v>
      </c>
      <c r="CA32" s="25">
        <v>2.8306752376408211</v>
      </c>
      <c r="CB32" s="25">
        <v>0</v>
      </c>
      <c r="CC32" s="25">
        <v>15552.936104406237</v>
      </c>
      <c r="CD32" s="25">
        <v>1309.9414793030776</v>
      </c>
      <c r="CE32" s="25">
        <v>501.37830351136915</v>
      </c>
      <c r="CF32" s="25">
        <v>26627.847926174709</v>
      </c>
      <c r="CG32" s="25">
        <v>121217</v>
      </c>
      <c r="CH32"/>
      <c r="CI32">
        <f t="shared" si="0"/>
        <v>0.21967090363706995</v>
      </c>
      <c r="CJ32"/>
      <c r="CK32"/>
      <c r="CL32"/>
      <c r="CM32"/>
      <c r="CN32"/>
      <c r="CO32"/>
      <c r="CP32"/>
      <c r="CQ32"/>
      <c r="CR32"/>
      <c r="CS32"/>
      <c r="CT32"/>
      <c r="CU32"/>
    </row>
    <row r="33" spans="1:99" s="5" customFormat="1" x14ac:dyDescent="0.3">
      <c r="A33" s="35" t="s">
        <v>37</v>
      </c>
      <c r="B33" s="11" t="s">
        <v>111</v>
      </c>
      <c r="C33" s="5">
        <v>28</v>
      </c>
      <c r="D33" s="25">
        <v>3226.6687640198024</v>
      </c>
      <c r="E33" s="25">
        <v>1972.1846466853069</v>
      </c>
      <c r="F33" s="25">
        <v>72.877293509869219</v>
      </c>
      <c r="G33" s="25">
        <v>80.016722424721706</v>
      </c>
      <c r="H33" s="25">
        <v>109.45919841985923</v>
      </c>
      <c r="I33" s="25">
        <v>21.621880852486001</v>
      </c>
      <c r="J33" s="25">
        <v>13.352698780297077</v>
      </c>
      <c r="K33" s="25">
        <v>52.312554887290922</v>
      </c>
      <c r="L33" s="25">
        <v>88.041649780684097</v>
      </c>
      <c r="M33" s="25">
        <v>1536.0830523442648</v>
      </c>
      <c r="N33" s="25">
        <v>1582.2384854228314</v>
      </c>
      <c r="O33" s="25">
        <v>1.8768220231117665</v>
      </c>
      <c r="P33" s="25">
        <v>19.839803647830244</v>
      </c>
      <c r="Q33" s="25">
        <v>18.911342306526265</v>
      </c>
      <c r="R33" s="25">
        <v>14.029681776340363</v>
      </c>
      <c r="S33" s="25">
        <v>17.490177036427415</v>
      </c>
      <c r="T33" s="25">
        <v>282.77739773770696</v>
      </c>
      <c r="U33" s="25">
        <v>18.736911839665925</v>
      </c>
      <c r="V33" s="25">
        <v>26.429532859749521</v>
      </c>
      <c r="W33" s="25">
        <v>0.67964277464125677</v>
      </c>
      <c r="X33" s="25">
        <v>0.13850613215398211</v>
      </c>
      <c r="Y33" s="25">
        <v>16.320967501032175</v>
      </c>
      <c r="Z33" s="25">
        <v>717.09186867233325</v>
      </c>
      <c r="AA33" s="25">
        <v>233.06966703324008</v>
      </c>
      <c r="AB33" s="25">
        <v>355.94990063936473</v>
      </c>
      <c r="AC33" s="25">
        <v>84.726938422113179</v>
      </c>
      <c r="AD33" s="25">
        <v>536.72902195180097</v>
      </c>
      <c r="AE33" s="25">
        <v>6686.5697862867073</v>
      </c>
      <c r="AF33" s="25">
        <v>367.26831486127037</v>
      </c>
      <c r="AG33" s="25">
        <v>31.73029883522404</v>
      </c>
      <c r="AH33" s="25">
        <v>183.79941086548772</v>
      </c>
      <c r="AI33" s="25">
        <v>22.689635819994468</v>
      </c>
      <c r="AJ33" s="25">
        <v>295.70222707877946</v>
      </c>
      <c r="AK33" s="25">
        <v>261.0159851513319</v>
      </c>
      <c r="AL33" s="25">
        <v>1978.3926141810778</v>
      </c>
      <c r="AM33" s="25">
        <v>128.52289427386165</v>
      </c>
      <c r="AN33" s="25">
        <v>154.58344410879093</v>
      </c>
      <c r="AO33" s="25">
        <v>460.50864961272919</v>
      </c>
      <c r="AP33" s="25">
        <v>243.22035988888976</v>
      </c>
      <c r="AQ33" s="25">
        <v>1495.2882188879971</v>
      </c>
      <c r="AR33" s="25">
        <v>167.56233981372128</v>
      </c>
      <c r="AS33" s="25">
        <v>117.65398097427043</v>
      </c>
      <c r="AT33" s="25">
        <v>35.35863036801409</v>
      </c>
      <c r="AU33" s="25">
        <v>852.51409957975102</v>
      </c>
      <c r="AV33" s="25">
        <v>42784.119505397124</v>
      </c>
      <c r="AW33" s="25">
        <v>251.57376722144124</v>
      </c>
      <c r="AX33" s="25">
        <v>339.43383395070703</v>
      </c>
      <c r="AY33" s="40">
        <v>33.648526235011985</v>
      </c>
      <c r="AZ33" s="25">
        <v>1.0867094734381257</v>
      </c>
      <c r="BA33" s="25">
        <v>1.2122493018562257</v>
      </c>
      <c r="BB33" s="25">
        <v>29.991674658193084</v>
      </c>
      <c r="BC33" s="25">
        <v>193.48775210266331</v>
      </c>
      <c r="BD33" s="25">
        <v>697.94863584780944</v>
      </c>
      <c r="BE33" s="25">
        <v>4.4716513566204199</v>
      </c>
      <c r="BF33" s="25">
        <v>6.4131467835155966</v>
      </c>
      <c r="BG33" s="25">
        <v>18.124562629642888</v>
      </c>
      <c r="BH33" s="25">
        <v>15.212772014869019</v>
      </c>
      <c r="BI33" s="25">
        <v>38.445138389401741</v>
      </c>
      <c r="BJ33" s="25">
        <v>2315.1624154053834</v>
      </c>
      <c r="BK33" s="25">
        <v>40.037059494106373</v>
      </c>
      <c r="BL33" s="25">
        <v>19.614387119363023</v>
      </c>
      <c r="BM33" s="25">
        <v>10.094006645153572</v>
      </c>
      <c r="BN33" s="25">
        <v>9.9452630649684899</v>
      </c>
      <c r="BO33" s="25">
        <v>141.16937517254061</v>
      </c>
      <c r="BP33" s="25">
        <v>2.0603812178307388</v>
      </c>
      <c r="BQ33" s="25">
        <v>393.17710528430001</v>
      </c>
      <c r="BR33" s="25">
        <v>139.31583223193502</v>
      </c>
      <c r="BS33" s="25">
        <v>33.413336488114204</v>
      </c>
      <c r="BT33" s="25">
        <v>156.09208961815213</v>
      </c>
      <c r="BU33" s="25">
        <v>169.65803116002317</v>
      </c>
      <c r="BV33" s="25">
        <v>26.101550976804859</v>
      </c>
      <c r="BW33" s="25">
        <v>262.04607157909732</v>
      </c>
      <c r="BX33" s="25">
        <v>0</v>
      </c>
      <c r="BY33" s="25">
        <v>72715.092850889429</v>
      </c>
      <c r="BZ33" s="25">
        <v>6379.5178163791115</v>
      </c>
      <c r="CA33" s="25">
        <v>20.93134617736758</v>
      </c>
      <c r="CB33" s="25">
        <v>0</v>
      </c>
      <c r="CC33" s="25">
        <v>3801.7963606619746</v>
      </c>
      <c r="CD33" s="25">
        <v>838.13624005501333</v>
      </c>
      <c r="CE33" s="25">
        <v>132.49279340700829</v>
      </c>
      <c r="CF33" s="25">
        <v>11172.874556680477</v>
      </c>
      <c r="CG33" s="25">
        <v>83888</v>
      </c>
      <c r="CH33"/>
      <c r="CI33">
        <f t="shared" si="0"/>
        <v>0.13318799538289716</v>
      </c>
      <c r="CJ33"/>
      <c r="CK33"/>
      <c r="CL33"/>
      <c r="CM33"/>
      <c r="CN33"/>
      <c r="CO33"/>
      <c r="CP33"/>
      <c r="CQ33"/>
      <c r="CR33"/>
      <c r="CS33"/>
      <c r="CT33"/>
      <c r="CU33"/>
    </row>
    <row r="34" spans="1:99" s="5" customFormat="1" x14ac:dyDescent="0.3">
      <c r="A34" s="35" t="s">
        <v>38</v>
      </c>
      <c r="B34" s="11" t="s">
        <v>112</v>
      </c>
      <c r="C34" s="5">
        <v>29</v>
      </c>
      <c r="D34" s="25">
        <v>262.77487490120808</v>
      </c>
      <c r="E34" s="25">
        <v>389.14382094835344</v>
      </c>
      <c r="F34" s="25">
        <v>24.861677123088111</v>
      </c>
      <c r="G34" s="25">
        <v>113.51703967096056</v>
      </c>
      <c r="H34" s="25">
        <v>3616.2850138062472</v>
      </c>
      <c r="I34" s="25">
        <v>64.496318466896241</v>
      </c>
      <c r="J34" s="25">
        <v>85.483991748870636</v>
      </c>
      <c r="K34" s="25">
        <v>355.10058144947982</v>
      </c>
      <c r="L34" s="25">
        <v>4.7280076742069888</v>
      </c>
      <c r="M34" s="25">
        <v>200.57533441688471</v>
      </c>
      <c r="N34" s="25">
        <v>156.43377122094105</v>
      </c>
      <c r="O34" s="25">
        <v>1.2409764476693355</v>
      </c>
      <c r="P34" s="25">
        <v>30.136722312705164</v>
      </c>
      <c r="Q34" s="25">
        <v>8.0622740441151652</v>
      </c>
      <c r="R34" s="25">
        <v>13.431865682368388</v>
      </c>
      <c r="S34" s="25">
        <v>33.806226133621998</v>
      </c>
      <c r="T34" s="25">
        <v>236.38040773334802</v>
      </c>
      <c r="U34" s="25">
        <v>6.9742808921860036</v>
      </c>
      <c r="V34" s="25">
        <v>66.478280704690562</v>
      </c>
      <c r="W34" s="25">
        <v>1.7183629213929548</v>
      </c>
      <c r="X34" s="25">
        <v>1.1909279822380454</v>
      </c>
      <c r="Y34" s="25">
        <v>7.4335377451803559</v>
      </c>
      <c r="Z34" s="25">
        <v>143.92891343511951</v>
      </c>
      <c r="AA34" s="25">
        <v>90.576787952850779</v>
      </c>
      <c r="AB34" s="25">
        <v>67.684946322771268</v>
      </c>
      <c r="AC34" s="25">
        <v>24.284205695667726</v>
      </c>
      <c r="AD34" s="25">
        <v>1085.0757056905613</v>
      </c>
      <c r="AE34" s="25">
        <v>918.01495045593583</v>
      </c>
      <c r="AF34" s="25">
        <v>14070.167484113746</v>
      </c>
      <c r="AG34" s="25">
        <v>865.5929831333525</v>
      </c>
      <c r="AH34" s="25">
        <v>19426.164634091354</v>
      </c>
      <c r="AI34" s="25">
        <v>103.61819134564952</v>
      </c>
      <c r="AJ34" s="25">
        <v>3103.4381576164037</v>
      </c>
      <c r="AK34" s="25">
        <v>8993.6737730102705</v>
      </c>
      <c r="AL34" s="25">
        <v>6495.5526987204094</v>
      </c>
      <c r="AM34" s="25">
        <v>8849.4907759703383</v>
      </c>
      <c r="AN34" s="25">
        <v>896.68640931363495</v>
      </c>
      <c r="AO34" s="25">
        <v>1379.4853913523034</v>
      </c>
      <c r="AP34" s="25">
        <v>1483.4772812125625</v>
      </c>
      <c r="AQ34" s="25">
        <v>317.09454163488385</v>
      </c>
      <c r="AR34" s="25">
        <v>48.841654763107798</v>
      </c>
      <c r="AS34" s="25">
        <v>34.900789974945432</v>
      </c>
      <c r="AT34" s="25">
        <v>18.590943744459455</v>
      </c>
      <c r="AU34" s="25">
        <v>146.56725510669389</v>
      </c>
      <c r="AV34" s="25">
        <v>14400.858593455139</v>
      </c>
      <c r="AW34" s="25">
        <v>81.855239860334919</v>
      </c>
      <c r="AX34" s="25">
        <v>1901.4122131718241</v>
      </c>
      <c r="AY34" s="40">
        <v>60.413187154614938</v>
      </c>
      <c r="AZ34" s="25">
        <v>1.4900687416786664</v>
      </c>
      <c r="BA34" s="25">
        <v>1.6712751649615303</v>
      </c>
      <c r="BB34" s="25">
        <v>42.736558296703052</v>
      </c>
      <c r="BC34" s="25">
        <v>20.594870079057586</v>
      </c>
      <c r="BD34" s="25">
        <v>158.90557154996668</v>
      </c>
      <c r="BE34" s="25">
        <v>2.3018929355692039</v>
      </c>
      <c r="BF34" s="25">
        <v>6.1660230515715053</v>
      </c>
      <c r="BG34" s="25">
        <v>27.881213618922335</v>
      </c>
      <c r="BH34" s="25">
        <v>50.211721861632164</v>
      </c>
      <c r="BI34" s="25">
        <v>63.325796415418466</v>
      </c>
      <c r="BJ34" s="25">
        <v>69.94535818607865</v>
      </c>
      <c r="BK34" s="25">
        <v>63.394797487021648</v>
      </c>
      <c r="BL34" s="25">
        <v>38.642701920171497</v>
      </c>
      <c r="BM34" s="25">
        <v>13.404671992392238</v>
      </c>
      <c r="BN34" s="25">
        <v>268.2220937387342</v>
      </c>
      <c r="BO34" s="25">
        <v>60.127341360609051</v>
      </c>
      <c r="BP34" s="25">
        <v>6.5359951349295251</v>
      </c>
      <c r="BQ34" s="25">
        <v>225.94611889172501</v>
      </c>
      <c r="BR34" s="25">
        <v>45.68987250199735</v>
      </c>
      <c r="BS34" s="25">
        <v>57.425109941081196</v>
      </c>
      <c r="BT34" s="25">
        <v>23.138290164487152</v>
      </c>
      <c r="BU34" s="25">
        <v>36.675005037113721</v>
      </c>
      <c r="BV34" s="25">
        <v>44.724982916536767</v>
      </c>
      <c r="BW34" s="25">
        <v>49.112857699699489</v>
      </c>
      <c r="BX34" s="25">
        <v>0</v>
      </c>
      <c r="BY34" s="25">
        <v>92065.972191013629</v>
      </c>
      <c r="BZ34" s="25">
        <v>46158.066289483351</v>
      </c>
      <c r="CA34" s="25">
        <v>0.14070934149824033</v>
      </c>
      <c r="CB34" s="25">
        <v>0</v>
      </c>
      <c r="CC34" s="25">
        <v>1916.0339776157098</v>
      </c>
      <c r="CD34" s="25">
        <v>796.3263504396059</v>
      </c>
      <c r="CE34" s="25">
        <v>9128.4929998032985</v>
      </c>
      <c r="CF34" s="25">
        <v>57999.060326683466</v>
      </c>
      <c r="CG34" s="25">
        <v>150065</v>
      </c>
      <c r="CH34"/>
      <c r="CI34">
        <f t="shared" si="0"/>
        <v>0.38649292191172802</v>
      </c>
      <c r="CJ34"/>
      <c r="CK34"/>
      <c r="CL34"/>
      <c r="CM34"/>
      <c r="CN34"/>
      <c r="CO34"/>
      <c r="CP34"/>
      <c r="CQ34"/>
      <c r="CR34"/>
      <c r="CS34"/>
      <c r="CT34"/>
      <c r="CU34"/>
    </row>
    <row r="35" spans="1:99" s="5" customFormat="1" x14ac:dyDescent="0.3">
      <c r="A35" s="35" t="s">
        <v>39</v>
      </c>
      <c r="B35" s="13" t="s">
        <v>113</v>
      </c>
      <c r="C35" s="5">
        <v>30</v>
      </c>
      <c r="D35" s="25">
        <v>327.99913936802051</v>
      </c>
      <c r="E35" s="25">
        <v>72.250793338860731</v>
      </c>
      <c r="F35" s="25">
        <v>4.8815266886388011</v>
      </c>
      <c r="G35" s="25">
        <v>10.375022654183512</v>
      </c>
      <c r="H35" s="25">
        <v>180.42286532008069</v>
      </c>
      <c r="I35" s="25">
        <v>29.021051387653834</v>
      </c>
      <c r="J35" s="25">
        <v>102.39930347838519</v>
      </c>
      <c r="K35" s="25">
        <v>354.40531758858458</v>
      </c>
      <c r="L35" s="25">
        <v>7.2109333412315229</v>
      </c>
      <c r="M35" s="25">
        <v>602.09009563007453</v>
      </c>
      <c r="N35" s="25">
        <v>32.250182638806891</v>
      </c>
      <c r="O35" s="25">
        <v>1.249238110229435</v>
      </c>
      <c r="P35" s="25">
        <v>17.706035821288815</v>
      </c>
      <c r="Q35" s="25">
        <v>11.292353214133229</v>
      </c>
      <c r="R35" s="25">
        <v>15.895323620406913</v>
      </c>
      <c r="S35" s="25">
        <v>6.2209216869208346</v>
      </c>
      <c r="T35" s="25">
        <v>418.18347196756122</v>
      </c>
      <c r="U35" s="25">
        <v>226.12039413865162</v>
      </c>
      <c r="V35" s="25">
        <v>12.350050514104892</v>
      </c>
      <c r="W35" s="25">
        <v>0.31704527153795725</v>
      </c>
      <c r="X35" s="25">
        <v>1.4715075875442175E-2</v>
      </c>
      <c r="Y35" s="25">
        <v>4.8119872977488161</v>
      </c>
      <c r="Z35" s="25">
        <v>1343.6894181396908</v>
      </c>
      <c r="AA35" s="25">
        <v>360.21696983007155</v>
      </c>
      <c r="AB35" s="25">
        <v>79.745506097122131</v>
      </c>
      <c r="AC35" s="25">
        <v>29.644662270870597</v>
      </c>
      <c r="AD35" s="25">
        <v>126.34320164265912</v>
      </c>
      <c r="AE35" s="25">
        <v>182.45188893447718</v>
      </c>
      <c r="AF35" s="25">
        <v>2111.108676181344</v>
      </c>
      <c r="AG35" s="25">
        <v>11749.075941649333</v>
      </c>
      <c r="AH35" s="25">
        <v>2337.2706167083024</v>
      </c>
      <c r="AI35" s="25">
        <v>167.97259126204719</v>
      </c>
      <c r="AJ35" s="25">
        <v>6409.1056619833316</v>
      </c>
      <c r="AK35" s="25">
        <v>1968.9882410056684</v>
      </c>
      <c r="AL35" s="25">
        <v>757.11977571910666</v>
      </c>
      <c r="AM35" s="25">
        <v>4903.931180969942</v>
      </c>
      <c r="AN35" s="25">
        <v>964.62693919228559</v>
      </c>
      <c r="AO35" s="25">
        <v>2079.0499101657547</v>
      </c>
      <c r="AP35" s="25">
        <v>1657.283728959869</v>
      </c>
      <c r="AQ35" s="25">
        <v>69.002081610024248</v>
      </c>
      <c r="AR35" s="25">
        <v>11.271552718358691</v>
      </c>
      <c r="AS35" s="25">
        <v>8.0756469020062092</v>
      </c>
      <c r="AT35" s="25">
        <v>5.7094104798331182</v>
      </c>
      <c r="AU35" s="25">
        <v>151.00308742831047</v>
      </c>
      <c r="AV35" s="25">
        <v>2671.7048955719752</v>
      </c>
      <c r="AW35" s="25">
        <v>671.10615408548813</v>
      </c>
      <c r="AX35" s="25">
        <v>636.6349535863468</v>
      </c>
      <c r="AY35" s="40">
        <v>91.163800065008417</v>
      </c>
      <c r="AZ35" s="25">
        <v>1.8181176656353912</v>
      </c>
      <c r="BA35" s="25">
        <v>1.8591240708545662</v>
      </c>
      <c r="BB35" s="25">
        <v>42.485350775409039</v>
      </c>
      <c r="BC35" s="25">
        <v>18.822651646658375</v>
      </c>
      <c r="BD35" s="25">
        <v>102.32219762667414</v>
      </c>
      <c r="BE35" s="25">
        <v>3.0964801188327877</v>
      </c>
      <c r="BF35" s="25">
        <v>7.3669021801213646</v>
      </c>
      <c r="BG35" s="25">
        <v>35.696866995587122</v>
      </c>
      <c r="BH35" s="25">
        <v>27.292073316278188</v>
      </c>
      <c r="BI35" s="25">
        <v>75.757469827224114</v>
      </c>
      <c r="BJ35" s="25">
        <v>78.546779463190731</v>
      </c>
      <c r="BK35" s="25">
        <v>77.794108543142215</v>
      </c>
      <c r="BL35" s="25">
        <v>15.782527297828176</v>
      </c>
      <c r="BM35" s="25">
        <v>17.582062203019539</v>
      </c>
      <c r="BN35" s="25">
        <v>18.870314441633383</v>
      </c>
      <c r="BO35" s="25">
        <v>61.924189362876774</v>
      </c>
      <c r="BP35" s="25">
        <v>4.3873217304488907</v>
      </c>
      <c r="BQ35" s="25">
        <v>65.879991597722096</v>
      </c>
      <c r="BR35" s="25">
        <v>18.172085755498685</v>
      </c>
      <c r="BS35" s="25">
        <v>68.052447976203183</v>
      </c>
      <c r="BT35" s="25">
        <v>29.028014235441432</v>
      </c>
      <c r="BU35" s="25">
        <v>117.57291313680243</v>
      </c>
      <c r="BV35" s="25">
        <v>53.270977373438818</v>
      </c>
      <c r="BW35" s="25">
        <v>82.363751686010772</v>
      </c>
      <c r="BX35" s="25">
        <v>0</v>
      </c>
      <c r="BY35" s="25">
        <v>45006.508980338731</v>
      </c>
      <c r="BZ35" s="25">
        <v>24409.736203094599</v>
      </c>
      <c r="CA35" s="25">
        <v>0.72163790854097531</v>
      </c>
      <c r="CB35" s="25">
        <v>0</v>
      </c>
      <c r="CC35" s="25">
        <v>2076.5017925826296</v>
      </c>
      <c r="CD35" s="25">
        <v>474.42621675924852</v>
      </c>
      <c r="CE35" s="25">
        <v>1180.1051693774962</v>
      </c>
      <c r="CF35" s="25">
        <v>28141.491019722518</v>
      </c>
      <c r="CG35" s="25">
        <v>73148</v>
      </c>
      <c r="CH35"/>
      <c r="CI35">
        <f t="shared" si="0"/>
        <v>0.38471989691751679</v>
      </c>
      <c r="CJ35"/>
      <c r="CK35"/>
      <c r="CL35"/>
      <c r="CM35"/>
      <c r="CN35"/>
      <c r="CO35"/>
      <c r="CP35"/>
      <c r="CQ35"/>
      <c r="CR35"/>
      <c r="CS35"/>
      <c r="CT35"/>
      <c r="CU35"/>
    </row>
    <row r="36" spans="1:99" s="5" customFormat="1" x14ac:dyDescent="0.3">
      <c r="A36" s="35" t="s">
        <v>40</v>
      </c>
      <c r="B36" s="11" t="s">
        <v>114</v>
      </c>
      <c r="C36" s="5">
        <v>31</v>
      </c>
      <c r="D36" s="25">
        <v>499.03628505811298</v>
      </c>
      <c r="E36" s="25">
        <v>637.12694209635652</v>
      </c>
      <c r="F36" s="25">
        <v>57.088750630363855</v>
      </c>
      <c r="G36" s="25">
        <v>52.952040829475806</v>
      </c>
      <c r="H36" s="25">
        <v>1814.6536215008716</v>
      </c>
      <c r="I36" s="25">
        <v>970.82498575716988</v>
      </c>
      <c r="J36" s="25">
        <v>218.88176946240205</v>
      </c>
      <c r="K36" s="25">
        <v>2499.7225235243782</v>
      </c>
      <c r="L36" s="25">
        <v>62.75998562979516</v>
      </c>
      <c r="M36" s="25">
        <v>2501.0728529116341</v>
      </c>
      <c r="N36" s="25">
        <v>3555.6146147296681</v>
      </c>
      <c r="O36" s="25">
        <v>16.308338771807708</v>
      </c>
      <c r="P36" s="25">
        <v>79.145719613613068</v>
      </c>
      <c r="Q36" s="25">
        <v>77.703656720160751</v>
      </c>
      <c r="R36" s="25">
        <v>60.610064535476013</v>
      </c>
      <c r="S36" s="25">
        <v>496.23164713675953</v>
      </c>
      <c r="T36" s="25">
        <v>162.77405936276381</v>
      </c>
      <c r="U36" s="25">
        <v>29.804839803181981</v>
      </c>
      <c r="V36" s="25">
        <v>328.88779661054275</v>
      </c>
      <c r="W36" s="25">
        <v>8.4721673703899363</v>
      </c>
      <c r="X36" s="25">
        <v>1.5267308346648152</v>
      </c>
      <c r="Y36" s="25">
        <v>64.505842004050564</v>
      </c>
      <c r="Z36" s="25">
        <v>525.29841647542776</v>
      </c>
      <c r="AA36" s="25">
        <v>703.8833960647429</v>
      </c>
      <c r="AB36" s="25">
        <v>951.83371164547657</v>
      </c>
      <c r="AC36" s="25">
        <v>152.41254261647069</v>
      </c>
      <c r="AD36" s="25">
        <v>348.73827152680923</v>
      </c>
      <c r="AE36" s="25">
        <v>220.63956139277727</v>
      </c>
      <c r="AF36" s="25">
        <v>2342.1473751097342</v>
      </c>
      <c r="AG36" s="25">
        <v>326.6653644321986</v>
      </c>
      <c r="AH36" s="25">
        <v>7361.8054361951226</v>
      </c>
      <c r="AI36" s="25">
        <v>902.08353170762268</v>
      </c>
      <c r="AJ36" s="25">
        <v>2162.8145510773961</v>
      </c>
      <c r="AK36" s="25">
        <v>4771.1427326245075</v>
      </c>
      <c r="AL36" s="25">
        <v>3775.924864909698</v>
      </c>
      <c r="AM36" s="25">
        <v>2345.50367768453</v>
      </c>
      <c r="AN36" s="25">
        <v>1733.9023951047222</v>
      </c>
      <c r="AO36" s="25">
        <v>1303.9481297997327</v>
      </c>
      <c r="AP36" s="25">
        <v>3247.3970161486754</v>
      </c>
      <c r="AQ36" s="25">
        <v>2060.5089523095462</v>
      </c>
      <c r="AR36" s="25">
        <v>336.58600930139283</v>
      </c>
      <c r="AS36" s="25">
        <v>241.15131527941159</v>
      </c>
      <c r="AT36" s="25">
        <v>97.752219723145572</v>
      </c>
      <c r="AU36" s="25">
        <v>490.86422926250992</v>
      </c>
      <c r="AV36" s="25">
        <v>19392.368145482073</v>
      </c>
      <c r="AW36" s="25">
        <v>394.15467546623591</v>
      </c>
      <c r="AX36" s="25">
        <v>1607.2339617656201</v>
      </c>
      <c r="AY36" s="40">
        <v>165.62452290215185</v>
      </c>
      <c r="AZ36" s="25">
        <v>11.291258408826058</v>
      </c>
      <c r="BA36" s="25">
        <v>4.9721684573621596</v>
      </c>
      <c r="BB36" s="25">
        <v>39.906178766243947</v>
      </c>
      <c r="BC36" s="25">
        <v>145.16607066701616</v>
      </c>
      <c r="BD36" s="25">
        <v>2131.8181059376038</v>
      </c>
      <c r="BE36" s="25">
        <v>3.6640066010629329</v>
      </c>
      <c r="BF36" s="25">
        <v>14.896721986389956</v>
      </c>
      <c r="BG36" s="25">
        <v>37.318672141584791</v>
      </c>
      <c r="BH36" s="25">
        <v>19.608032537303366</v>
      </c>
      <c r="BI36" s="25">
        <v>30.890878483922169</v>
      </c>
      <c r="BJ36" s="25">
        <v>417.59228118910988</v>
      </c>
      <c r="BK36" s="25">
        <v>42.951420057865775</v>
      </c>
      <c r="BL36" s="25">
        <v>29.159298362870132</v>
      </c>
      <c r="BM36" s="25">
        <v>9.5612587580921069</v>
      </c>
      <c r="BN36" s="25">
        <v>20.303370527721775</v>
      </c>
      <c r="BO36" s="25">
        <v>345.61408488534687</v>
      </c>
      <c r="BP36" s="25">
        <v>82.701262208247783</v>
      </c>
      <c r="BQ36" s="25">
        <v>962.37641768483877</v>
      </c>
      <c r="BR36" s="25">
        <v>83.657045495636225</v>
      </c>
      <c r="BS36" s="25">
        <v>24.911509409303836</v>
      </c>
      <c r="BT36" s="25">
        <v>117.28027098763397</v>
      </c>
      <c r="BU36" s="25">
        <v>70.172173948849206</v>
      </c>
      <c r="BV36" s="25">
        <v>22.595159042015471</v>
      </c>
      <c r="BW36" s="25">
        <v>109.12298613270755</v>
      </c>
      <c r="BX36" s="25">
        <v>0</v>
      </c>
      <c r="BY36" s="25">
        <v>76935.620873578911</v>
      </c>
      <c r="BZ36" s="25">
        <v>7329.3582152390518</v>
      </c>
      <c r="CA36" s="25">
        <v>1.2784448741840122</v>
      </c>
      <c r="CB36" s="25">
        <v>0</v>
      </c>
      <c r="CC36" s="25">
        <v>12109.882380664789</v>
      </c>
      <c r="CD36" s="25">
        <v>7061.8193036540324</v>
      </c>
      <c r="CE36" s="25">
        <v>-1483.9592179850076</v>
      </c>
      <c r="CF36" s="25">
        <v>25018.379126447049</v>
      </c>
      <c r="CG36" s="25">
        <v>101954</v>
      </c>
      <c r="CH36"/>
      <c r="CI36">
        <f t="shared" si="0"/>
        <v>0.24538889230875738</v>
      </c>
      <c r="CJ36"/>
      <c r="CK36"/>
      <c r="CL36"/>
      <c r="CM36"/>
      <c r="CN36"/>
      <c r="CO36"/>
      <c r="CP36"/>
      <c r="CQ36"/>
      <c r="CR36"/>
      <c r="CS36"/>
      <c r="CT36"/>
      <c r="CU36"/>
    </row>
    <row r="37" spans="1:99" s="5" customFormat="1" x14ac:dyDescent="0.3">
      <c r="A37" s="35" t="s">
        <v>41</v>
      </c>
      <c r="B37" s="13" t="s">
        <v>115</v>
      </c>
      <c r="C37" s="5">
        <v>32</v>
      </c>
      <c r="D37" s="25">
        <v>12.419133851114781</v>
      </c>
      <c r="E37" s="25">
        <v>8.6898044381552335</v>
      </c>
      <c r="F37" s="25">
        <v>1.193485766770126</v>
      </c>
      <c r="G37" s="25">
        <v>5.3596247328811897</v>
      </c>
      <c r="H37" s="25">
        <v>366.70280766656447</v>
      </c>
      <c r="I37" s="25">
        <v>98.368227072380691</v>
      </c>
      <c r="J37" s="25">
        <v>16.221482210325796</v>
      </c>
      <c r="K37" s="25">
        <v>38.201054868243702</v>
      </c>
      <c r="L37" s="25">
        <v>1.8804611435075813</v>
      </c>
      <c r="M37" s="25">
        <v>35.313877374417935</v>
      </c>
      <c r="N37" s="25">
        <v>13.801931887626946</v>
      </c>
      <c r="O37" s="25">
        <v>1.5691739301562229</v>
      </c>
      <c r="P37" s="25">
        <v>9.1187669154443896</v>
      </c>
      <c r="Q37" s="25">
        <v>13.362504628405015</v>
      </c>
      <c r="R37" s="25">
        <v>9.6102571319475718</v>
      </c>
      <c r="S37" s="25">
        <v>7.0166850551536983</v>
      </c>
      <c r="T37" s="25">
        <v>14.734427884322697</v>
      </c>
      <c r="U37" s="25">
        <v>217.35962171619289</v>
      </c>
      <c r="V37" s="25">
        <v>10.095832255490841</v>
      </c>
      <c r="W37" s="25">
        <v>0.25943691379120065</v>
      </c>
      <c r="X37" s="25">
        <v>2.2207382365984345E-2</v>
      </c>
      <c r="Y37" s="25">
        <v>2.2880449947914063</v>
      </c>
      <c r="Z37" s="25">
        <v>13.940670389707927</v>
      </c>
      <c r="AA37" s="25">
        <v>9.389810474770961</v>
      </c>
      <c r="AB37" s="25">
        <v>8.6718497932143528</v>
      </c>
      <c r="AC37" s="25">
        <v>10.054823041195542</v>
      </c>
      <c r="AD37" s="25">
        <v>30.206007482815028</v>
      </c>
      <c r="AE37" s="25">
        <v>13.468237256816359</v>
      </c>
      <c r="AF37" s="25">
        <v>21.050127137193687</v>
      </c>
      <c r="AG37" s="25">
        <v>13.073065052326756</v>
      </c>
      <c r="AH37" s="25">
        <v>21.162403636587065</v>
      </c>
      <c r="AI37" s="25">
        <v>17405.685058288047</v>
      </c>
      <c r="AJ37" s="25">
        <v>547.87496786344434</v>
      </c>
      <c r="AK37" s="25">
        <v>756.88150604138093</v>
      </c>
      <c r="AL37" s="25">
        <v>323.88078119482907</v>
      </c>
      <c r="AM37" s="25">
        <v>225.81662299211283</v>
      </c>
      <c r="AN37" s="25">
        <v>97.633183718986601</v>
      </c>
      <c r="AO37" s="25">
        <v>79.034593730625289</v>
      </c>
      <c r="AP37" s="25">
        <v>854.92363846403157</v>
      </c>
      <c r="AQ37" s="25">
        <v>234.8485338184515</v>
      </c>
      <c r="AR37" s="25">
        <v>38.362721355631727</v>
      </c>
      <c r="AS37" s="25">
        <v>27.485458269075718</v>
      </c>
      <c r="AT37" s="25">
        <v>41.949119742265481</v>
      </c>
      <c r="AU37" s="25">
        <v>20.914070381251214</v>
      </c>
      <c r="AV37" s="25">
        <v>562.15288096803124</v>
      </c>
      <c r="AW37" s="25">
        <v>43.245687941383004</v>
      </c>
      <c r="AX37" s="25">
        <v>351.46919372388192</v>
      </c>
      <c r="AY37" s="40">
        <v>65.044062061216493</v>
      </c>
      <c r="AZ37" s="25">
        <v>7.1038037479330667</v>
      </c>
      <c r="BA37" s="25">
        <v>7.0741323737925699</v>
      </c>
      <c r="BB37" s="25">
        <v>219.06182080899765</v>
      </c>
      <c r="BC37" s="25">
        <v>4.2994957026716278</v>
      </c>
      <c r="BD37" s="25">
        <v>20.580154453052806</v>
      </c>
      <c r="BE37" s="25">
        <v>3.3640291246609078</v>
      </c>
      <c r="BF37" s="25">
        <v>288.6825985085332</v>
      </c>
      <c r="BG37" s="25">
        <v>289.90217680210674</v>
      </c>
      <c r="BH37" s="25">
        <v>2116.4629209784416</v>
      </c>
      <c r="BI37" s="25">
        <v>378.52008471981327</v>
      </c>
      <c r="BJ37" s="25">
        <v>18.640704685552716</v>
      </c>
      <c r="BK37" s="25">
        <v>386.96176542391458</v>
      </c>
      <c r="BL37" s="25">
        <v>723.15010419488692</v>
      </c>
      <c r="BM37" s="25">
        <v>136.4608649774008</v>
      </c>
      <c r="BN37" s="25">
        <v>50.407471974589576</v>
      </c>
      <c r="BO37" s="25">
        <v>1365.297785232762</v>
      </c>
      <c r="BP37" s="25">
        <v>145.45213225507948</v>
      </c>
      <c r="BQ37" s="25">
        <v>318.43830111754886</v>
      </c>
      <c r="BR37" s="25">
        <v>583.98243536789414</v>
      </c>
      <c r="BS37" s="25">
        <v>135.66739203606176</v>
      </c>
      <c r="BT37" s="25">
        <v>234.52423390824742</v>
      </c>
      <c r="BU37" s="25">
        <v>296.78207143792031</v>
      </c>
      <c r="BV37" s="25">
        <v>68.816515037834662</v>
      </c>
      <c r="BW37" s="25">
        <v>876.65294613592084</v>
      </c>
      <c r="BX37" s="25">
        <v>0</v>
      </c>
      <c r="BY37" s="25">
        <v>31378.09386564494</v>
      </c>
      <c r="BZ37" s="25">
        <v>4359.5439623499396</v>
      </c>
      <c r="CA37" s="25">
        <v>0.84224591553946704</v>
      </c>
      <c r="CB37" s="25">
        <v>0</v>
      </c>
      <c r="CC37" s="25">
        <v>38106.281061939466</v>
      </c>
      <c r="CD37" s="25">
        <v>27834.343811004135</v>
      </c>
      <c r="CE37" s="25">
        <v>1864.8950531489645</v>
      </c>
      <c r="CF37" s="25">
        <v>72165.906134358025</v>
      </c>
      <c r="CG37" s="25">
        <v>103544</v>
      </c>
      <c r="CH37"/>
      <c r="CI37">
        <f t="shared" si="0"/>
        <v>0.69695884005213271</v>
      </c>
      <c r="CJ37"/>
      <c r="CK37"/>
      <c r="CL37"/>
      <c r="CM37"/>
      <c r="CN37"/>
      <c r="CO37"/>
      <c r="CP37"/>
      <c r="CQ37"/>
      <c r="CR37"/>
      <c r="CS37"/>
      <c r="CT37"/>
      <c r="CU37"/>
    </row>
    <row r="38" spans="1:99" s="5" customFormat="1" x14ac:dyDescent="0.3">
      <c r="A38" s="35" t="s">
        <v>42</v>
      </c>
      <c r="B38" s="11" t="s">
        <v>116</v>
      </c>
      <c r="C38" s="5">
        <v>33</v>
      </c>
      <c r="D38" s="25">
        <v>61.471443243496033</v>
      </c>
      <c r="E38" s="25">
        <v>100.9510779909469</v>
      </c>
      <c r="F38" s="25">
        <v>8.5343875154979525</v>
      </c>
      <c r="G38" s="25">
        <v>33.536284585432739</v>
      </c>
      <c r="H38" s="25">
        <v>351.44181560196319</v>
      </c>
      <c r="I38" s="25">
        <v>105.93191251051248</v>
      </c>
      <c r="J38" s="25">
        <v>28.623827608599345</v>
      </c>
      <c r="K38" s="25">
        <v>106.00237764710496</v>
      </c>
      <c r="L38" s="25">
        <v>20.203186585972457</v>
      </c>
      <c r="M38" s="25">
        <v>138.23009502943813</v>
      </c>
      <c r="N38" s="25">
        <v>54.237113790431863</v>
      </c>
      <c r="O38" s="25">
        <v>3.1297543523975815</v>
      </c>
      <c r="P38" s="25">
        <v>41.057799766490078</v>
      </c>
      <c r="Q38" s="25">
        <v>12.68651278034104</v>
      </c>
      <c r="R38" s="25">
        <v>14.12203476557268</v>
      </c>
      <c r="S38" s="25">
        <v>37.24508463607885</v>
      </c>
      <c r="T38" s="25">
        <v>94.046313324054367</v>
      </c>
      <c r="U38" s="25">
        <v>25.089968767362564</v>
      </c>
      <c r="V38" s="25">
        <v>24.563620027522102</v>
      </c>
      <c r="W38" s="25">
        <v>0.63389096304002268</v>
      </c>
      <c r="X38" s="25">
        <v>0.15812753103878166</v>
      </c>
      <c r="Y38" s="25">
        <v>17.644357479480224</v>
      </c>
      <c r="Z38" s="25">
        <v>128.517484352172</v>
      </c>
      <c r="AA38" s="25">
        <v>37.106257302072869</v>
      </c>
      <c r="AB38" s="25">
        <v>27.521789477193956</v>
      </c>
      <c r="AC38" s="25">
        <v>24.029436324972785</v>
      </c>
      <c r="AD38" s="25">
        <v>122.22623729916268</v>
      </c>
      <c r="AE38" s="25">
        <v>144.97496097091033</v>
      </c>
      <c r="AF38" s="25">
        <v>174.91861915213437</v>
      </c>
      <c r="AG38" s="25">
        <v>232.204389607129</v>
      </c>
      <c r="AH38" s="25">
        <v>169.67039921750245</v>
      </c>
      <c r="AI38" s="25">
        <v>1981.3495340623881</v>
      </c>
      <c r="AJ38" s="25">
        <v>7205.7318152088583</v>
      </c>
      <c r="AK38" s="25">
        <v>2445.063188035022</v>
      </c>
      <c r="AL38" s="25">
        <v>1174.943316230971</v>
      </c>
      <c r="AM38" s="25">
        <v>1006.4146357238128</v>
      </c>
      <c r="AN38" s="25">
        <v>328.24985372252911</v>
      </c>
      <c r="AO38" s="25">
        <v>282.22592215397947</v>
      </c>
      <c r="AP38" s="25">
        <v>2468.8556613926908</v>
      </c>
      <c r="AQ38" s="25">
        <v>4211.3386971755426</v>
      </c>
      <c r="AR38" s="25">
        <v>687.92600212197374</v>
      </c>
      <c r="AS38" s="25">
        <v>492.87330917570256</v>
      </c>
      <c r="AT38" s="25">
        <v>799.26302757061512</v>
      </c>
      <c r="AU38" s="25">
        <v>198.71648585839202</v>
      </c>
      <c r="AV38" s="25">
        <v>7560.7586165971779</v>
      </c>
      <c r="AW38" s="25">
        <v>469.43587383769659</v>
      </c>
      <c r="AX38" s="25">
        <v>1152.1672158094475</v>
      </c>
      <c r="AY38" s="40">
        <v>1150.8759877231025</v>
      </c>
      <c r="AZ38" s="25">
        <v>34.987697777754953</v>
      </c>
      <c r="BA38" s="25">
        <v>8.9950211061220422</v>
      </c>
      <c r="BB38" s="25">
        <v>126.21429420642849</v>
      </c>
      <c r="BC38" s="25">
        <v>36.283964031310575</v>
      </c>
      <c r="BD38" s="25">
        <v>80.774348153953326</v>
      </c>
      <c r="BE38" s="25">
        <v>10.321334342613552</v>
      </c>
      <c r="BF38" s="25">
        <v>54.167703651936158</v>
      </c>
      <c r="BG38" s="25">
        <v>627.47281614248459</v>
      </c>
      <c r="BH38" s="25">
        <v>55.847398921744265</v>
      </c>
      <c r="BI38" s="25">
        <v>84.703040578208757</v>
      </c>
      <c r="BJ38" s="25">
        <v>433.5383297501993</v>
      </c>
      <c r="BK38" s="25">
        <v>614.46180476424547</v>
      </c>
      <c r="BL38" s="25">
        <v>70.262747582605186</v>
      </c>
      <c r="BM38" s="25">
        <v>48.605598818059967</v>
      </c>
      <c r="BN38" s="25">
        <v>45.073338130913605</v>
      </c>
      <c r="BO38" s="25">
        <v>663.14429293179364</v>
      </c>
      <c r="BP38" s="25">
        <v>6.2717719731465991</v>
      </c>
      <c r="BQ38" s="25">
        <v>131.14882308832696</v>
      </c>
      <c r="BR38" s="25">
        <v>61.569511472027592</v>
      </c>
      <c r="BS38" s="25">
        <v>29.235817579768533</v>
      </c>
      <c r="BT38" s="25">
        <v>32.201740803634472</v>
      </c>
      <c r="BU38" s="25">
        <v>36.545806143206093</v>
      </c>
      <c r="BV38" s="25">
        <v>79.163102429354211</v>
      </c>
      <c r="BW38" s="25">
        <v>789.54653894132332</v>
      </c>
      <c r="BX38" s="25">
        <v>0</v>
      </c>
      <c r="BY38" s="25">
        <v>40117.436545927085</v>
      </c>
      <c r="BZ38" s="25">
        <v>8160.608236693969</v>
      </c>
      <c r="CA38" s="25">
        <v>1.0854720629864254</v>
      </c>
      <c r="CB38" s="25">
        <v>0</v>
      </c>
      <c r="CC38" s="25">
        <v>18247.815276959202</v>
      </c>
      <c r="CD38" s="25">
        <v>14696.133219116911</v>
      </c>
      <c r="CE38" s="25">
        <v>-1278.0787507290102</v>
      </c>
      <c r="CF38" s="25">
        <v>39827.563454104071</v>
      </c>
      <c r="CG38" s="25">
        <v>79945</v>
      </c>
      <c r="CH38"/>
      <c r="CI38">
        <f t="shared" si="0"/>
        <v>0.49818704677095593</v>
      </c>
      <c r="CJ38"/>
      <c r="CK38"/>
      <c r="CL38"/>
      <c r="CM38"/>
      <c r="CN38"/>
      <c r="CO38"/>
      <c r="CP38"/>
      <c r="CQ38"/>
      <c r="CR38"/>
      <c r="CS38"/>
      <c r="CT38"/>
      <c r="CU38"/>
    </row>
    <row r="39" spans="1:99" s="5" customFormat="1" x14ac:dyDescent="0.3">
      <c r="A39" s="35" t="s">
        <v>43</v>
      </c>
      <c r="B39" s="11" t="s">
        <v>117</v>
      </c>
      <c r="C39" s="5">
        <v>34</v>
      </c>
      <c r="D39" s="25">
        <v>59.522305703606065</v>
      </c>
      <c r="E39" s="25">
        <v>52.217786105288837</v>
      </c>
      <c r="F39" s="25">
        <v>7.7379426650681999</v>
      </c>
      <c r="G39" s="25">
        <v>121.83013377807498</v>
      </c>
      <c r="H39" s="25">
        <v>2981.3187232983764</v>
      </c>
      <c r="I39" s="25">
        <v>3358.5304734187052</v>
      </c>
      <c r="J39" s="25">
        <v>647.24610176666101</v>
      </c>
      <c r="K39" s="25">
        <v>116.75762496976985</v>
      </c>
      <c r="L39" s="25">
        <v>9.5497742493645656</v>
      </c>
      <c r="M39" s="25">
        <v>134.22487336695494</v>
      </c>
      <c r="N39" s="25">
        <v>105.79099949407707</v>
      </c>
      <c r="O39" s="25">
        <v>2.9828610761777705</v>
      </c>
      <c r="P39" s="25">
        <v>20.954038704035376</v>
      </c>
      <c r="Q39" s="25">
        <v>16.0117665591914</v>
      </c>
      <c r="R39" s="25">
        <v>17.830644563412736</v>
      </c>
      <c r="S39" s="25">
        <v>83.835356791768419</v>
      </c>
      <c r="T39" s="25">
        <v>66.499360523187249</v>
      </c>
      <c r="U39" s="25">
        <v>27.971484305499192</v>
      </c>
      <c r="V39" s="25">
        <v>124.42443945135997</v>
      </c>
      <c r="W39" s="25">
        <v>3.2068614775039497</v>
      </c>
      <c r="X39" s="25">
        <v>0.64315817129398389</v>
      </c>
      <c r="Y39" s="25">
        <v>14.664866993787584</v>
      </c>
      <c r="Z39" s="25">
        <v>55.365175312124499</v>
      </c>
      <c r="AA39" s="25">
        <v>42.928805361589461</v>
      </c>
      <c r="AB39" s="25">
        <v>38.4222462567935</v>
      </c>
      <c r="AC39" s="25">
        <v>23.58168466678584</v>
      </c>
      <c r="AD39" s="25">
        <v>146.51909149651729</v>
      </c>
      <c r="AE39" s="25">
        <v>63.810019097951141</v>
      </c>
      <c r="AF39" s="25">
        <v>227.46372146208054</v>
      </c>
      <c r="AG39" s="25">
        <v>109.64969949828244</v>
      </c>
      <c r="AH39" s="25">
        <v>293.6266731396156</v>
      </c>
      <c r="AI39" s="25">
        <v>187.07604213725611</v>
      </c>
      <c r="AJ39" s="25">
        <v>561.552991324191</v>
      </c>
      <c r="AK39" s="25">
        <v>13998.183884661225</v>
      </c>
      <c r="AL39" s="25">
        <v>1347.7857506206824</v>
      </c>
      <c r="AM39" s="25">
        <v>250.3072976290847</v>
      </c>
      <c r="AN39" s="25">
        <v>400.60780466117706</v>
      </c>
      <c r="AO39" s="25">
        <v>86.468517165453292</v>
      </c>
      <c r="AP39" s="25">
        <v>8156.5291072832433</v>
      </c>
      <c r="AQ39" s="25">
        <v>183.8773062557928</v>
      </c>
      <c r="AR39" s="25">
        <v>29.480190946558871</v>
      </c>
      <c r="AS39" s="25">
        <v>21.121456700492327</v>
      </c>
      <c r="AT39" s="25">
        <v>28.673874343909777</v>
      </c>
      <c r="AU39" s="25">
        <v>87.632478652176914</v>
      </c>
      <c r="AV39" s="25">
        <v>3082.2212027772262</v>
      </c>
      <c r="AW39" s="25">
        <v>347.09497939889587</v>
      </c>
      <c r="AX39" s="25">
        <v>492.90872146548861</v>
      </c>
      <c r="AY39" s="40">
        <v>188.18252456487215</v>
      </c>
      <c r="AZ39" s="25">
        <v>114.1317287125715</v>
      </c>
      <c r="BA39" s="25">
        <v>16.756327513669412</v>
      </c>
      <c r="BB39" s="25">
        <v>183.7210541682006</v>
      </c>
      <c r="BC39" s="25">
        <v>10.695788746995476</v>
      </c>
      <c r="BD39" s="25">
        <v>78.820000487197191</v>
      </c>
      <c r="BE39" s="25">
        <v>9.4137410961183203</v>
      </c>
      <c r="BF39" s="25">
        <v>7.8433874607846139</v>
      </c>
      <c r="BG39" s="25">
        <v>56.01575252421209</v>
      </c>
      <c r="BH39" s="25">
        <v>39.266320030685463</v>
      </c>
      <c r="BI39" s="25">
        <v>17.499684418311713</v>
      </c>
      <c r="BJ39" s="25">
        <v>30.905608576877551</v>
      </c>
      <c r="BK39" s="25">
        <v>36.413597653372676</v>
      </c>
      <c r="BL39" s="25">
        <v>40.176682657267463</v>
      </c>
      <c r="BM39" s="25">
        <v>12.242518732631936</v>
      </c>
      <c r="BN39" s="25">
        <v>21.569957732316201</v>
      </c>
      <c r="BO39" s="25">
        <v>1179.0029429730471</v>
      </c>
      <c r="BP39" s="25">
        <v>5.7246072672928889</v>
      </c>
      <c r="BQ39" s="25">
        <v>111.69726973593008</v>
      </c>
      <c r="BR39" s="25">
        <v>25.460223271399052</v>
      </c>
      <c r="BS39" s="25">
        <v>5.0073719347400694</v>
      </c>
      <c r="BT39" s="25">
        <v>117.48267827292875</v>
      </c>
      <c r="BU39" s="25">
        <v>49.931723664466446</v>
      </c>
      <c r="BV39" s="25">
        <v>13.370874267205979</v>
      </c>
      <c r="BW39" s="25">
        <v>42.232026044923728</v>
      </c>
      <c r="BX39" s="25">
        <v>0</v>
      </c>
      <c r="BY39" s="25">
        <v>40650.204692255793</v>
      </c>
      <c r="BZ39" s="25">
        <v>26105.19647079541</v>
      </c>
      <c r="CA39" s="25">
        <v>1.829221439477124</v>
      </c>
      <c r="CB39" s="25">
        <v>0</v>
      </c>
      <c r="CC39" s="25">
        <v>4346.8636411665539</v>
      </c>
      <c r="CD39" s="25">
        <v>59157.235988138818</v>
      </c>
      <c r="CE39" s="25">
        <v>-948.33001378563677</v>
      </c>
      <c r="CF39" s="25">
        <v>88662.795307754626</v>
      </c>
      <c r="CG39" s="25">
        <v>129313</v>
      </c>
      <c r="CH39"/>
      <c r="CI39">
        <f t="shared" si="0"/>
        <v>0.68564487180526801</v>
      </c>
      <c r="CJ39"/>
      <c r="CK39"/>
      <c r="CL39"/>
      <c r="CM39"/>
      <c r="CN39"/>
      <c r="CO39"/>
      <c r="CP39"/>
      <c r="CQ39"/>
      <c r="CR39"/>
      <c r="CS39"/>
      <c r="CT39"/>
      <c r="CU39"/>
    </row>
    <row r="40" spans="1:99" s="5" customFormat="1" x14ac:dyDescent="0.3">
      <c r="A40" s="35" t="s">
        <v>44</v>
      </c>
      <c r="B40" s="11" t="s">
        <v>118</v>
      </c>
      <c r="C40" s="5">
        <v>35</v>
      </c>
      <c r="D40" s="25">
        <v>6.0793326431152925</v>
      </c>
      <c r="E40" s="25">
        <v>4.2341402793009095</v>
      </c>
      <c r="F40" s="25">
        <v>0.45060294483418861</v>
      </c>
      <c r="G40" s="25">
        <v>1.7532064596121533</v>
      </c>
      <c r="H40" s="25">
        <v>22.732493646363995</v>
      </c>
      <c r="I40" s="25">
        <v>35.923445268958368</v>
      </c>
      <c r="J40" s="25">
        <v>4.6230340424648242</v>
      </c>
      <c r="K40" s="25">
        <v>6.0310656150077255</v>
      </c>
      <c r="L40" s="25">
        <v>39.384321213520785</v>
      </c>
      <c r="M40" s="25">
        <v>6.3633747517004942</v>
      </c>
      <c r="N40" s="25">
        <v>7.4156679627781834</v>
      </c>
      <c r="O40" s="25">
        <v>0.4853673891484559</v>
      </c>
      <c r="P40" s="25">
        <v>0.89219765450299382</v>
      </c>
      <c r="Q40" s="25">
        <v>0.72350440715786468</v>
      </c>
      <c r="R40" s="25">
        <v>0.89559605558574462</v>
      </c>
      <c r="S40" s="25">
        <v>1.5390856550522856</v>
      </c>
      <c r="T40" s="25">
        <v>2.2391794342057389</v>
      </c>
      <c r="U40" s="25">
        <v>0.13638293945280502</v>
      </c>
      <c r="V40" s="25">
        <v>0.50357185243508829</v>
      </c>
      <c r="W40" s="25">
        <v>1.295805255644086E-2</v>
      </c>
      <c r="X40" s="25">
        <v>1.7921972661052677E-3</v>
      </c>
      <c r="Y40" s="25">
        <v>0.39143869470761683</v>
      </c>
      <c r="Z40" s="25">
        <v>5.1554650903360315</v>
      </c>
      <c r="AA40" s="25">
        <v>24.655903412295473</v>
      </c>
      <c r="AB40" s="25">
        <v>3.0129772937813186</v>
      </c>
      <c r="AC40" s="25">
        <v>7.0694448061405017</v>
      </c>
      <c r="AD40" s="25">
        <v>6.0070207472078385</v>
      </c>
      <c r="AE40" s="25">
        <v>9.1046686902495484</v>
      </c>
      <c r="AF40" s="25">
        <v>3.6755743774222056</v>
      </c>
      <c r="AG40" s="25">
        <v>5.3585330825795729</v>
      </c>
      <c r="AH40" s="25">
        <v>7.6734366181145788</v>
      </c>
      <c r="AI40" s="25">
        <v>42.135878464386984</v>
      </c>
      <c r="AJ40" s="25">
        <v>130.55867196330829</v>
      </c>
      <c r="AK40" s="25">
        <v>139.03215919780203</v>
      </c>
      <c r="AL40" s="25">
        <v>6401.0291995062835</v>
      </c>
      <c r="AM40" s="25">
        <v>198.18236285527331</v>
      </c>
      <c r="AN40" s="25">
        <v>27.306349159842785</v>
      </c>
      <c r="AO40" s="25">
        <v>6.955028087194794</v>
      </c>
      <c r="AP40" s="25">
        <v>89.22255793834951</v>
      </c>
      <c r="AQ40" s="25">
        <v>86.668171491859326</v>
      </c>
      <c r="AR40" s="25">
        <v>14.15732454993543</v>
      </c>
      <c r="AS40" s="25">
        <v>10.143194730941259</v>
      </c>
      <c r="AT40" s="25">
        <v>15.485616608259518</v>
      </c>
      <c r="AU40" s="25">
        <v>13.526570934637117</v>
      </c>
      <c r="AV40" s="25">
        <v>188.27528297895037</v>
      </c>
      <c r="AW40" s="25">
        <v>532.17208085673667</v>
      </c>
      <c r="AX40" s="25">
        <v>94.656438781178892</v>
      </c>
      <c r="AY40" s="40">
        <v>864.60320895691905</v>
      </c>
      <c r="AZ40" s="25">
        <v>0.83914315631735381</v>
      </c>
      <c r="BA40" s="25">
        <v>8.1858906758950745E-2</v>
      </c>
      <c r="BB40" s="25">
        <v>9.1036561840329675</v>
      </c>
      <c r="BC40" s="25">
        <v>1.6401264875792059</v>
      </c>
      <c r="BD40" s="25">
        <v>8.1053616704011695</v>
      </c>
      <c r="BE40" s="25">
        <v>0.29355293855328496</v>
      </c>
      <c r="BF40" s="25">
        <v>1.8669431820610858</v>
      </c>
      <c r="BG40" s="25">
        <v>15.046584400360741</v>
      </c>
      <c r="BH40" s="25">
        <v>4.206258609986504</v>
      </c>
      <c r="BI40" s="25">
        <v>5.7782215604884071</v>
      </c>
      <c r="BJ40" s="25">
        <v>10.632691936448024</v>
      </c>
      <c r="BK40" s="25">
        <v>14.295464906277772</v>
      </c>
      <c r="BL40" s="25">
        <v>34.022490097580679</v>
      </c>
      <c r="BM40" s="25">
        <v>1.6650914908455441</v>
      </c>
      <c r="BN40" s="25">
        <v>14.797823088620525</v>
      </c>
      <c r="BO40" s="25">
        <v>21.056968342396452</v>
      </c>
      <c r="BP40" s="25">
        <v>2.196008256563204</v>
      </c>
      <c r="BQ40" s="25">
        <v>54.143997285643749</v>
      </c>
      <c r="BR40" s="25">
        <v>8.0172920945857413</v>
      </c>
      <c r="BS40" s="25">
        <v>3.329808523440775</v>
      </c>
      <c r="BT40" s="25">
        <v>14.693655894817354</v>
      </c>
      <c r="BU40" s="25">
        <v>10.723095359283748</v>
      </c>
      <c r="BV40" s="25">
        <v>4.0666521346822817</v>
      </c>
      <c r="BW40" s="25">
        <v>10.757810926212755</v>
      </c>
      <c r="BX40" s="25">
        <v>0</v>
      </c>
      <c r="BY40" s="25">
        <v>9319.9954377736558</v>
      </c>
      <c r="BZ40" s="25">
        <v>31565.598555046839</v>
      </c>
      <c r="CA40" s="25">
        <v>0</v>
      </c>
      <c r="CB40" s="25">
        <v>0</v>
      </c>
      <c r="CC40" s="25">
        <v>74047.929024189856</v>
      </c>
      <c r="CD40" s="25">
        <v>71777.155606281944</v>
      </c>
      <c r="CE40" s="25">
        <v>1204.3213767128063</v>
      </c>
      <c r="CF40" s="25">
        <v>178595.00456223145</v>
      </c>
      <c r="CG40" s="25">
        <v>187915</v>
      </c>
      <c r="CH40"/>
      <c r="CI40">
        <f t="shared" si="0"/>
        <v>0.95040313206626104</v>
      </c>
      <c r="CJ40"/>
      <c r="CK40"/>
      <c r="CL40"/>
      <c r="CM40"/>
      <c r="CN40"/>
      <c r="CO40"/>
      <c r="CP40"/>
      <c r="CQ40"/>
      <c r="CR40"/>
      <c r="CS40"/>
      <c r="CT40"/>
      <c r="CU40"/>
    </row>
    <row r="41" spans="1:99" s="5" customFormat="1" x14ac:dyDescent="0.3">
      <c r="A41" s="35" t="s">
        <v>45</v>
      </c>
      <c r="B41" s="11" t="s">
        <v>119</v>
      </c>
      <c r="C41" s="5">
        <v>36</v>
      </c>
      <c r="D41" s="25">
        <v>23.030769629208717</v>
      </c>
      <c r="E41" s="25">
        <v>21.334763428006642</v>
      </c>
      <c r="F41" s="25">
        <v>1.7539911411837736</v>
      </c>
      <c r="G41" s="25">
        <v>4.3114620373138086</v>
      </c>
      <c r="H41" s="25">
        <v>133.67925358866589</v>
      </c>
      <c r="I41" s="25">
        <v>118.35306042140583</v>
      </c>
      <c r="J41" s="25">
        <v>20.491406594920392</v>
      </c>
      <c r="K41" s="25">
        <v>58.822250853589146</v>
      </c>
      <c r="L41" s="25">
        <v>3.6580655989026454</v>
      </c>
      <c r="M41" s="25">
        <v>77.508676051511131</v>
      </c>
      <c r="N41" s="25">
        <v>78.143529112663003</v>
      </c>
      <c r="O41" s="25">
        <v>0.70233329744813222</v>
      </c>
      <c r="P41" s="25">
        <v>8.1067602183074658</v>
      </c>
      <c r="Q41" s="25">
        <v>3.9768991010187786</v>
      </c>
      <c r="R41" s="25">
        <v>6.6684836628326378</v>
      </c>
      <c r="S41" s="25">
        <v>12.730870567110621</v>
      </c>
      <c r="T41" s="25">
        <v>9.2106179336940119</v>
      </c>
      <c r="U41" s="25">
        <v>7.2701764040418322</v>
      </c>
      <c r="V41" s="25">
        <v>6.7603660837117481</v>
      </c>
      <c r="W41" s="25">
        <v>0.17408278972224633</v>
      </c>
      <c r="X41" s="25">
        <v>2.8862715455859316E-2</v>
      </c>
      <c r="Y41" s="25">
        <v>2.3484311284074915</v>
      </c>
      <c r="Z41" s="25">
        <v>19.637024268064614</v>
      </c>
      <c r="AA41" s="25">
        <v>17.09776631679464</v>
      </c>
      <c r="AB41" s="25">
        <v>24.773852900607473</v>
      </c>
      <c r="AC41" s="25">
        <v>9.820390171430228</v>
      </c>
      <c r="AD41" s="25">
        <v>63.16321689365504</v>
      </c>
      <c r="AE41" s="25">
        <v>25.632333748347094</v>
      </c>
      <c r="AF41" s="25">
        <v>59.722249486700498</v>
      </c>
      <c r="AG41" s="25">
        <v>25.274921115880044</v>
      </c>
      <c r="AH41" s="25">
        <v>160.67153291879316</v>
      </c>
      <c r="AI41" s="25">
        <v>149.98137675042946</v>
      </c>
      <c r="AJ41" s="25">
        <v>285.45643584851399</v>
      </c>
      <c r="AK41" s="25">
        <v>590.95514679980465</v>
      </c>
      <c r="AL41" s="25">
        <v>41768.119698194343</v>
      </c>
      <c r="AM41" s="25">
        <v>11118.72493870409</v>
      </c>
      <c r="AN41" s="25">
        <v>88.067706926733123</v>
      </c>
      <c r="AO41" s="25">
        <v>48.305878453495758</v>
      </c>
      <c r="AP41" s="25">
        <v>391.5589705473754</v>
      </c>
      <c r="AQ41" s="25">
        <v>178.96091064583609</v>
      </c>
      <c r="AR41" s="25">
        <v>29.233427337313508</v>
      </c>
      <c r="AS41" s="25">
        <v>20.944659782949238</v>
      </c>
      <c r="AT41" s="25">
        <v>27.99468308644564</v>
      </c>
      <c r="AU41" s="25">
        <v>22.002569535951483</v>
      </c>
      <c r="AV41" s="25">
        <v>786.42206006416041</v>
      </c>
      <c r="AW41" s="25">
        <v>16757.380610384294</v>
      </c>
      <c r="AX41" s="25">
        <v>271.92690386794874</v>
      </c>
      <c r="AY41" s="40">
        <v>11241.326851182903</v>
      </c>
      <c r="AZ41" s="25">
        <v>4.2981168519444219</v>
      </c>
      <c r="BA41" s="25">
        <v>3.3999873134724803</v>
      </c>
      <c r="BB41" s="25">
        <v>22.831216726047206</v>
      </c>
      <c r="BC41" s="25">
        <v>9.7792439959294306</v>
      </c>
      <c r="BD41" s="25">
        <v>66.440220699295025</v>
      </c>
      <c r="BE41" s="25">
        <v>0.9692352588187495</v>
      </c>
      <c r="BF41" s="25">
        <v>4.7494570258082378</v>
      </c>
      <c r="BG41" s="25">
        <v>32.283956554095894</v>
      </c>
      <c r="BH41" s="25">
        <v>11.675920574090959</v>
      </c>
      <c r="BI41" s="25">
        <v>25.117535659091725</v>
      </c>
      <c r="BJ41" s="25">
        <v>33.107385669635867</v>
      </c>
      <c r="BK41" s="25">
        <v>42.753067014498214</v>
      </c>
      <c r="BL41" s="25">
        <v>61.705269956035742</v>
      </c>
      <c r="BM41" s="25">
        <v>6.1094552845915722</v>
      </c>
      <c r="BN41" s="25">
        <v>178.64411219393531</v>
      </c>
      <c r="BO41" s="25">
        <v>86.122547399955891</v>
      </c>
      <c r="BP41" s="25">
        <v>3.4288450741843426</v>
      </c>
      <c r="BQ41" s="25">
        <v>944.29532162300757</v>
      </c>
      <c r="BR41" s="25">
        <v>245.02647863352792</v>
      </c>
      <c r="BS41" s="25">
        <v>20.880374625890653</v>
      </c>
      <c r="BT41" s="25">
        <v>122.23661869936019</v>
      </c>
      <c r="BU41" s="25">
        <v>19.06369890094042</v>
      </c>
      <c r="BV41" s="25">
        <v>18.253064329760541</v>
      </c>
      <c r="BW41" s="25">
        <v>36.18062033752885</v>
      </c>
      <c r="BX41" s="25">
        <v>0</v>
      </c>
      <c r="BY41" s="25">
        <v>86781.572978693453</v>
      </c>
      <c r="BZ41" s="25">
        <v>16209.850370734868</v>
      </c>
      <c r="CA41" s="25">
        <v>0</v>
      </c>
      <c r="CB41" s="25">
        <v>0</v>
      </c>
      <c r="CC41" s="25">
        <v>1499.9348819154825</v>
      </c>
      <c r="CD41" s="25">
        <v>3584.2263505479905</v>
      </c>
      <c r="CE41" s="25">
        <v>-2083.5845818673261</v>
      </c>
      <c r="CF41" s="25">
        <v>19210.427021331016</v>
      </c>
      <c r="CG41" s="25">
        <v>105992</v>
      </c>
      <c r="CH41"/>
      <c r="CI41">
        <f t="shared" si="0"/>
        <v>0.18124412239915291</v>
      </c>
      <c r="CJ41"/>
      <c r="CK41"/>
      <c r="CL41"/>
      <c r="CM41"/>
      <c r="CN41"/>
      <c r="CO41"/>
      <c r="CP41"/>
      <c r="CQ41"/>
      <c r="CR41"/>
      <c r="CS41"/>
      <c r="CT41"/>
      <c r="CU41"/>
    </row>
    <row r="42" spans="1:99" s="5" customFormat="1" x14ac:dyDescent="0.3">
      <c r="A42" s="35" t="s">
        <v>46</v>
      </c>
      <c r="B42" s="11" t="s">
        <v>120</v>
      </c>
      <c r="C42" s="5">
        <v>37</v>
      </c>
      <c r="D42" s="25">
        <v>4.9868211495342329</v>
      </c>
      <c r="E42" s="25">
        <v>4.6069195410432195</v>
      </c>
      <c r="F42" s="25">
        <v>0.78082668028628288</v>
      </c>
      <c r="G42" s="25">
        <v>4.0935082752388299</v>
      </c>
      <c r="H42" s="25">
        <v>36.555408577894092</v>
      </c>
      <c r="I42" s="25">
        <v>28.323997559732756</v>
      </c>
      <c r="J42" s="25">
        <v>6.1643923228497508</v>
      </c>
      <c r="K42" s="25">
        <v>23.872375159693842</v>
      </c>
      <c r="L42" s="25">
        <v>2.6165250884680926</v>
      </c>
      <c r="M42" s="25">
        <v>22.287293821742143</v>
      </c>
      <c r="N42" s="25">
        <v>22.019794969376246</v>
      </c>
      <c r="O42" s="25">
        <v>0.951991038742527</v>
      </c>
      <c r="P42" s="25">
        <v>1.516282348817972</v>
      </c>
      <c r="Q42" s="25">
        <v>2.8505447222716263</v>
      </c>
      <c r="R42" s="25">
        <v>2.5595446686656871</v>
      </c>
      <c r="S42" s="25">
        <v>5.8027436843184077</v>
      </c>
      <c r="T42" s="25">
        <v>16.310046908766967</v>
      </c>
      <c r="U42" s="25">
        <v>5.2951023901787542</v>
      </c>
      <c r="V42" s="25">
        <v>6.1149038706905152</v>
      </c>
      <c r="W42" s="25">
        <v>0.15842795053563921</v>
      </c>
      <c r="X42" s="25">
        <v>6.3786200199413431E-2</v>
      </c>
      <c r="Y42" s="25">
        <v>3.9122942593283057</v>
      </c>
      <c r="Z42" s="25">
        <v>12.464991613664969</v>
      </c>
      <c r="AA42" s="25">
        <v>7.1965891240332542</v>
      </c>
      <c r="AB42" s="25">
        <v>8.3193813814717483</v>
      </c>
      <c r="AC42" s="25">
        <v>12.611800614114907</v>
      </c>
      <c r="AD42" s="25">
        <v>13.78068441035977</v>
      </c>
      <c r="AE42" s="25">
        <v>14.683612440308503</v>
      </c>
      <c r="AF42" s="25">
        <v>64.432299023918844</v>
      </c>
      <c r="AG42" s="25">
        <v>14.514972550016264</v>
      </c>
      <c r="AH42" s="25">
        <v>65.749304626838622</v>
      </c>
      <c r="AI42" s="25">
        <v>9.1707604277193493</v>
      </c>
      <c r="AJ42" s="25">
        <v>29.363735830143359</v>
      </c>
      <c r="AK42" s="25">
        <v>80.378690411628156</v>
      </c>
      <c r="AL42" s="25">
        <v>266.06433068103144</v>
      </c>
      <c r="AM42" s="25">
        <v>94.115435593740415</v>
      </c>
      <c r="AN42" s="25">
        <v>480.05988990730475</v>
      </c>
      <c r="AO42" s="25">
        <v>14.790079925163909</v>
      </c>
      <c r="AP42" s="25">
        <v>151.11749226844694</v>
      </c>
      <c r="AQ42" s="25">
        <v>22.426805250168904</v>
      </c>
      <c r="AR42" s="25">
        <v>3.6634390120329217</v>
      </c>
      <c r="AS42" s="25">
        <v>2.6247173435143485</v>
      </c>
      <c r="AT42" s="25">
        <v>1.8076843233351139</v>
      </c>
      <c r="AU42" s="25">
        <v>8.5592197567344641</v>
      </c>
      <c r="AV42" s="25">
        <v>134.34873154656916</v>
      </c>
      <c r="AW42" s="25">
        <v>104.3287185956416</v>
      </c>
      <c r="AX42" s="25">
        <v>47.185007596141773</v>
      </c>
      <c r="AY42" s="40">
        <v>114.28495397222106</v>
      </c>
      <c r="AZ42" s="25">
        <v>8.1753187737252304</v>
      </c>
      <c r="BA42" s="25">
        <v>3.5093606022635617</v>
      </c>
      <c r="BB42" s="25">
        <v>15.741988103756668</v>
      </c>
      <c r="BC42" s="25">
        <v>0.98892850526239373</v>
      </c>
      <c r="BD42" s="25">
        <v>13.772883960977339</v>
      </c>
      <c r="BE42" s="25">
        <v>2.0275665806359684</v>
      </c>
      <c r="BF42" s="25">
        <v>0.96708398221640157</v>
      </c>
      <c r="BG42" s="25">
        <v>5.6539211026815748</v>
      </c>
      <c r="BH42" s="25">
        <v>9.7449629974355858</v>
      </c>
      <c r="BI42" s="25">
        <v>2.8835222526933015</v>
      </c>
      <c r="BJ42" s="25">
        <v>3.4121952982324646</v>
      </c>
      <c r="BK42" s="25">
        <v>5.8203609723868146</v>
      </c>
      <c r="BL42" s="25">
        <v>29.50740973456119</v>
      </c>
      <c r="BM42" s="25">
        <v>1.2495467255479826</v>
      </c>
      <c r="BN42" s="25">
        <v>7.0318623976594559</v>
      </c>
      <c r="BO42" s="25">
        <v>10.740795794175268</v>
      </c>
      <c r="BP42" s="25">
        <v>1.4258653238884478</v>
      </c>
      <c r="BQ42" s="25">
        <v>27.065816749540872</v>
      </c>
      <c r="BR42" s="25">
        <v>3.2530216082114078</v>
      </c>
      <c r="BS42" s="25">
        <v>1.0348088976519616</v>
      </c>
      <c r="BT42" s="25">
        <v>6.8796707652408386</v>
      </c>
      <c r="BU42" s="25">
        <v>6.9804331328033218</v>
      </c>
      <c r="BV42" s="25">
        <v>3.1204937570298665</v>
      </c>
      <c r="BW42" s="25">
        <v>9.3914333435010597</v>
      </c>
      <c r="BX42" s="25">
        <v>0</v>
      </c>
      <c r="BY42" s="25">
        <v>2160.2661107767194</v>
      </c>
      <c r="BZ42" s="25">
        <v>43140.492653138856</v>
      </c>
      <c r="CA42" s="25">
        <v>0.20503361189743591</v>
      </c>
      <c r="CB42" s="25">
        <v>0</v>
      </c>
      <c r="CC42" s="25">
        <v>762.43633239786652</v>
      </c>
      <c r="CD42" s="25">
        <v>3022.7646692592871</v>
      </c>
      <c r="CE42" s="25">
        <v>-7273.1647991816653</v>
      </c>
      <c r="CF42" s="25">
        <v>39652.733889226234</v>
      </c>
      <c r="CG42" s="25">
        <v>41813</v>
      </c>
      <c r="CH42"/>
      <c r="CI42">
        <f t="shared" si="0"/>
        <v>0.94833506060857231</v>
      </c>
      <c r="CJ42"/>
      <c r="CK42"/>
      <c r="CL42"/>
      <c r="CM42"/>
      <c r="CN42"/>
      <c r="CO42"/>
      <c r="CP42"/>
      <c r="CQ42"/>
      <c r="CR42"/>
      <c r="CS42"/>
      <c r="CT42"/>
      <c r="CU42"/>
    </row>
    <row r="43" spans="1:99" s="5" customFormat="1" x14ac:dyDescent="0.3">
      <c r="A43" s="35" t="s">
        <v>47</v>
      </c>
      <c r="B43" s="11" t="s">
        <v>121</v>
      </c>
      <c r="C43" s="5">
        <v>38</v>
      </c>
      <c r="D43" s="25">
        <v>45.782288437245711</v>
      </c>
      <c r="E43" s="25">
        <v>29.239596913345242</v>
      </c>
      <c r="F43" s="25">
        <v>8.4320166405944832</v>
      </c>
      <c r="G43" s="25">
        <v>11.028587123657127</v>
      </c>
      <c r="H43" s="25">
        <v>80.655808675524071</v>
      </c>
      <c r="I43" s="25">
        <v>51.780234565585253</v>
      </c>
      <c r="J43" s="25">
        <v>8.1537520245893482</v>
      </c>
      <c r="K43" s="25">
        <v>70.003355856703521</v>
      </c>
      <c r="L43" s="25">
        <v>6.0434286287507843</v>
      </c>
      <c r="M43" s="25">
        <v>135.22112072819303</v>
      </c>
      <c r="N43" s="25">
        <v>76.098550648828109</v>
      </c>
      <c r="O43" s="25">
        <v>1.0050290181196722</v>
      </c>
      <c r="P43" s="25">
        <v>56.971174720237016</v>
      </c>
      <c r="Q43" s="25">
        <v>747.44728718589477</v>
      </c>
      <c r="R43" s="25">
        <v>163.13019854927774</v>
      </c>
      <c r="S43" s="25">
        <v>36.447294084671327</v>
      </c>
      <c r="T43" s="25">
        <v>22.146178253166504</v>
      </c>
      <c r="U43" s="25">
        <v>12.187559668481464</v>
      </c>
      <c r="V43" s="25">
        <v>29.950776492129563</v>
      </c>
      <c r="W43" s="25">
        <v>0.77037961564342716</v>
      </c>
      <c r="X43" s="25">
        <v>0.15650270436539049</v>
      </c>
      <c r="Y43" s="25">
        <v>3.1970506395294347</v>
      </c>
      <c r="Z43" s="25">
        <v>86.057607100965313</v>
      </c>
      <c r="AA43" s="25">
        <v>59.958222590080375</v>
      </c>
      <c r="AB43" s="25">
        <v>36.090306193794547</v>
      </c>
      <c r="AC43" s="25">
        <v>51.91197983661484</v>
      </c>
      <c r="AD43" s="25">
        <v>169.57606088592962</v>
      </c>
      <c r="AE43" s="25">
        <v>102.00533712396278</v>
      </c>
      <c r="AF43" s="25">
        <v>36.054503029592446</v>
      </c>
      <c r="AG43" s="25">
        <v>7.2052213003160466</v>
      </c>
      <c r="AH43" s="25">
        <v>89.485080536444698</v>
      </c>
      <c r="AI43" s="25">
        <v>61.480600967481401</v>
      </c>
      <c r="AJ43" s="25">
        <v>56.137189229721017</v>
      </c>
      <c r="AK43" s="25">
        <v>375.52821609189743</v>
      </c>
      <c r="AL43" s="25">
        <v>252.09890296761094</v>
      </c>
      <c r="AM43" s="25">
        <v>398.46123699916501</v>
      </c>
      <c r="AN43" s="25">
        <v>38.40365429506231</v>
      </c>
      <c r="AO43" s="25">
        <v>1960.1198644993181</v>
      </c>
      <c r="AP43" s="25">
        <v>165.5925563050794</v>
      </c>
      <c r="AQ43" s="25">
        <v>61.710357013717321</v>
      </c>
      <c r="AR43" s="25">
        <v>10.080442881128995</v>
      </c>
      <c r="AS43" s="25">
        <v>7.2222611522943634</v>
      </c>
      <c r="AT43" s="25">
        <v>6.0937967564972286</v>
      </c>
      <c r="AU43" s="25">
        <v>33.800583613346866</v>
      </c>
      <c r="AV43" s="25">
        <v>874.03621709689321</v>
      </c>
      <c r="AW43" s="25">
        <v>39.292437919857846</v>
      </c>
      <c r="AX43" s="25">
        <v>438.45063461684435</v>
      </c>
      <c r="AY43" s="40">
        <v>72.534590593157205</v>
      </c>
      <c r="AZ43" s="25">
        <v>53.474975030195026</v>
      </c>
      <c r="BA43" s="25">
        <v>1.8863702697401237</v>
      </c>
      <c r="BB43" s="25">
        <v>118.97152528898459</v>
      </c>
      <c r="BC43" s="25">
        <v>11.606562876415598</v>
      </c>
      <c r="BD43" s="25">
        <v>53.666761308420881</v>
      </c>
      <c r="BE43" s="25">
        <v>4.2463808734715762</v>
      </c>
      <c r="BF43" s="25">
        <v>30.04267614873508</v>
      </c>
      <c r="BG43" s="25">
        <v>8.160663636983907</v>
      </c>
      <c r="BH43" s="25">
        <v>52.216172275063364</v>
      </c>
      <c r="BI43" s="25">
        <v>124.57994644583015</v>
      </c>
      <c r="BJ43" s="25">
        <v>104.80804677786166</v>
      </c>
      <c r="BK43" s="25">
        <v>167.06610060286647</v>
      </c>
      <c r="BL43" s="25">
        <v>205.39394308036344</v>
      </c>
      <c r="BM43" s="25">
        <v>186.64130578892917</v>
      </c>
      <c r="BN43" s="25">
        <v>301.35842301516743</v>
      </c>
      <c r="BO43" s="25">
        <v>143.94754620854138</v>
      </c>
      <c r="BP43" s="25">
        <v>11.161014046942418</v>
      </c>
      <c r="BQ43" s="25">
        <v>469.840919301241</v>
      </c>
      <c r="BR43" s="25">
        <v>551.23724144244261</v>
      </c>
      <c r="BS43" s="25">
        <v>25.479786843630265</v>
      </c>
      <c r="BT43" s="25">
        <v>1456.9750726247385</v>
      </c>
      <c r="BU43" s="25">
        <v>8046.0911888969458</v>
      </c>
      <c r="BV43" s="25">
        <v>96.158920656638017</v>
      </c>
      <c r="BW43" s="25">
        <v>86.087862256028302</v>
      </c>
      <c r="BX43" s="25">
        <v>0</v>
      </c>
      <c r="BY43" s="25">
        <v>19396.335438467486</v>
      </c>
      <c r="BZ43" s="25">
        <v>3585.1584726113724</v>
      </c>
      <c r="CA43" s="25">
        <v>13.779791673091975</v>
      </c>
      <c r="CB43" s="25">
        <v>0</v>
      </c>
      <c r="CC43" s="25">
        <v>43100.800641060887</v>
      </c>
      <c r="CD43" s="25">
        <v>10150.493355155131</v>
      </c>
      <c r="CE43" s="25">
        <v>-1011.6289519688544</v>
      </c>
      <c r="CF43" s="25">
        <v>55838.603308531652</v>
      </c>
      <c r="CG43" s="25">
        <v>75235</v>
      </c>
      <c r="CH43"/>
      <c r="CI43">
        <f t="shared" si="0"/>
        <v>0.74218918466846084</v>
      </c>
      <c r="CJ43"/>
      <c r="CK43"/>
      <c r="CL43"/>
      <c r="CM43"/>
      <c r="CN43"/>
      <c r="CO43"/>
      <c r="CP43"/>
      <c r="CQ43"/>
      <c r="CR43"/>
      <c r="CS43"/>
      <c r="CT43"/>
      <c r="CU43"/>
    </row>
    <row r="44" spans="1:99" s="5" customFormat="1" x14ac:dyDescent="0.3">
      <c r="A44" s="35" t="s">
        <v>48</v>
      </c>
      <c r="B44" s="11" t="s">
        <v>122</v>
      </c>
      <c r="C44" s="5">
        <v>39</v>
      </c>
      <c r="D44" s="25">
        <v>95.999296681132464</v>
      </c>
      <c r="E44" s="25">
        <v>40.232594579558715</v>
      </c>
      <c r="F44" s="25">
        <v>86.09328184228761</v>
      </c>
      <c r="G44" s="25">
        <v>716.65195262567761</v>
      </c>
      <c r="H44" s="25">
        <v>3124.6300625370091</v>
      </c>
      <c r="I44" s="25">
        <v>1811.8295405689137</v>
      </c>
      <c r="J44" s="25">
        <v>682.14345655019474</v>
      </c>
      <c r="K44" s="25">
        <v>1147.1754610464577</v>
      </c>
      <c r="L44" s="25">
        <v>428.95832119905316</v>
      </c>
      <c r="M44" s="25">
        <v>665.69625867036598</v>
      </c>
      <c r="N44" s="25">
        <v>393.03264327304981</v>
      </c>
      <c r="O44" s="25">
        <v>12.305103637098773</v>
      </c>
      <c r="P44" s="25">
        <v>145.60212215246301</v>
      </c>
      <c r="Q44" s="25">
        <v>260.75603821784591</v>
      </c>
      <c r="R44" s="25">
        <v>168.16769926545578</v>
      </c>
      <c r="S44" s="25">
        <v>627.01736232719929</v>
      </c>
      <c r="T44" s="25">
        <v>2982.1012032257213</v>
      </c>
      <c r="U44" s="25">
        <v>1057.8342209006767</v>
      </c>
      <c r="V44" s="25">
        <v>620.66820095066282</v>
      </c>
      <c r="W44" s="25">
        <v>16.245734676674889</v>
      </c>
      <c r="X44" s="25">
        <v>12.915451439657728</v>
      </c>
      <c r="Y44" s="25">
        <v>778.15252442762608</v>
      </c>
      <c r="Z44" s="25">
        <v>1193.254417593294</v>
      </c>
      <c r="AA44" s="25">
        <v>534.26246660551578</v>
      </c>
      <c r="AB44" s="25">
        <v>157.71895599651921</v>
      </c>
      <c r="AC44" s="25">
        <v>621.45429989604781</v>
      </c>
      <c r="AD44" s="25">
        <v>554.3408438984851</v>
      </c>
      <c r="AE44" s="25">
        <v>2308.8231723313834</v>
      </c>
      <c r="AF44" s="25">
        <v>8729.3708884533844</v>
      </c>
      <c r="AG44" s="25">
        <v>1976.9636269964024</v>
      </c>
      <c r="AH44" s="25">
        <v>777.57051779516905</v>
      </c>
      <c r="AI44" s="25">
        <v>82.550318001962964</v>
      </c>
      <c r="AJ44" s="25">
        <v>458.15064711375845</v>
      </c>
      <c r="AK44" s="25">
        <v>1494.2985041274596</v>
      </c>
      <c r="AL44" s="25">
        <v>217.14626183967025</v>
      </c>
      <c r="AM44" s="25">
        <v>688.96154088669778</v>
      </c>
      <c r="AN44" s="25">
        <v>423.04824263360138</v>
      </c>
      <c r="AO44" s="25">
        <v>717.61152138013824</v>
      </c>
      <c r="AP44" s="25">
        <v>1073.442535639173</v>
      </c>
      <c r="AQ44" s="25">
        <v>1338.9613134551741</v>
      </c>
      <c r="AR44" s="25">
        <v>218.72054697927086</v>
      </c>
      <c r="AS44" s="25">
        <v>156.70510991279417</v>
      </c>
      <c r="AT44" s="25">
        <v>93.043618673964673</v>
      </c>
      <c r="AU44" s="25">
        <v>1187.090911745606</v>
      </c>
      <c r="AV44" s="25">
        <v>1957.5838891590849</v>
      </c>
      <c r="AW44" s="25">
        <v>735.16436650407445</v>
      </c>
      <c r="AX44" s="25">
        <v>4433.1198376557068</v>
      </c>
      <c r="AY44" s="40">
        <v>1319.0597394837819</v>
      </c>
      <c r="AZ44" s="25">
        <v>1781.7765364328345</v>
      </c>
      <c r="BA44" s="25">
        <v>768.3377038181635</v>
      </c>
      <c r="BB44" s="25">
        <v>3303.0994470395349</v>
      </c>
      <c r="BC44" s="25">
        <v>6.9671588698732334</v>
      </c>
      <c r="BD44" s="25">
        <v>292.83002362657419</v>
      </c>
      <c r="BE44" s="25">
        <v>404.22868151253954</v>
      </c>
      <c r="BF44" s="25">
        <v>154.53953860291639</v>
      </c>
      <c r="BG44" s="25">
        <v>393.52931220105557</v>
      </c>
      <c r="BH44" s="25">
        <v>1214.7449309694282</v>
      </c>
      <c r="BI44" s="25">
        <v>293.29376236333752</v>
      </c>
      <c r="BJ44" s="25">
        <v>155.80858758442469</v>
      </c>
      <c r="BK44" s="25">
        <v>871.89488192017279</v>
      </c>
      <c r="BL44" s="25">
        <v>175.41422656771934</v>
      </c>
      <c r="BM44" s="25">
        <v>151.98634605649491</v>
      </c>
      <c r="BN44" s="25">
        <v>956.83750310888684</v>
      </c>
      <c r="BO44" s="25">
        <v>919.48580131640881</v>
      </c>
      <c r="BP44" s="25">
        <v>224.93923811412708</v>
      </c>
      <c r="BQ44" s="25">
        <v>1063.5660838465978</v>
      </c>
      <c r="BR44" s="25">
        <v>152.45371925648601</v>
      </c>
      <c r="BS44" s="25">
        <v>1.5982707974041468</v>
      </c>
      <c r="BT44" s="25">
        <v>991.79393921623057</v>
      </c>
      <c r="BU44" s="25">
        <v>574.06167577908013</v>
      </c>
      <c r="BV44" s="25">
        <v>526.48429562594583</v>
      </c>
      <c r="BW44" s="25">
        <v>569.91556142450429</v>
      </c>
      <c r="BX44" s="25">
        <v>0</v>
      </c>
      <c r="BY44" s="25">
        <v>65272.213851603665</v>
      </c>
      <c r="BZ44" s="25">
        <v>4025.5921183981891</v>
      </c>
      <c r="CA44" s="25">
        <v>0.69952644059125191</v>
      </c>
      <c r="CB44" s="25">
        <v>0</v>
      </c>
      <c r="CC44" s="25">
        <v>770.6196783729273</v>
      </c>
      <c r="CD44" s="25">
        <v>9962.6097184136033</v>
      </c>
      <c r="CE44" s="25">
        <v>-63.734893227631026</v>
      </c>
      <c r="CF44" s="25">
        <v>14695.786148397679</v>
      </c>
      <c r="CG44" s="25">
        <v>79968</v>
      </c>
      <c r="CH44"/>
      <c r="CI44">
        <f t="shared" si="0"/>
        <v>0.18377083518904661</v>
      </c>
      <c r="CJ44"/>
      <c r="CK44"/>
      <c r="CL44"/>
      <c r="CM44"/>
      <c r="CN44"/>
      <c r="CO44"/>
      <c r="CP44"/>
      <c r="CQ44"/>
      <c r="CR44"/>
      <c r="CS44"/>
      <c r="CT44"/>
      <c r="CU44"/>
    </row>
    <row r="45" spans="1:99" s="18" customFormat="1" x14ac:dyDescent="0.3">
      <c r="A45" s="35" t="s">
        <v>49</v>
      </c>
      <c r="B45" s="4" t="s">
        <v>123</v>
      </c>
      <c r="C45" s="18">
        <v>40</v>
      </c>
      <c r="D45" s="46">
        <v>6395.2848420511436</v>
      </c>
      <c r="E45" s="46">
        <v>3669.191102193688</v>
      </c>
      <c r="F45" s="46">
        <v>323.32533505968428</v>
      </c>
      <c r="G45" s="46">
        <v>428.97571920001906</v>
      </c>
      <c r="H45" s="46">
        <v>249.12162279682406</v>
      </c>
      <c r="I45" s="46">
        <v>811.37785061707632</v>
      </c>
      <c r="J45" s="46">
        <v>272.83286268342215</v>
      </c>
      <c r="K45" s="46">
        <v>881.4067680355048</v>
      </c>
      <c r="L45" s="46">
        <v>55.54508054019044</v>
      </c>
      <c r="M45" s="46">
        <v>1747.4393465696521</v>
      </c>
      <c r="N45" s="46">
        <v>343.95120347653966</v>
      </c>
      <c r="O45" s="46">
        <v>27.165011246407275</v>
      </c>
      <c r="P45" s="46">
        <v>709.91225811816378</v>
      </c>
      <c r="Q45" s="46">
        <v>115.15108572556116</v>
      </c>
      <c r="R45" s="46">
        <v>144.75464421456547</v>
      </c>
      <c r="S45" s="46">
        <v>505.05656660149418</v>
      </c>
      <c r="T45" s="46">
        <v>1086.1980523218085</v>
      </c>
      <c r="U45" s="46">
        <v>77.841970404323575</v>
      </c>
      <c r="V45" s="46">
        <v>17.978287610272929</v>
      </c>
      <c r="W45" s="46">
        <v>0.38697918666622177</v>
      </c>
      <c r="X45" s="46">
        <v>1.8961224790417248E-2</v>
      </c>
      <c r="Y45" s="46">
        <v>54.932393285651408</v>
      </c>
      <c r="Z45" s="46">
        <v>1641.2751239942309</v>
      </c>
      <c r="AA45" s="46">
        <v>251.37967919043862</v>
      </c>
      <c r="AB45" s="46">
        <v>80.845610978814676</v>
      </c>
      <c r="AC45" s="46">
        <v>115.83358679282772</v>
      </c>
      <c r="AD45" s="46">
        <v>846.65337572872818</v>
      </c>
      <c r="AE45" s="46">
        <v>2854.4839302405439</v>
      </c>
      <c r="AF45" s="46">
        <v>1959.9920932796974</v>
      </c>
      <c r="AG45" s="46">
        <v>1834.870637334395</v>
      </c>
      <c r="AH45" s="46">
        <v>862.60401116109608</v>
      </c>
      <c r="AI45" s="46">
        <v>117.35017037558748</v>
      </c>
      <c r="AJ45" s="46">
        <v>398.86574666063683</v>
      </c>
      <c r="AK45" s="46">
        <v>431.75039602487624</v>
      </c>
      <c r="AL45" s="46">
        <v>415.45654108400561</v>
      </c>
      <c r="AM45" s="46">
        <v>900.339338092704</v>
      </c>
      <c r="AN45" s="46">
        <v>175.55883179475919</v>
      </c>
      <c r="AO45" s="46">
        <v>267.98770675658233</v>
      </c>
      <c r="AP45" s="46">
        <v>217.26177002052285</v>
      </c>
      <c r="AQ45" s="46">
        <v>56040.996010442221</v>
      </c>
      <c r="AR45" s="46">
        <v>2248.7232711605329</v>
      </c>
      <c r="AS45" s="46">
        <v>2.3733184303615484</v>
      </c>
      <c r="AT45" s="46">
        <v>3224.3241024390813</v>
      </c>
      <c r="AU45" s="46">
        <v>3664.4363186817113</v>
      </c>
      <c r="AV45" s="46">
        <v>473.83276661455142</v>
      </c>
      <c r="AW45" s="46">
        <v>1333.350375603304</v>
      </c>
      <c r="AX45" s="46">
        <v>17447.128176802285</v>
      </c>
      <c r="AY45" s="48">
        <v>26.3774484024107</v>
      </c>
      <c r="AZ45" s="46">
        <v>53.922481575237569</v>
      </c>
      <c r="BA45" s="46">
        <v>38.803575606969062</v>
      </c>
      <c r="BB45" s="46">
        <v>1181.1446132868057</v>
      </c>
      <c r="BC45" s="46">
        <v>1186.4213504458387</v>
      </c>
      <c r="BD45" s="46">
        <v>1700.4757738361636</v>
      </c>
      <c r="BE45" s="46">
        <v>98.902912421035069</v>
      </c>
      <c r="BF45" s="46">
        <v>335.6281199531112</v>
      </c>
      <c r="BG45" s="46">
        <v>1531.1591204565723</v>
      </c>
      <c r="BH45" s="46">
        <v>595.99822168586786</v>
      </c>
      <c r="BI45" s="46">
        <v>2001.6851401712015</v>
      </c>
      <c r="BJ45" s="46">
        <v>618.68950591094335</v>
      </c>
      <c r="BK45" s="46">
        <v>1104.1971387987751</v>
      </c>
      <c r="BL45" s="46">
        <v>268.65885483073032</v>
      </c>
      <c r="BM45" s="46">
        <v>202.2699884988684</v>
      </c>
      <c r="BN45" s="46">
        <v>164.1814310579839</v>
      </c>
      <c r="BO45" s="46">
        <v>6287.5566551167794</v>
      </c>
      <c r="BP45" s="46">
        <v>89.37397936722536</v>
      </c>
      <c r="BQ45" s="46">
        <v>4731.856904244738</v>
      </c>
      <c r="BR45" s="46">
        <v>1531.872385454642</v>
      </c>
      <c r="BS45" s="46">
        <v>1968.1986246776944</v>
      </c>
      <c r="BT45" s="46">
        <v>1013.6437461149346</v>
      </c>
      <c r="BU45" s="46">
        <v>1538.7878278866106</v>
      </c>
      <c r="BV45" s="46">
        <v>916.34217629072509</v>
      </c>
      <c r="BW45" s="46">
        <v>2497.6159097856694</v>
      </c>
      <c r="BX45" s="46">
        <v>0</v>
      </c>
      <c r="BY45" s="46">
        <v>147409.28471872551</v>
      </c>
      <c r="BZ45" s="46">
        <v>74.173163542265797</v>
      </c>
      <c r="CA45" s="46">
        <v>0</v>
      </c>
      <c r="CB45" s="46">
        <v>0</v>
      </c>
      <c r="CC45" s="46">
        <v>92106.415628982795</v>
      </c>
      <c r="CD45" s="46">
        <v>179.78295665382799</v>
      </c>
      <c r="CE45" s="46">
        <v>-8028.2998607546597</v>
      </c>
      <c r="CF45" s="46">
        <v>84332.071888424252</v>
      </c>
      <c r="CG45" s="46">
        <v>231741.35660714976</v>
      </c>
      <c r="CH45"/>
      <c r="CI45">
        <f t="shared" si="0"/>
        <v>0.36390600764189368</v>
      </c>
      <c r="CJ45"/>
      <c r="CK45"/>
      <c r="CL45"/>
      <c r="CM45"/>
      <c r="CN45"/>
      <c r="CO45"/>
      <c r="CP45"/>
      <c r="CQ45"/>
      <c r="CR45"/>
      <c r="CS45"/>
      <c r="CT45"/>
      <c r="CU45"/>
    </row>
    <row r="46" spans="1:99" s="18" customFormat="1" x14ac:dyDescent="0.3">
      <c r="A46" s="35" t="s">
        <v>50</v>
      </c>
      <c r="B46" s="4" t="s">
        <v>124</v>
      </c>
      <c r="C46" s="18">
        <v>41</v>
      </c>
      <c r="D46" s="46">
        <v>1400.0172235451139</v>
      </c>
      <c r="E46" s="46">
        <v>803.22910957502359</v>
      </c>
      <c r="F46" s="46">
        <v>70.75275793752688</v>
      </c>
      <c r="G46" s="46">
        <v>21.195726764161069</v>
      </c>
      <c r="H46" s="46">
        <v>12.199259806034101</v>
      </c>
      <c r="I46" s="46">
        <v>40.075277110737119</v>
      </c>
      <c r="J46" s="46">
        <v>13.479532257438787</v>
      </c>
      <c r="K46" s="46">
        <v>190.31440517120922</v>
      </c>
      <c r="L46" s="46">
        <v>11.676093085631189</v>
      </c>
      <c r="M46" s="46">
        <v>380.54681347562149</v>
      </c>
      <c r="N46" s="46">
        <v>74.965026320641769</v>
      </c>
      <c r="O46" s="46">
        <v>5.8558789304925387</v>
      </c>
      <c r="P46" s="46">
        <v>154.29860212490846</v>
      </c>
      <c r="Q46" s="46">
        <v>23.836707510015554</v>
      </c>
      <c r="R46" s="46">
        <v>31.317968215000686</v>
      </c>
      <c r="S46" s="46">
        <v>110.40196734449107</v>
      </c>
      <c r="T46" s="46">
        <v>237.12579059888785</v>
      </c>
      <c r="U46" s="46">
        <v>7.7863479085375547</v>
      </c>
      <c r="V46" s="46">
        <v>1.5752700790749781</v>
      </c>
      <c r="W46" s="46">
        <v>3.2926073950023886E-2</v>
      </c>
      <c r="X46" s="46">
        <v>1.8735492585510666E-3</v>
      </c>
      <c r="Y46" s="46">
        <v>5.2719440437416694</v>
      </c>
      <c r="Z46" s="46">
        <v>165.2805081705267</v>
      </c>
      <c r="AA46" s="46">
        <v>25.21065694985635</v>
      </c>
      <c r="AB46" s="46">
        <v>7.9065920444664792</v>
      </c>
      <c r="AC46" s="46">
        <v>11.251018747073257</v>
      </c>
      <c r="AD46" s="46">
        <v>84.821010061106719</v>
      </c>
      <c r="AE46" s="46">
        <v>287.6814772084943</v>
      </c>
      <c r="AF46" s="46">
        <v>197.27343089664228</v>
      </c>
      <c r="AG46" s="46">
        <v>185.02013796801486</v>
      </c>
      <c r="AH46" s="46">
        <v>86.6674232251235</v>
      </c>
      <c r="AI46" s="46">
        <v>11.571197580866773</v>
      </c>
      <c r="AJ46" s="46">
        <v>40.036437247477579</v>
      </c>
      <c r="AK46" s="46">
        <v>43.156590866034414</v>
      </c>
      <c r="AL46" s="46">
        <v>41.649136682680606</v>
      </c>
      <c r="AM46" s="46">
        <v>90.469355239364148</v>
      </c>
      <c r="AN46" s="46">
        <v>17.616358624088001</v>
      </c>
      <c r="AO46" s="46">
        <v>26.709257415213148</v>
      </c>
      <c r="AP46" s="46">
        <v>10.720945718595928</v>
      </c>
      <c r="AQ46" s="46">
        <v>2329.3415319767278</v>
      </c>
      <c r="AR46" s="46">
        <v>8887.7402538823953</v>
      </c>
      <c r="AS46" s="46">
        <v>8.8882234982647274E-2</v>
      </c>
      <c r="AT46" s="46">
        <v>705.61464953902191</v>
      </c>
      <c r="AU46" s="46">
        <v>181.02949201916158</v>
      </c>
      <c r="AV46" s="46">
        <v>99.604798039048049</v>
      </c>
      <c r="AW46" s="46">
        <v>278.12074764016967</v>
      </c>
      <c r="AX46" s="46">
        <v>3669.2503475272042</v>
      </c>
      <c r="AY46" s="48">
        <v>0.99072064053320175</v>
      </c>
      <c r="AZ46" s="46">
        <v>11.526444101193297</v>
      </c>
      <c r="BA46" s="46">
        <v>8.0967208861890239</v>
      </c>
      <c r="BB46" s="46">
        <v>115.34938975458087</v>
      </c>
      <c r="BC46" s="46">
        <v>255.11247467713582</v>
      </c>
      <c r="BD46" s="46">
        <v>350.9225077203759</v>
      </c>
      <c r="BE46" s="46">
        <v>20.97852137756318</v>
      </c>
      <c r="BF46" s="46">
        <v>71.731833997546161</v>
      </c>
      <c r="BG46" s="46">
        <v>326.84620129538564</v>
      </c>
      <c r="BH46" s="46">
        <v>123.48327725766521</v>
      </c>
      <c r="BI46" s="46">
        <v>418.54052636651534</v>
      </c>
      <c r="BJ46" s="46">
        <v>127.2719886937218</v>
      </c>
      <c r="BK46" s="46">
        <v>222.23551952040407</v>
      </c>
      <c r="BL46" s="46">
        <v>54.978845367364066</v>
      </c>
      <c r="BM46" s="46">
        <v>40.20660984178518</v>
      </c>
      <c r="BN46" s="46">
        <v>31.779413204633123</v>
      </c>
      <c r="BO46" s="46">
        <v>1363.2727716625741</v>
      </c>
      <c r="BP46" s="46">
        <v>18.58963394214252</v>
      </c>
      <c r="BQ46" s="46">
        <v>473.71504157564732</v>
      </c>
      <c r="BR46" s="46">
        <v>153.72295707852274</v>
      </c>
      <c r="BS46" s="46">
        <v>412.88237624392127</v>
      </c>
      <c r="BT46" s="46">
        <v>101.67510794586833</v>
      </c>
      <c r="BU46" s="46">
        <v>327.24696915959009</v>
      </c>
      <c r="BV46" s="46">
        <v>186.63241979049721</v>
      </c>
      <c r="BW46" s="46">
        <v>533.07785938852112</v>
      </c>
      <c r="BX46" s="46">
        <v>0</v>
      </c>
      <c r="BY46" s="46">
        <v>26830.65487042172</v>
      </c>
      <c r="BZ46" s="46">
        <v>0</v>
      </c>
      <c r="CA46" s="46">
        <v>0</v>
      </c>
      <c r="CB46" s="46">
        <v>0</v>
      </c>
      <c r="CC46" s="46">
        <v>6979.057831786</v>
      </c>
      <c r="CD46" s="46">
        <v>6.1148535336989696</v>
      </c>
      <c r="CE46" s="46">
        <v>668.92538538760505</v>
      </c>
      <c r="CF46" s="46">
        <v>7654.0980707073031</v>
      </c>
      <c r="CG46" s="46">
        <v>34484.752941129023</v>
      </c>
      <c r="CH46"/>
      <c r="CI46">
        <f t="shared" si="0"/>
        <v>0.22195600715986191</v>
      </c>
      <c r="CJ46"/>
      <c r="CK46"/>
      <c r="CL46"/>
      <c r="CM46"/>
      <c r="CN46"/>
      <c r="CO46"/>
      <c r="CP46"/>
      <c r="CQ46"/>
      <c r="CR46"/>
      <c r="CS46"/>
      <c r="CT46"/>
      <c r="CU46"/>
    </row>
    <row r="47" spans="1:99" s="18" customFormat="1" x14ac:dyDescent="0.3">
      <c r="A47" s="35" t="s">
        <v>51</v>
      </c>
      <c r="B47" s="4" t="s">
        <v>125</v>
      </c>
      <c r="C47" s="18">
        <v>42</v>
      </c>
      <c r="D47" s="46">
        <v>2.1140917685023908</v>
      </c>
      <c r="E47" s="46">
        <v>1.2134196489175375</v>
      </c>
      <c r="F47" s="46">
        <v>0.10864495942257006</v>
      </c>
      <c r="G47" s="46">
        <v>0.1519773584299916</v>
      </c>
      <c r="H47" s="46">
        <v>0.19472275347510684</v>
      </c>
      <c r="I47" s="46">
        <v>0.28765797874156102</v>
      </c>
      <c r="J47" s="46">
        <v>9.7766048925944718E-2</v>
      </c>
      <c r="K47" s="46">
        <v>0.45386221373432289</v>
      </c>
      <c r="L47" s="46">
        <v>4.8693555247294087E-2</v>
      </c>
      <c r="M47" s="46">
        <v>0.70205867100052566</v>
      </c>
      <c r="N47" s="46">
        <v>0.12925739537315478</v>
      </c>
      <c r="O47" s="46">
        <v>1.3660813130261081E-2</v>
      </c>
      <c r="P47" s="46">
        <v>0.30567924307621946</v>
      </c>
      <c r="Q47" s="46">
        <v>0.12478766008522055</v>
      </c>
      <c r="R47" s="46">
        <v>6.9926296055521656E-2</v>
      </c>
      <c r="S47" s="46">
        <v>0.17644551127634889</v>
      </c>
      <c r="T47" s="46">
        <v>0.39893559875776191</v>
      </c>
      <c r="U47" s="46">
        <v>3.8227025541392727E-2</v>
      </c>
      <c r="V47" s="46">
        <v>4.9649387249920178E-2</v>
      </c>
      <c r="W47" s="46">
        <v>1.2482045627834981E-3</v>
      </c>
      <c r="X47" s="46">
        <v>1.3554722007665964E-5</v>
      </c>
      <c r="Y47" s="46">
        <v>6.7787742612850976E-2</v>
      </c>
      <c r="Z47" s="46">
        <v>0.59821907206758762</v>
      </c>
      <c r="AA47" s="46">
        <v>0.10981400755719953</v>
      </c>
      <c r="AB47" s="46">
        <v>6.8236554158800256E-2</v>
      </c>
      <c r="AC47" s="46">
        <v>0.10189907168626587</v>
      </c>
      <c r="AD47" s="46">
        <v>0.38972656732607602</v>
      </c>
      <c r="AE47" s="46">
        <v>1.008438596509883</v>
      </c>
      <c r="AF47" s="46">
        <v>0.73898058396320909</v>
      </c>
      <c r="AG47" s="46">
        <v>0.62350639954471254</v>
      </c>
      <c r="AH47" s="46">
        <v>0.35355807304863207</v>
      </c>
      <c r="AI47" s="46">
        <v>8.4922891636711295E-2</v>
      </c>
      <c r="AJ47" s="46">
        <v>0.16114737985577476</v>
      </c>
      <c r="AK47" s="46">
        <v>0.19648170477553736</v>
      </c>
      <c r="AL47" s="46">
        <v>0.16855949222823208</v>
      </c>
      <c r="AM47" s="46">
        <v>0.35746092489849074</v>
      </c>
      <c r="AN47" s="46">
        <v>7.3893667626261456E-2</v>
      </c>
      <c r="AO47" s="46">
        <v>0.1480368016098797</v>
      </c>
      <c r="AP47" s="46">
        <v>8.7934444559198827E-2</v>
      </c>
      <c r="AQ47" s="46">
        <v>16645.383086888502</v>
      </c>
      <c r="AR47" s="46">
        <v>0.20782398995164733</v>
      </c>
      <c r="AS47" s="46">
        <v>2.7647368420133069E-2</v>
      </c>
      <c r="AT47" s="46">
        <v>1.0805067646843851</v>
      </c>
      <c r="AU47" s="46">
        <v>1.3287705438090009</v>
      </c>
      <c r="AV47" s="46">
        <v>0.41526764393622018</v>
      </c>
      <c r="AW47" s="46">
        <v>1.3202834066005704</v>
      </c>
      <c r="AX47" s="46">
        <v>15.351602225585239</v>
      </c>
      <c r="AY47" s="47">
        <v>0.31437856129634317</v>
      </c>
      <c r="AZ47" s="46">
        <v>3.544987174588593E-2</v>
      </c>
      <c r="BA47" s="46">
        <v>3.8255371596953712E-2</v>
      </c>
      <c r="BB47" s="46">
        <v>1.0927636755986576</v>
      </c>
      <c r="BC47" s="46">
        <v>0.68689011918802567</v>
      </c>
      <c r="BD47" s="46">
        <v>1.9254964466497269</v>
      </c>
      <c r="BE47" s="46">
        <v>7.5540548393522602E-2</v>
      </c>
      <c r="BF47" s="46">
        <v>0.22225649225220545</v>
      </c>
      <c r="BG47" s="46">
        <v>1.0349144805183543</v>
      </c>
      <c r="BH47" s="46">
        <v>0.63671621250046229</v>
      </c>
      <c r="BI47" s="46">
        <v>1.9172753678401568</v>
      </c>
      <c r="BJ47" s="46">
        <v>0.72645642258958343</v>
      </c>
      <c r="BK47" s="46">
        <v>1.6103736920188405</v>
      </c>
      <c r="BL47" s="46">
        <v>0.28202501419976095</v>
      </c>
      <c r="BM47" s="46">
        <v>0.3271418800214434</v>
      </c>
      <c r="BN47" s="46">
        <v>0.31819807204010597</v>
      </c>
      <c r="BO47" s="46">
        <v>2.9174939524490915</v>
      </c>
      <c r="BP47" s="46">
        <v>9.1885624623398957E-2</v>
      </c>
      <c r="BQ47" s="46">
        <v>2.2552452249922998</v>
      </c>
      <c r="BR47" s="46">
        <v>0.66347015475166826</v>
      </c>
      <c r="BS47" s="46">
        <v>1.7997554308709072</v>
      </c>
      <c r="BT47" s="46">
        <v>0.44691178520480601</v>
      </c>
      <c r="BU47" s="46">
        <v>1.1222598207278118</v>
      </c>
      <c r="BV47" s="46">
        <v>1.1954726632300301</v>
      </c>
      <c r="BW47" s="46">
        <v>1.7001468066787</v>
      </c>
      <c r="BX47" s="46">
        <v>0</v>
      </c>
      <c r="BY47" s="46">
        <v>16700.571092145357</v>
      </c>
      <c r="BZ47" s="46">
        <v>0</v>
      </c>
      <c r="CA47" s="46">
        <v>0</v>
      </c>
      <c r="CB47" s="46">
        <v>0</v>
      </c>
      <c r="CC47" s="46">
        <v>19.733519849987101</v>
      </c>
      <c r="CD47" s="46">
        <v>24.2059345392449</v>
      </c>
      <c r="CE47" s="46">
        <v>9.2252057330644703</v>
      </c>
      <c r="CF47" s="46">
        <v>53.164660122296482</v>
      </c>
      <c r="CG47" s="46">
        <v>16753.735752267654</v>
      </c>
      <c r="CH47"/>
      <c r="CI47">
        <f t="shared" si="0"/>
        <v>3.1733018180796204E-3</v>
      </c>
      <c r="CJ47"/>
      <c r="CK47"/>
      <c r="CL47"/>
      <c r="CM47"/>
      <c r="CN47"/>
      <c r="CO47"/>
      <c r="CP47"/>
      <c r="CQ47"/>
      <c r="CR47"/>
      <c r="CS47"/>
      <c r="CT47"/>
      <c r="CU47"/>
    </row>
    <row r="48" spans="1:99" s="18" customFormat="1" x14ac:dyDescent="0.3">
      <c r="A48" s="35" t="s">
        <v>52</v>
      </c>
      <c r="B48" s="4" t="s">
        <v>126</v>
      </c>
      <c r="C48" s="18">
        <v>43</v>
      </c>
      <c r="D48" s="46">
        <v>521.81884440368481</v>
      </c>
      <c r="E48" s="46">
        <v>299.38343174810808</v>
      </c>
      <c r="F48" s="46">
        <v>26.375641157672085</v>
      </c>
      <c r="G48" s="46">
        <v>222.35899791484294</v>
      </c>
      <c r="H48" s="46">
        <v>124.64050516210364</v>
      </c>
      <c r="I48" s="46">
        <v>420.04605321631823</v>
      </c>
      <c r="J48" s="46">
        <v>141.3595571129872</v>
      </c>
      <c r="K48" s="46">
        <v>519.34739635040523</v>
      </c>
      <c r="L48" s="46">
        <v>31.757555455318581</v>
      </c>
      <c r="M48" s="46">
        <v>1039.529371796581</v>
      </c>
      <c r="N48" s="46">
        <v>204.81090642455376</v>
      </c>
      <c r="O48" s="46">
        <v>15.978871574331789</v>
      </c>
      <c r="P48" s="46">
        <v>442.64807427367293</v>
      </c>
      <c r="Q48" s="46">
        <v>67.95582985819307</v>
      </c>
      <c r="R48" s="46">
        <v>89.795921323571989</v>
      </c>
      <c r="S48" s="46">
        <v>316.94613878766728</v>
      </c>
      <c r="T48" s="46">
        <v>753.03007667585541</v>
      </c>
      <c r="U48" s="46">
        <v>49.397585644490086</v>
      </c>
      <c r="V48" s="46">
        <v>22.319131437219447</v>
      </c>
      <c r="W48" s="46">
        <v>0.45692501861861456</v>
      </c>
      <c r="X48" s="46">
        <v>2.8617789902563241E-2</v>
      </c>
      <c r="Y48" s="46">
        <v>79.176542560397252</v>
      </c>
      <c r="Z48" s="46">
        <v>2551.5810357386217</v>
      </c>
      <c r="AA48" s="46">
        <v>388.32409738831029</v>
      </c>
      <c r="AB48" s="46">
        <v>120.10695926216833</v>
      </c>
      <c r="AC48" s="46">
        <v>170.33375745636798</v>
      </c>
      <c r="AD48" s="46">
        <v>1305.7145939516126</v>
      </c>
      <c r="AE48" s="46">
        <v>263.63484190803092</v>
      </c>
      <c r="AF48" s="46">
        <v>1804.7351374705336</v>
      </c>
      <c r="AG48" s="46">
        <v>576.36351450617769</v>
      </c>
      <c r="AH48" s="46">
        <v>269.6070084195224</v>
      </c>
      <c r="AI48" s="46">
        <v>35.74702752033749</v>
      </c>
      <c r="AJ48" s="46">
        <v>124.52314955857504</v>
      </c>
      <c r="AK48" s="46">
        <v>133.99114934874666</v>
      </c>
      <c r="AL48" s="46">
        <v>129.49633580856297</v>
      </c>
      <c r="AM48" s="46">
        <v>281.47073729641568</v>
      </c>
      <c r="AN48" s="46">
        <v>54.778669565608368</v>
      </c>
      <c r="AO48" s="46">
        <v>82.837970217174771</v>
      </c>
      <c r="AP48" s="46">
        <v>65.805057212278143</v>
      </c>
      <c r="AQ48" s="46">
        <v>8230.2788707269774</v>
      </c>
      <c r="AR48" s="46">
        <v>496.4710179174823</v>
      </c>
      <c r="AS48" s="46">
        <v>0.10289925566487136</v>
      </c>
      <c r="AT48" s="46">
        <v>698.16099711610798</v>
      </c>
      <c r="AU48" s="46">
        <v>351.25028049389886</v>
      </c>
      <c r="AV48" s="46">
        <v>46.310899070192555</v>
      </c>
      <c r="AW48" s="46">
        <v>129.61330996575714</v>
      </c>
      <c r="AX48" s="46">
        <v>1705.5087227755357</v>
      </c>
      <c r="AY48" s="48">
        <v>1553.3183672703592</v>
      </c>
      <c r="AZ48" s="46">
        <v>4.3409965979291956</v>
      </c>
      <c r="BA48" s="46">
        <v>3.081680454868656</v>
      </c>
      <c r="BB48" s="46">
        <v>115.57832172798365</v>
      </c>
      <c r="BC48" s="46">
        <v>117.74710619134743</v>
      </c>
      <c r="BD48" s="46">
        <v>164.10575946455157</v>
      </c>
      <c r="BE48" s="46">
        <v>9.7246253200549191</v>
      </c>
      <c r="BF48" s="46">
        <v>33.171278592186262</v>
      </c>
      <c r="BG48" s="46">
        <v>151.2081806653739</v>
      </c>
      <c r="BH48" s="46">
        <v>57.679251451756187</v>
      </c>
      <c r="BI48" s="46">
        <v>194.90167100174267</v>
      </c>
      <c r="BJ48" s="46">
        <v>59.578899526608964</v>
      </c>
      <c r="BK48" s="46">
        <v>104.77869212299335</v>
      </c>
      <c r="BL48" s="46">
        <v>25.835397529835245</v>
      </c>
      <c r="BM48" s="46">
        <v>19.034478989945264</v>
      </c>
      <c r="BN48" s="46">
        <v>15.181498160332605</v>
      </c>
      <c r="BO48" s="46">
        <v>627.58400535281521</v>
      </c>
      <c r="BP48" s="46">
        <v>8.6712270809647887</v>
      </c>
      <c r="BQ48" s="46">
        <v>449.38657747942591</v>
      </c>
      <c r="BR48" s="46">
        <v>145.78473232147695</v>
      </c>
      <c r="BS48" s="46">
        <v>192.06581076532112</v>
      </c>
      <c r="BT48" s="46">
        <v>96.429983490523171</v>
      </c>
      <c r="BU48" s="46">
        <v>151.56913404909545</v>
      </c>
      <c r="BV48" s="46">
        <v>87.650661730195651</v>
      </c>
      <c r="BW48" s="46">
        <v>246.61920882367775</v>
      </c>
      <c r="BX48" s="46">
        <v>0</v>
      </c>
      <c r="BY48" s="46">
        <v>30040.937561798513</v>
      </c>
      <c r="BZ48" s="46">
        <v>3.4783577584564198</v>
      </c>
      <c r="CA48" s="46">
        <v>0</v>
      </c>
      <c r="CB48" s="46">
        <v>0</v>
      </c>
      <c r="CC48" s="46">
        <v>2661.4744216102399</v>
      </c>
      <c r="CD48" s="46">
        <v>75.878454015630993</v>
      </c>
      <c r="CE48" s="46">
        <v>7377.3859042707199</v>
      </c>
      <c r="CF48" s="46">
        <v>10118.217137655047</v>
      </c>
      <c r="CG48" s="46">
        <v>40159.15469945356</v>
      </c>
      <c r="CH48"/>
      <c r="CI48">
        <f t="shared" si="0"/>
        <v>0.25195294107604121</v>
      </c>
      <c r="CJ48"/>
      <c r="CK48"/>
      <c r="CL48"/>
      <c r="CM48"/>
      <c r="CN48"/>
      <c r="CO48"/>
      <c r="CP48"/>
      <c r="CQ48"/>
      <c r="CR48"/>
      <c r="CS48"/>
      <c r="CT48"/>
      <c r="CU48"/>
    </row>
    <row r="49" spans="1:99" s="5" customFormat="1" x14ac:dyDescent="0.3">
      <c r="A49" s="35" t="s">
        <v>53</v>
      </c>
      <c r="B49" s="11" t="s">
        <v>127</v>
      </c>
      <c r="C49" s="5">
        <v>44</v>
      </c>
      <c r="D49" s="25">
        <v>11.385935985274436</v>
      </c>
      <c r="E49" s="25">
        <v>2.6792019065488377</v>
      </c>
      <c r="F49" s="25">
        <v>1.477176096947511</v>
      </c>
      <c r="G49" s="25">
        <v>27.466778099537997</v>
      </c>
      <c r="H49" s="25">
        <v>76.39341714586493</v>
      </c>
      <c r="I49" s="25">
        <v>276.98821854047941</v>
      </c>
      <c r="J49" s="25">
        <v>58.205986552434929</v>
      </c>
      <c r="K49" s="25">
        <v>185.26808359632767</v>
      </c>
      <c r="L49" s="25">
        <v>57.976760215508698</v>
      </c>
      <c r="M49" s="25">
        <v>355.73583064350282</v>
      </c>
      <c r="N49" s="25">
        <v>498.03067105678667</v>
      </c>
      <c r="O49" s="25">
        <v>1.152869068502594</v>
      </c>
      <c r="P49" s="25">
        <v>68.904850336306779</v>
      </c>
      <c r="Q49" s="25">
        <v>30.051704559662081</v>
      </c>
      <c r="R49" s="25">
        <v>25.257569020744263</v>
      </c>
      <c r="S49" s="25">
        <v>261.20949047728482</v>
      </c>
      <c r="T49" s="25">
        <v>342.45194239240118</v>
      </c>
      <c r="U49" s="25">
        <v>6.4445517898716611</v>
      </c>
      <c r="V49" s="25">
        <v>412.65920008026944</v>
      </c>
      <c r="W49" s="25">
        <v>10.63000086302589</v>
      </c>
      <c r="X49" s="25">
        <v>1.9108335777401728</v>
      </c>
      <c r="Y49" s="25">
        <v>33.482582879987305</v>
      </c>
      <c r="Z49" s="25">
        <v>701.73744945232147</v>
      </c>
      <c r="AA49" s="25">
        <v>472.51164491328899</v>
      </c>
      <c r="AB49" s="25">
        <v>142.9637987561735</v>
      </c>
      <c r="AC49" s="25">
        <v>84.158642888035033</v>
      </c>
      <c r="AD49" s="25">
        <v>535.38413341082946</v>
      </c>
      <c r="AE49" s="25">
        <v>692.40927836909123</v>
      </c>
      <c r="AF49" s="25">
        <v>4649.6417093644268</v>
      </c>
      <c r="AG49" s="25">
        <v>2358.9360126241581</v>
      </c>
      <c r="AH49" s="25">
        <v>175.02493561481899</v>
      </c>
      <c r="AI49" s="25">
        <v>19.434433703053454</v>
      </c>
      <c r="AJ49" s="25">
        <v>59.444772706659933</v>
      </c>
      <c r="AK49" s="25">
        <v>86.920770037207603</v>
      </c>
      <c r="AL49" s="25">
        <v>126.88606689578958</v>
      </c>
      <c r="AM49" s="25">
        <v>311.10131164303669</v>
      </c>
      <c r="AN49" s="25">
        <v>92.757888905697897</v>
      </c>
      <c r="AO49" s="25">
        <v>79.472996583448349</v>
      </c>
      <c r="AP49" s="25">
        <v>29.881987478666833</v>
      </c>
      <c r="AQ49" s="25">
        <v>67.031585055573885</v>
      </c>
      <c r="AR49" s="25">
        <v>10.949670316022512</v>
      </c>
      <c r="AS49" s="25">
        <v>7.845030172422657</v>
      </c>
      <c r="AT49" s="25">
        <v>1.1739003575789004</v>
      </c>
      <c r="AU49" s="25">
        <v>1062.6781449527298</v>
      </c>
      <c r="AV49" s="25">
        <v>277.72858696960748</v>
      </c>
      <c r="AW49" s="25">
        <v>429.16433058271144</v>
      </c>
      <c r="AX49" s="25">
        <v>4258.8786036149886</v>
      </c>
      <c r="AY49" s="40">
        <v>343.79743351162188</v>
      </c>
      <c r="AZ49" s="25">
        <v>9.7945590589226175</v>
      </c>
      <c r="BA49" s="25">
        <v>8.2109751469891457</v>
      </c>
      <c r="BB49" s="25">
        <v>809.59566521293823</v>
      </c>
      <c r="BC49" s="25">
        <v>445.84402458133093</v>
      </c>
      <c r="BD49" s="25">
        <v>1269.9302326013269</v>
      </c>
      <c r="BE49" s="25">
        <v>25.678695660313274</v>
      </c>
      <c r="BF49" s="25">
        <v>57.186367724128694</v>
      </c>
      <c r="BG49" s="25">
        <v>49.700454115368991</v>
      </c>
      <c r="BH49" s="25">
        <v>122.75778744682799</v>
      </c>
      <c r="BI49" s="25">
        <v>472.7688459856891</v>
      </c>
      <c r="BJ49" s="25">
        <v>432.01442194773057</v>
      </c>
      <c r="BK49" s="25">
        <v>606.85135544814943</v>
      </c>
      <c r="BL49" s="25">
        <v>73.331234477903976</v>
      </c>
      <c r="BM49" s="25">
        <v>39.840043899426355</v>
      </c>
      <c r="BN49" s="25">
        <v>52.186026759690435</v>
      </c>
      <c r="BO49" s="25">
        <v>5777.2928626361463</v>
      </c>
      <c r="BP49" s="25">
        <v>31.682272632844551</v>
      </c>
      <c r="BQ49" s="25">
        <v>10413.963511517219</v>
      </c>
      <c r="BR49" s="25">
        <v>1380.3932614420371</v>
      </c>
      <c r="BS49" s="25">
        <v>276.10958537336415</v>
      </c>
      <c r="BT49" s="25">
        <v>1532.3417178410789</v>
      </c>
      <c r="BU49" s="25">
        <v>2210.7472141368899</v>
      </c>
      <c r="BV49" s="25">
        <v>124.7403971501829</v>
      </c>
      <c r="BW49" s="25">
        <v>2031.1036862129154</v>
      </c>
      <c r="BX49" s="25">
        <v>0</v>
      </c>
      <c r="BY49" s="25">
        <v>48077.743972774399</v>
      </c>
      <c r="BZ49" s="25">
        <v>24.483588934090676</v>
      </c>
      <c r="CA49" s="25">
        <v>7.567895966005847E-2</v>
      </c>
      <c r="CB49" s="25">
        <v>0</v>
      </c>
      <c r="CC49" s="25">
        <v>33927.859585955033</v>
      </c>
      <c r="CD49" s="25">
        <v>34.004921992859849</v>
      </c>
      <c r="CE49" s="25">
        <v>155.82622566054073</v>
      </c>
      <c r="CF49" s="25">
        <v>34142.250001502187</v>
      </c>
      <c r="CG49" s="25">
        <v>82220</v>
      </c>
      <c r="CH49"/>
      <c r="CI49">
        <f t="shared" si="0"/>
        <v>0.4152548042021672</v>
      </c>
      <c r="CJ49"/>
      <c r="CK49"/>
      <c r="CL49"/>
      <c r="CM49"/>
      <c r="CN49"/>
      <c r="CO49"/>
      <c r="CP49"/>
      <c r="CQ49"/>
      <c r="CR49"/>
      <c r="CS49"/>
      <c r="CT49"/>
      <c r="CU49"/>
    </row>
    <row r="50" spans="1:99" s="5" customFormat="1" x14ac:dyDescent="0.3">
      <c r="A50" s="35" t="s">
        <v>54</v>
      </c>
      <c r="B50" s="13" t="s">
        <v>128</v>
      </c>
      <c r="C50" s="5">
        <v>45</v>
      </c>
      <c r="D50" s="25">
        <v>104.44437799575309</v>
      </c>
      <c r="E50" s="25">
        <v>188.15897807636571</v>
      </c>
      <c r="F50" s="25">
        <v>12.143414890044884</v>
      </c>
      <c r="G50" s="25">
        <v>6.7017627372241373</v>
      </c>
      <c r="H50" s="25">
        <v>2129.1012085362008</v>
      </c>
      <c r="I50" s="25">
        <v>1976.3194834801707</v>
      </c>
      <c r="J50" s="25">
        <v>297.8028543692983</v>
      </c>
      <c r="K50" s="25">
        <v>11.045395852960475</v>
      </c>
      <c r="L50" s="25">
        <v>8.5788605790336394</v>
      </c>
      <c r="M50" s="25">
        <v>26.166897952772889</v>
      </c>
      <c r="N50" s="25">
        <v>5.5606197568396496</v>
      </c>
      <c r="O50" s="25">
        <v>0.75902274958898563</v>
      </c>
      <c r="P50" s="25">
        <v>25.310311767506914</v>
      </c>
      <c r="Q50" s="25">
        <v>4.4915832145390713</v>
      </c>
      <c r="R50" s="25">
        <v>1.747297147881032</v>
      </c>
      <c r="S50" s="25">
        <v>2.1934295800055317</v>
      </c>
      <c r="T50" s="25">
        <v>36.091911312794949</v>
      </c>
      <c r="U50" s="25">
        <v>20.367000673598167</v>
      </c>
      <c r="V50" s="25">
        <v>33.996864112439361</v>
      </c>
      <c r="W50" s="25">
        <v>0.87185730741528222</v>
      </c>
      <c r="X50" s="25">
        <v>5.5708767566477633E-3</v>
      </c>
      <c r="Y50" s="25">
        <v>30.079174622546024</v>
      </c>
      <c r="Z50" s="25">
        <v>75.628418984406466</v>
      </c>
      <c r="AA50" s="25">
        <v>8.4548561744811295</v>
      </c>
      <c r="AB50" s="25">
        <v>2.7737366601298268</v>
      </c>
      <c r="AC50" s="25">
        <v>5.1263300538650238</v>
      </c>
      <c r="AD50" s="25">
        <v>13.091309114593802</v>
      </c>
      <c r="AE50" s="25">
        <v>29.82842117534112</v>
      </c>
      <c r="AF50" s="25">
        <v>140.4383482720915</v>
      </c>
      <c r="AG50" s="25">
        <v>1994.8901051356327</v>
      </c>
      <c r="AH50" s="25">
        <v>68.820009743395374</v>
      </c>
      <c r="AI50" s="25">
        <v>84.541967435014499</v>
      </c>
      <c r="AJ50" s="25">
        <v>13.950060352383382</v>
      </c>
      <c r="AK50" s="25">
        <v>78.407544094695751</v>
      </c>
      <c r="AL50" s="25">
        <v>276.34445370649644</v>
      </c>
      <c r="AM50" s="25">
        <v>40.157532101152768</v>
      </c>
      <c r="AN50" s="25">
        <v>200.37671608509396</v>
      </c>
      <c r="AO50" s="25">
        <v>21.959668456431778</v>
      </c>
      <c r="AP50" s="25">
        <v>7.8919568344397035</v>
      </c>
      <c r="AQ50" s="25">
        <v>16.786776535950032</v>
      </c>
      <c r="AR50" s="25">
        <v>2.7421351976833641</v>
      </c>
      <c r="AS50" s="25">
        <v>1.9646375408408165</v>
      </c>
      <c r="AT50" s="25">
        <v>1.1312394354986428</v>
      </c>
      <c r="AU50" s="25">
        <v>4766.0306906556561</v>
      </c>
      <c r="AV50" s="25">
        <v>57477.263457093395</v>
      </c>
      <c r="AW50" s="25">
        <v>536.31096736743245</v>
      </c>
      <c r="AX50" s="25">
        <v>1171.2009835576889</v>
      </c>
      <c r="AY50" s="40">
        <v>314.30678974316061</v>
      </c>
      <c r="AZ50" s="25">
        <v>18.552863362263849</v>
      </c>
      <c r="BA50" s="25">
        <v>33.163819075336576</v>
      </c>
      <c r="BB50" s="25">
        <v>1570.886932558853</v>
      </c>
      <c r="BC50" s="25">
        <v>302.024184243224</v>
      </c>
      <c r="BD50" s="25">
        <v>546.24782075340784</v>
      </c>
      <c r="BE50" s="25">
        <v>15.626072307322612</v>
      </c>
      <c r="BF50" s="25">
        <v>234.13783300186475</v>
      </c>
      <c r="BG50" s="25">
        <v>4200.0960474358781</v>
      </c>
      <c r="BH50" s="25">
        <v>902.15740920408973</v>
      </c>
      <c r="BI50" s="25">
        <v>1220.1516136015259</v>
      </c>
      <c r="BJ50" s="25">
        <v>1941.8476114544337</v>
      </c>
      <c r="BK50" s="25">
        <v>323.17734658713493</v>
      </c>
      <c r="BL50" s="25">
        <v>688.46328546029667</v>
      </c>
      <c r="BM50" s="25">
        <v>17.059034159374335</v>
      </c>
      <c r="BN50" s="25">
        <v>213.38180308225006</v>
      </c>
      <c r="BO50" s="25">
        <v>3273.4101162213587</v>
      </c>
      <c r="BP50" s="25">
        <v>14.270600698343774</v>
      </c>
      <c r="BQ50" s="25">
        <v>15438.557869050681</v>
      </c>
      <c r="BR50" s="25">
        <v>1371.6160086401294</v>
      </c>
      <c r="BS50" s="25">
        <v>457.95439779208516</v>
      </c>
      <c r="BT50" s="25">
        <v>3510.4327797310111</v>
      </c>
      <c r="BU50" s="25">
        <v>33.634583103201265</v>
      </c>
      <c r="BV50" s="25">
        <v>149.18486688961508</v>
      </c>
      <c r="BW50" s="25">
        <v>352.21458555372539</v>
      </c>
      <c r="BX50" s="25">
        <v>0</v>
      </c>
      <c r="BY50" s="25">
        <v>109100.60647306612</v>
      </c>
      <c r="BZ50" s="25">
        <v>3991.5566844752116</v>
      </c>
      <c r="CA50" s="25">
        <v>0</v>
      </c>
      <c r="CB50" s="25">
        <v>0</v>
      </c>
      <c r="CC50" s="25">
        <v>963.46863162834723</v>
      </c>
      <c r="CD50" s="25">
        <v>438017.36821087886</v>
      </c>
      <c r="CE50" s="25">
        <v>0</v>
      </c>
      <c r="CF50" s="25">
        <v>442972.39352698246</v>
      </c>
      <c r="CG50" s="25">
        <v>552073</v>
      </c>
      <c r="CH50"/>
      <c r="CI50">
        <f t="shared" si="0"/>
        <v>0.80238010829542916</v>
      </c>
      <c r="CJ50"/>
      <c r="CK50"/>
      <c r="CL50"/>
      <c r="CM50"/>
      <c r="CN50"/>
      <c r="CO50"/>
      <c r="CP50"/>
      <c r="CQ50"/>
      <c r="CR50"/>
      <c r="CS50"/>
      <c r="CT50"/>
      <c r="CU50"/>
    </row>
    <row r="51" spans="1:99" s="5" customFormat="1" x14ac:dyDescent="0.3">
      <c r="A51" s="35" t="s">
        <v>55</v>
      </c>
      <c r="B51" s="11" t="s">
        <v>129</v>
      </c>
      <c r="C51" s="5">
        <v>46</v>
      </c>
      <c r="D51" s="25">
        <v>213.37480103832794</v>
      </c>
      <c r="E51" s="25">
        <v>44.765363093675312</v>
      </c>
      <c r="F51" s="25">
        <v>20.017807714492882</v>
      </c>
      <c r="G51" s="25">
        <v>61.762281315343984</v>
      </c>
      <c r="H51" s="25">
        <v>200.03361236079127</v>
      </c>
      <c r="I51" s="25">
        <v>1188.7545472264649</v>
      </c>
      <c r="J51" s="25">
        <v>87.962170525103176</v>
      </c>
      <c r="K51" s="25">
        <v>26.83165522550852</v>
      </c>
      <c r="L51" s="25">
        <v>21.104617555213629</v>
      </c>
      <c r="M51" s="25">
        <v>45.302600211638676</v>
      </c>
      <c r="N51" s="25">
        <v>41.953652935806936</v>
      </c>
      <c r="O51" s="25">
        <v>0.55653701350820239</v>
      </c>
      <c r="P51" s="25">
        <v>5.0787063910581844</v>
      </c>
      <c r="Q51" s="25">
        <v>1.7204557394325104</v>
      </c>
      <c r="R51" s="25">
        <v>5.1833937244737598</v>
      </c>
      <c r="S51" s="25">
        <v>2.1249755801720234</v>
      </c>
      <c r="T51" s="25">
        <v>11.237133882404294</v>
      </c>
      <c r="U51" s="25">
        <v>1.3627497741262395</v>
      </c>
      <c r="V51" s="25">
        <v>8.0836759866511194</v>
      </c>
      <c r="W51" s="25">
        <v>0.20730790379976882</v>
      </c>
      <c r="X51" s="25">
        <v>1.3322615398619008E-3</v>
      </c>
      <c r="Y51" s="25">
        <v>9.5977519962707216</v>
      </c>
      <c r="Z51" s="25">
        <v>8.2785612285069607</v>
      </c>
      <c r="AA51" s="25">
        <v>18.52958757181959</v>
      </c>
      <c r="AB51" s="25">
        <v>2.8651066338464566</v>
      </c>
      <c r="AC51" s="25">
        <v>53.26247082751614</v>
      </c>
      <c r="AD51" s="25">
        <v>242.92391132263256</v>
      </c>
      <c r="AE51" s="25">
        <v>322.63818096142745</v>
      </c>
      <c r="AF51" s="25">
        <v>22.299600349084447</v>
      </c>
      <c r="AG51" s="25">
        <v>59.935414824624345</v>
      </c>
      <c r="AH51" s="25">
        <v>8.9730046844383899</v>
      </c>
      <c r="AI51" s="25">
        <v>564.6815077901415</v>
      </c>
      <c r="AJ51" s="25">
        <v>34.453139461017706</v>
      </c>
      <c r="AK51" s="25">
        <v>2581.1766351062402</v>
      </c>
      <c r="AL51" s="25">
        <v>14341.55838378254</v>
      </c>
      <c r="AM51" s="25">
        <v>3300.3373134390467</v>
      </c>
      <c r="AN51" s="25">
        <v>983.16666526052234</v>
      </c>
      <c r="AO51" s="25">
        <v>52.330694355244297</v>
      </c>
      <c r="AP51" s="25">
        <v>301.31336943600428</v>
      </c>
      <c r="AQ51" s="25">
        <v>307.70658297023147</v>
      </c>
      <c r="AR51" s="25">
        <v>50.264149875025154</v>
      </c>
      <c r="AS51" s="25">
        <v>36.012387677438824</v>
      </c>
      <c r="AT51" s="25">
        <v>20.778222294571197</v>
      </c>
      <c r="AU51" s="25">
        <v>785.35759982255843</v>
      </c>
      <c r="AV51" s="25">
        <v>473.88532155061534</v>
      </c>
      <c r="AW51" s="25">
        <v>6440.170059070414</v>
      </c>
      <c r="AX51" s="25">
        <v>3989.5370378023049</v>
      </c>
      <c r="AY51" s="40">
        <v>10881.125533085664</v>
      </c>
      <c r="AZ51" s="25">
        <v>16.998841306626257</v>
      </c>
      <c r="BA51" s="25">
        <v>37.881388843951967</v>
      </c>
      <c r="BB51" s="25">
        <v>468.52787033164481</v>
      </c>
      <c r="BC51" s="25">
        <v>0.85423412175968472</v>
      </c>
      <c r="BD51" s="25">
        <v>127.65474750974724</v>
      </c>
      <c r="BE51" s="25">
        <v>7.9318225706842913</v>
      </c>
      <c r="BF51" s="25">
        <v>63.957248925881871</v>
      </c>
      <c r="BG51" s="25">
        <v>42.991332419774345</v>
      </c>
      <c r="BH51" s="25">
        <v>17.659687764729792</v>
      </c>
      <c r="BI51" s="25">
        <v>105.19948954504332</v>
      </c>
      <c r="BJ51" s="25">
        <v>25.894499030955213</v>
      </c>
      <c r="BK51" s="25">
        <v>4.5107129366356569</v>
      </c>
      <c r="BL51" s="25">
        <v>104.63291894372357</v>
      </c>
      <c r="BM51" s="25">
        <v>24.997551249211742</v>
      </c>
      <c r="BN51" s="25">
        <v>985.30411581027749</v>
      </c>
      <c r="BO51" s="25">
        <v>69.08566996402034</v>
      </c>
      <c r="BP51" s="25">
        <v>169.90306121994516</v>
      </c>
      <c r="BQ51" s="25">
        <v>2105.9906583047068</v>
      </c>
      <c r="BR51" s="25">
        <v>386.81705052489747</v>
      </c>
      <c r="BS51" s="25">
        <v>10.290896307426587</v>
      </c>
      <c r="BT51" s="25">
        <v>1115.0396035565848</v>
      </c>
      <c r="BU51" s="25">
        <v>756.98635480200608</v>
      </c>
      <c r="BV51" s="25">
        <v>48.775690198333443</v>
      </c>
      <c r="BW51" s="25">
        <v>56.266082128551538</v>
      </c>
      <c r="BX51" s="25">
        <v>0</v>
      </c>
      <c r="BY51" s="25">
        <v>54634.729098956406</v>
      </c>
      <c r="BZ51" s="25">
        <v>13664.824970330388</v>
      </c>
      <c r="CA51" s="25">
        <v>0.20101334499748616</v>
      </c>
      <c r="CB51" s="25">
        <v>0</v>
      </c>
      <c r="CC51" s="25">
        <v>83335.689843752582</v>
      </c>
      <c r="CD51" s="25">
        <v>23505.118287990615</v>
      </c>
      <c r="CE51" s="25">
        <v>-47.563214374699541</v>
      </c>
      <c r="CF51" s="25">
        <v>120458.2709010439</v>
      </c>
      <c r="CG51" s="25">
        <v>175093</v>
      </c>
      <c r="CH51"/>
      <c r="CI51">
        <f t="shared" si="0"/>
        <v>0.68796737106020167</v>
      </c>
      <c r="CJ51"/>
      <c r="CK51"/>
      <c r="CL51"/>
      <c r="CM51"/>
      <c r="CN51"/>
      <c r="CO51"/>
      <c r="CP51"/>
      <c r="CQ51"/>
      <c r="CR51"/>
      <c r="CS51"/>
      <c r="CT51"/>
      <c r="CU51"/>
    </row>
    <row r="52" spans="1:99" s="5" customFormat="1" x14ac:dyDescent="0.3">
      <c r="A52" s="35" t="s">
        <v>56</v>
      </c>
      <c r="B52" s="11" t="s">
        <v>130</v>
      </c>
      <c r="C52" s="5">
        <v>47</v>
      </c>
      <c r="D52" s="25">
        <v>20065.541706563621</v>
      </c>
      <c r="E52" s="25">
        <v>10578.299785838793</v>
      </c>
      <c r="F52" s="25">
        <v>921.82921251614709</v>
      </c>
      <c r="G52" s="25">
        <v>706.51262849657394</v>
      </c>
      <c r="H52" s="25">
        <v>5517.4566938904163</v>
      </c>
      <c r="I52" s="25">
        <v>2970.1372374260145</v>
      </c>
      <c r="J52" s="25">
        <v>754.48005385188662</v>
      </c>
      <c r="K52" s="25">
        <v>33868.094291948582</v>
      </c>
      <c r="L52" s="25">
        <v>822.1010947530882</v>
      </c>
      <c r="M52" s="25">
        <v>33523.526065624763</v>
      </c>
      <c r="N52" s="25">
        <v>6301.9199192604456</v>
      </c>
      <c r="O52" s="25">
        <v>2229.3668409412026</v>
      </c>
      <c r="P52" s="25">
        <v>5179.4487849168536</v>
      </c>
      <c r="Q52" s="25">
        <v>6931.9009539894305</v>
      </c>
      <c r="R52" s="25">
        <v>5598.3531478971108</v>
      </c>
      <c r="S52" s="25">
        <v>2431.9729433450375</v>
      </c>
      <c r="T52" s="25">
        <v>7897.9729107214971</v>
      </c>
      <c r="U52" s="25">
        <v>1623.316593676898</v>
      </c>
      <c r="V52" s="25">
        <v>22262.355117920535</v>
      </c>
      <c r="W52" s="25">
        <v>567.16528087012659</v>
      </c>
      <c r="X52" s="25">
        <v>67.456585823462035</v>
      </c>
      <c r="Y52" s="25">
        <v>2076.0696515024588</v>
      </c>
      <c r="Z52" s="25">
        <v>10203.639387131579</v>
      </c>
      <c r="AA52" s="25">
        <v>6324.7889013458134</v>
      </c>
      <c r="AB52" s="25">
        <v>4149.2998470587772</v>
      </c>
      <c r="AC52" s="25">
        <v>4998.2658447644781</v>
      </c>
      <c r="AD52" s="25">
        <v>9399.1905089403172</v>
      </c>
      <c r="AE52" s="25">
        <v>6500.766194258531</v>
      </c>
      <c r="AF52" s="25">
        <v>7645.9370009666663</v>
      </c>
      <c r="AG52" s="25">
        <v>4695.2800829161752</v>
      </c>
      <c r="AH52" s="25">
        <v>7185.1642708040781</v>
      </c>
      <c r="AI52" s="25">
        <v>11261.649944928764</v>
      </c>
      <c r="AJ52" s="25">
        <v>7021.0688273661181</v>
      </c>
      <c r="AK52" s="25">
        <v>12401.701450999752</v>
      </c>
      <c r="AL52" s="25">
        <v>5613.1896610773765</v>
      </c>
      <c r="AM52" s="25">
        <v>5033.881228588315</v>
      </c>
      <c r="AN52" s="25">
        <v>1692.0256145105111</v>
      </c>
      <c r="AO52" s="25">
        <v>6771.1089491394687</v>
      </c>
      <c r="AP52" s="25">
        <v>6343.2247555907634</v>
      </c>
      <c r="AQ52" s="25">
        <v>3470.2671279758006</v>
      </c>
      <c r="AR52" s="25">
        <v>566.2875932681585</v>
      </c>
      <c r="AS52" s="25">
        <v>405.72392841422777</v>
      </c>
      <c r="AT52" s="25">
        <v>241.06616049123929</v>
      </c>
      <c r="AU52" s="25">
        <v>1369.5878911629823</v>
      </c>
      <c r="AV52" s="25">
        <v>32538.159260872741</v>
      </c>
      <c r="AW52" s="25">
        <v>1957.5111608912059</v>
      </c>
      <c r="AX52" s="25">
        <v>23303.721000672413</v>
      </c>
      <c r="AY52" s="40">
        <v>11823.040499430528</v>
      </c>
      <c r="AZ52" s="25">
        <v>459.20876514324829</v>
      </c>
      <c r="BA52" s="25">
        <v>1240.7376323839374</v>
      </c>
      <c r="BB52" s="25">
        <v>1360.3615475100489</v>
      </c>
      <c r="BC52" s="25">
        <v>1200.16428329731</v>
      </c>
      <c r="BD52" s="25">
        <v>24860.589492552768</v>
      </c>
      <c r="BE52" s="25">
        <v>1464.6658423432182</v>
      </c>
      <c r="BF52" s="25">
        <v>1272.1645866824017</v>
      </c>
      <c r="BG52" s="25">
        <v>4607.3854476909264</v>
      </c>
      <c r="BH52" s="25">
        <v>3117.9396059135042</v>
      </c>
      <c r="BI52" s="25">
        <v>3851.8159122881866</v>
      </c>
      <c r="BJ52" s="25">
        <v>2039.0853134722138</v>
      </c>
      <c r="BK52" s="25">
        <v>2754.8220399539814</v>
      </c>
      <c r="BL52" s="25">
        <v>1662.6058618047957</v>
      </c>
      <c r="BM52" s="25">
        <v>3375.4601037459565</v>
      </c>
      <c r="BN52" s="25">
        <v>1110.7929290398056</v>
      </c>
      <c r="BO52" s="25">
        <v>6017.6210691162396</v>
      </c>
      <c r="BP52" s="25">
        <v>460.41962990087433</v>
      </c>
      <c r="BQ52" s="25">
        <v>7320.3861655476358</v>
      </c>
      <c r="BR52" s="25">
        <v>5232.9747963414893</v>
      </c>
      <c r="BS52" s="25">
        <v>1673.3487107260698</v>
      </c>
      <c r="BT52" s="25">
        <v>7300.7418781253546</v>
      </c>
      <c r="BU52" s="25">
        <v>19050.647809622886</v>
      </c>
      <c r="BV52" s="25">
        <v>758.17377742172118</v>
      </c>
      <c r="BW52" s="25">
        <v>4810.0605338152945</v>
      </c>
      <c r="BX52" s="25">
        <v>0</v>
      </c>
      <c r="BY52" s="25">
        <v>472812.99832978169</v>
      </c>
      <c r="BZ52" s="25">
        <v>83853.490913122063</v>
      </c>
      <c r="CA52" s="25">
        <v>2765.5801388253753</v>
      </c>
      <c r="CB52" s="25">
        <v>2.4717411121239743</v>
      </c>
      <c r="CC52" s="25">
        <v>503799.2473376143</v>
      </c>
      <c r="CD52" s="25">
        <v>55581.557027372633</v>
      </c>
      <c r="CE52" s="25">
        <v>1763.6545121717481</v>
      </c>
      <c r="CF52" s="25">
        <v>647766.00167021831</v>
      </c>
      <c r="CG52" s="25">
        <v>1120579</v>
      </c>
      <c r="CH52"/>
      <c r="CI52">
        <f t="shared" si="0"/>
        <v>0.57806366322251113</v>
      </c>
      <c r="CJ52"/>
      <c r="CK52"/>
      <c r="CL52"/>
      <c r="CM52"/>
      <c r="CN52"/>
      <c r="CO52"/>
      <c r="CP52"/>
      <c r="CQ52"/>
      <c r="CR52"/>
      <c r="CS52"/>
      <c r="CT52"/>
      <c r="CU52"/>
    </row>
    <row r="53" spans="1:99" s="5" customFormat="1" x14ac:dyDescent="0.3">
      <c r="A53" s="36" t="s">
        <v>57</v>
      </c>
      <c r="B53" s="37" t="s">
        <v>131</v>
      </c>
      <c r="C53" s="65">
        <v>48</v>
      </c>
      <c r="D53" s="40">
        <v>7307.3660232477596</v>
      </c>
      <c r="E53" s="40">
        <v>2201.7665120681136</v>
      </c>
      <c r="F53" s="40">
        <v>759.10340752990169</v>
      </c>
      <c r="G53" s="40">
        <v>912.95436208083402</v>
      </c>
      <c r="H53" s="40">
        <v>6475.7006601466092</v>
      </c>
      <c r="I53" s="40">
        <v>3552.9980438873413</v>
      </c>
      <c r="J53" s="40">
        <v>781.7960738524331</v>
      </c>
      <c r="K53" s="40">
        <v>13074.053973132557</v>
      </c>
      <c r="L53" s="40">
        <v>3165.556141587002</v>
      </c>
      <c r="M53" s="40">
        <v>19108.959591359398</v>
      </c>
      <c r="N53" s="40">
        <v>3878.9551326853975</v>
      </c>
      <c r="O53" s="40">
        <v>300.63614987092728</v>
      </c>
      <c r="P53" s="40">
        <v>1315.00911060158</v>
      </c>
      <c r="Q53" s="40">
        <v>1051.8336654525804</v>
      </c>
      <c r="R53" s="40">
        <v>1211.3050703596639</v>
      </c>
      <c r="S53" s="40">
        <v>1569.2350687456862</v>
      </c>
      <c r="T53" s="40">
        <v>4157.8348546183315</v>
      </c>
      <c r="U53" s="40">
        <v>362.96299434351118</v>
      </c>
      <c r="V53" s="40">
        <v>5179.9924896021985</v>
      </c>
      <c r="W53" s="40">
        <v>131.32714249839793</v>
      </c>
      <c r="X53" s="40">
        <v>1.2085581841205741</v>
      </c>
      <c r="Y53" s="40">
        <v>2459.0715608331079</v>
      </c>
      <c r="Z53" s="40">
        <v>7156.4766755123464</v>
      </c>
      <c r="AA53" s="40">
        <v>2644.5351018205947</v>
      </c>
      <c r="AB53" s="40">
        <v>1989.3038032327186</v>
      </c>
      <c r="AC53" s="40">
        <v>3369.966023381889</v>
      </c>
      <c r="AD53" s="40">
        <v>3931.0659008956814</v>
      </c>
      <c r="AE53" s="40">
        <v>3424.3341707904519</v>
      </c>
      <c r="AF53" s="40">
        <v>7094.8221607334444</v>
      </c>
      <c r="AG53" s="40">
        <v>1499.330712084917</v>
      </c>
      <c r="AH53" s="40">
        <v>3232.6086077441591</v>
      </c>
      <c r="AI53" s="40">
        <v>2218.7861598598147</v>
      </c>
      <c r="AJ53" s="40">
        <v>1900.3046112759368</v>
      </c>
      <c r="AK53" s="40">
        <v>2935.6551544705976</v>
      </c>
      <c r="AL53" s="40">
        <v>5758.2056320100082</v>
      </c>
      <c r="AM53" s="40">
        <v>2546.4417560488491</v>
      </c>
      <c r="AN53" s="40">
        <v>772.23847171810689</v>
      </c>
      <c r="AO53" s="40">
        <v>1818.4498348962331</v>
      </c>
      <c r="AP53" s="40">
        <v>694.19440831480495</v>
      </c>
      <c r="AQ53" s="40">
        <v>3289.3868614696476</v>
      </c>
      <c r="AR53" s="40">
        <v>537.32433217993366</v>
      </c>
      <c r="AS53" s="40">
        <v>384.97283266695285</v>
      </c>
      <c r="AT53" s="40">
        <v>639.87315691344418</v>
      </c>
      <c r="AU53" s="40">
        <v>502.70007673407656</v>
      </c>
      <c r="AV53" s="40">
        <v>5229.3343750739723</v>
      </c>
      <c r="AW53" s="40">
        <v>1827.7701448998821</v>
      </c>
      <c r="AX53" s="40">
        <v>45681.213222787577</v>
      </c>
      <c r="AY53" s="40">
        <v>42845.105908360987</v>
      </c>
      <c r="AZ53" s="40">
        <v>286.10225480011775</v>
      </c>
      <c r="BA53" s="40">
        <v>351.73585615243695</v>
      </c>
      <c r="BB53" s="40">
        <v>5689.8904157816396</v>
      </c>
      <c r="BC53" s="40">
        <v>159.70357458075645</v>
      </c>
      <c r="BD53" s="40">
        <v>2928.6506095261602</v>
      </c>
      <c r="BE53" s="40">
        <v>432.91400896660303</v>
      </c>
      <c r="BF53" s="40">
        <v>501.40469538133152</v>
      </c>
      <c r="BG53" s="40">
        <v>642.82359557461996</v>
      </c>
      <c r="BH53" s="40">
        <v>779.7681183094694</v>
      </c>
      <c r="BI53" s="40">
        <v>2072.0931144338556</v>
      </c>
      <c r="BJ53" s="40">
        <v>359.99090184204476</v>
      </c>
      <c r="BK53" s="40">
        <v>1279.8994913363929</v>
      </c>
      <c r="BL53" s="40">
        <v>1038.5243666643423</v>
      </c>
      <c r="BM53" s="40">
        <v>445.46072578398775</v>
      </c>
      <c r="BN53" s="40">
        <v>596.29321067965964</v>
      </c>
      <c r="BO53" s="40">
        <v>897.37588982598277</v>
      </c>
      <c r="BP53" s="40">
        <v>146.71538069477421</v>
      </c>
      <c r="BQ53" s="40">
        <v>4091.6499007281814</v>
      </c>
      <c r="BR53" s="40">
        <v>2338.8551006309112</v>
      </c>
      <c r="BS53" s="40">
        <v>1558.6124707310425</v>
      </c>
      <c r="BT53" s="40">
        <v>1497.2123866294062</v>
      </c>
      <c r="BU53" s="40">
        <v>615.04952014553612</v>
      </c>
      <c r="BV53" s="40">
        <v>325.60879577067749</v>
      </c>
      <c r="BW53" s="40">
        <v>2457.6103397295406</v>
      </c>
      <c r="BX53" s="40">
        <v>0</v>
      </c>
      <c r="BY53" s="40">
        <v>264377.97140726389</v>
      </c>
      <c r="BZ53" s="40">
        <v>16374.593619082512</v>
      </c>
      <c r="CA53" s="40">
        <v>89.02712311319813</v>
      </c>
      <c r="CB53" s="40">
        <v>0</v>
      </c>
      <c r="CC53" s="40">
        <v>113227.29825149941</v>
      </c>
      <c r="CD53" s="40">
        <v>4736.7297729722841</v>
      </c>
      <c r="CE53" s="40">
        <v>7.4247544151011349</v>
      </c>
      <c r="CF53" s="40">
        <v>134435.07352108249</v>
      </c>
      <c r="CG53" s="40">
        <v>398813</v>
      </c>
      <c r="CH53"/>
      <c r="CI53">
        <f t="shared" si="0"/>
        <v>0.3370879924202132</v>
      </c>
      <c r="CJ53"/>
      <c r="CK53"/>
      <c r="CL53"/>
      <c r="CM53"/>
      <c r="CN53"/>
      <c r="CO53"/>
      <c r="CP53"/>
      <c r="CQ53"/>
      <c r="CR53"/>
      <c r="CS53"/>
      <c r="CT53"/>
      <c r="CU53"/>
    </row>
    <row r="54" spans="1:99" s="5" customFormat="1" x14ac:dyDescent="0.3">
      <c r="A54" s="35" t="s">
        <v>58</v>
      </c>
      <c r="B54" s="11" t="s">
        <v>132</v>
      </c>
      <c r="C54" s="5">
        <v>49</v>
      </c>
      <c r="D54" s="25">
        <v>39.738558740146246</v>
      </c>
      <c r="E54" s="25">
        <v>30.188918246216822</v>
      </c>
      <c r="F54" s="25">
        <v>2.6028833823347202</v>
      </c>
      <c r="G54" s="25">
        <v>2.5855371349157599</v>
      </c>
      <c r="H54" s="25">
        <v>6014.8755587431851</v>
      </c>
      <c r="I54" s="25">
        <v>6.5371674912135287</v>
      </c>
      <c r="J54" s="25">
        <v>12.379639175879493</v>
      </c>
      <c r="K54" s="25">
        <v>1215.6784063633283</v>
      </c>
      <c r="L54" s="25">
        <v>99.638254040825615</v>
      </c>
      <c r="M54" s="25">
        <v>529.87292202419474</v>
      </c>
      <c r="N54" s="25">
        <v>15.88119763356746</v>
      </c>
      <c r="O54" s="25">
        <v>4.1122728787308764</v>
      </c>
      <c r="P54" s="25">
        <v>17.862456136156563</v>
      </c>
      <c r="Q54" s="25">
        <v>18.671242358527557</v>
      </c>
      <c r="R54" s="25">
        <v>10.956892188280534</v>
      </c>
      <c r="S54" s="25">
        <v>168.8246464021579</v>
      </c>
      <c r="T54" s="25">
        <v>1369.3082061469966</v>
      </c>
      <c r="U54" s="25">
        <v>15.165712719845541</v>
      </c>
      <c r="V54" s="25">
        <v>101.21961418139165</v>
      </c>
      <c r="W54" s="25">
        <v>2.5958000121991187</v>
      </c>
      <c r="X54" s="25">
        <v>1.6586294373946282E-2</v>
      </c>
      <c r="Y54" s="25">
        <v>38.12868923004001</v>
      </c>
      <c r="Z54" s="25">
        <v>681.41859492518847</v>
      </c>
      <c r="AA54" s="25">
        <v>22.967492923394623</v>
      </c>
      <c r="AB54" s="25">
        <v>44.625488462328235</v>
      </c>
      <c r="AC54" s="25">
        <v>7.3439862481081155</v>
      </c>
      <c r="AD54" s="25">
        <v>61.018072297882867</v>
      </c>
      <c r="AE54" s="25">
        <v>117.53425250062286</v>
      </c>
      <c r="AF54" s="25">
        <v>364.35022320822014</v>
      </c>
      <c r="AG54" s="25">
        <v>29.901182597955984</v>
      </c>
      <c r="AH54" s="25">
        <v>46.359125724543944</v>
      </c>
      <c r="AI54" s="25">
        <v>47.513142873108485</v>
      </c>
      <c r="AJ54" s="25">
        <v>46.656802865813631</v>
      </c>
      <c r="AK54" s="25">
        <v>252.53357961632307</v>
      </c>
      <c r="AL54" s="25">
        <v>200.58448276321442</v>
      </c>
      <c r="AM54" s="25">
        <v>87.17513606303028</v>
      </c>
      <c r="AN54" s="25">
        <v>92.291004147773691</v>
      </c>
      <c r="AO54" s="25">
        <v>11.271709712572363</v>
      </c>
      <c r="AP54" s="25">
        <v>19.772229527510056</v>
      </c>
      <c r="AQ54" s="25">
        <v>10.425441832857267</v>
      </c>
      <c r="AR54" s="25">
        <v>1.7030053947555313</v>
      </c>
      <c r="AS54" s="25">
        <v>1.2201398142650921</v>
      </c>
      <c r="AT54" s="25">
        <v>1.9369097344608115</v>
      </c>
      <c r="AU54" s="25">
        <v>3.9900222023776273</v>
      </c>
      <c r="AV54" s="25">
        <v>85.468364875685026</v>
      </c>
      <c r="AW54" s="25">
        <v>17.570055112240993</v>
      </c>
      <c r="AX54" s="25">
        <v>974.42611412135864</v>
      </c>
      <c r="AY54" s="40">
        <v>662.32474817511718</v>
      </c>
      <c r="AZ54" s="25">
        <v>942.87093059620565</v>
      </c>
      <c r="BA54" s="25">
        <v>4.0695481146660315</v>
      </c>
      <c r="BB54" s="25">
        <v>56.843633095432182</v>
      </c>
      <c r="BC54" s="25">
        <v>4.3362899842979017</v>
      </c>
      <c r="BD54" s="25">
        <v>66.858184593534176</v>
      </c>
      <c r="BE54" s="25">
        <v>1.4128613280297491</v>
      </c>
      <c r="BF54" s="25">
        <v>3.4855759526679879</v>
      </c>
      <c r="BG54" s="25">
        <v>6.1442029474498181</v>
      </c>
      <c r="BH54" s="25">
        <v>19.801372660073508</v>
      </c>
      <c r="BI54" s="25">
        <v>14.746732686413331</v>
      </c>
      <c r="BJ54" s="25">
        <v>9.2220012855881137</v>
      </c>
      <c r="BK54" s="25">
        <v>15.018517159942935</v>
      </c>
      <c r="BL54" s="25">
        <v>5.1919710583971082</v>
      </c>
      <c r="BM54" s="25">
        <v>4.4003647920266644</v>
      </c>
      <c r="BN54" s="25">
        <v>3.7254654495693149</v>
      </c>
      <c r="BO54" s="25">
        <v>239.95377005778735</v>
      </c>
      <c r="BP54" s="25">
        <v>1.6846209135302099</v>
      </c>
      <c r="BQ54" s="25">
        <v>14.07295316425826</v>
      </c>
      <c r="BR54" s="25">
        <v>5.5129645052011389</v>
      </c>
      <c r="BS54" s="25">
        <v>12.051006748532979</v>
      </c>
      <c r="BT54" s="25">
        <v>7.2066724344558706</v>
      </c>
      <c r="BU54" s="25">
        <v>19.466725314694735</v>
      </c>
      <c r="BV54" s="25">
        <v>9.8233458443424642</v>
      </c>
      <c r="BW54" s="25">
        <v>13.563344936561172</v>
      </c>
      <c r="BX54" s="25">
        <v>0</v>
      </c>
      <c r="BY54" s="25">
        <v>15090.685524868877</v>
      </c>
      <c r="BZ54" s="25">
        <v>5851.6851012527004</v>
      </c>
      <c r="CA54" s="25">
        <v>2.0410605773876287</v>
      </c>
      <c r="CB54" s="25">
        <v>0</v>
      </c>
      <c r="CC54" s="25">
        <v>1989.5854759988795</v>
      </c>
      <c r="CD54" s="25">
        <v>108.00283731465244</v>
      </c>
      <c r="CE54" s="25">
        <v>0</v>
      </c>
      <c r="CF54" s="25">
        <v>7951.3144751436203</v>
      </c>
      <c r="CG54" s="25">
        <v>23042</v>
      </c>
      <c r="CH54"/>
      <c r="CI54">
        <f t="shared" si="0"/>
        <v>0.34507918041591962</v>
      </c>
      <c r="CJ54"/>
      <c r="CK54"/>
      <c r="CL54"/>
      <c r="CM54"/>
      <c r="CN54"/>
      <c r="CO54"/>
      <c r="CP54"/>
      <c r="CQ54"/>
      <c r="CR54"/>
      <c r="CS54"/>
      <c r="CT54"/>
      <c r="CU54"/>
    </row>
    <row r="55" spans="1:99" s="5" customFormat="1" x14ac:dyDescent="0.3">
      <c r="A55" s="35" t="s">
        <v>59</v>
      </c>
      <c r="B55" s="11" t="s">
        <v>133</v>
      </c>
      <c r="C55" s="5">
        <v>50</v>
      </c>
      <c r="D55" s="25">
        <v>0.79905326692108847</v>
      </c>
      <c r="E55" s="25">
        <v>1.4439554785159681E-2</v>
      </c>
      <c r="F55" s="25">
        <v>1.5836669790570173</v>
      </c>
      <c r="G55" s="25">
        <v>3.1838363064399311</v>
      </c>
      <c r="H55" s="25">
        <v>2233.721365296376</v>
      </c>
      <c r="I55" s="25">
        <v>14.193181798831777</v>
      </c>
      <c r="J55" s="25">
        <v>26.652112690132729</v>
      </c>
      <c r="K55" s="25">
        <v>281.00853600982867</v>
      </c>
      <c r="L55" s="25">
        <v>6.5657007927906239</v>
      </c>
      <c r="M55" s="25">
        <v>241.49937327503272</v>
      </c>
      <c r="N55" s="25">
        <v>40.851482869586718</v>
      </c>
      <c r="O55" s="25">
        <v>19.611217216316742</v>
      </c>
      <c r="P55" s="25">
        <v>27.322520590872287</v>
      </c>
      <c r="Q55" s="25">
        <v>31.392047492944254</v>
      </c>
      <c r="R55" s="25">
        <v>44.045633143730328</v>
      </c>
      <c r="S55" s="25">
        <v>47.832557330721329</v>
      </c>
      <c r="T55" s="25">
        <v>96.658070521193025</v>
      </c>
      <c r="U55" s="25">
        <v>14.98810947867139</v>
      </c>
      <c r="V55" s="25">
        <v>39.344344055720526</v>
      </c>
      <c r="W55" s="25">
        <v>1.0089946460058863</v>
      </c>
      <c r="X55" s="25">
        <v>6.44713850902995E-3</v>
      </c>
      <c r="Y55" s="25">
        <v>5.9729268799432429</v>
      </c>
      <c r="Z55" s="25">
        <v>264.93539712872956</v>
      </c>
      <c r="AA55" s="25">
        <v>280.40282687550774</v>
      </c>
      <c r="AB55" s="25">
        <v>11.368271568480099</v>
      </c>
      <c r="AC55" s="25">
        <v>127.40858922296806</v>
      </c>
      <c r="AD55" s="25">
        <v>43.297397548671846</v>
      </c>
      <c r="AE55" s="25">
        <v>102.16068047384822</v>
      </c>
      <c r="AF55" s="25">
        <v>93.104242004305348</v>
      </c>
      <c r="AG55" s="25">
        <v>12.549693807093385</v>
      </c>
      <c r="AH55" s="25">
        <v>48.356506890068552</v>
      </c>
      <c r="AI55" s="25">
        <v>234.43860203246516</v>
      </c>
      <c r="AJ55" s="25">
        <v>144.25546938827034</v>
      </c>
      <c r="AK55" s="25">
        <v>177.37014319415687</v>
      </c>
      <c r="AL55" s="25">
        <v>220.18353642741127</v>
      </c>
      <c r="AM55" s="25">
        <v>91.31017008409313</v>
      </c>
      <c r="AN55" s="25">
        <v>47.099513457103818</v>
      </c>
      <c r="AO55" s="25">
        <v>33.44472077240443</v>
      </c>
      <c r="AP55" s="25">
        <v>72.917505390122955</v>
      </c>
      <c r="AQ55" s="25">
        <v>321.08406570378929</v>
      </c>
      <c r="AR55" s="25">
        <v>52.449373832795224</v>
      </c>
      <c r="AS55" s="25">
        <v>37.578019097146665</v>
      </c>
      <c r="AT55" s="25">
        <v>117.87551411520981</v>
      </c>
      <c r="AU55" s="25">
        <v>44.588147844944181</v>
      </c>
      <c r="AV55" s="25">
        <v>926.79588030933155</v>
      </c>
      <c r="AW55" s="25">
        <v>195.094440121877</v>
      </c>
      <c r="AX55" s="25">
        <v>3175.7569603532124</v>
      </c>
      <c r="AY55" s="40">
        <v>202.62404661747215</v>
      </c>
      <c r="AZ55" s="25">
        <v>85.475450371379267</v>
      </c>
      <c r="BA55" s="25">
        <v>12.776601096574467</v>
      </c>
      <c r="BB55" s="25">
        <v>716.74798812707093</v>
      </c>
      <c r="BC55" s="25">
        <v>67.135472436385641</v>
      </c>
      <c r="BD55" s="25">
        <v>64.579261167507681</v>
      </c>
      <c r="BE55" s="25">
        <v>12.95193854753712</v>
      </c>
      <c r="BF55" s="25">
        <v>142.7618131583499</v>
      </c>
      <c r="BG55" s="25">
        <v>154.00668186818808</v>
      </c>
      <c r="BH55" s="25">
        <v>661.76746376484198</v>
      </c>
      <c r="BI55" s="25">
        <v>1955.7044157217938</v>
      </c>
      <c r="BJ55" s="25">
        <v>61.593475700029707</v>
      </c>
      <c r="BK55" s="25">
        <v>848.28966343902027</v>
      </c>
      <c r="BL55" s="25">
        <v>251.59133410202563</v>
      </c>
      <c r="BM55" s="25">
        <v>548.838226182639</v>
      </c>
      <c r="BN55" s="25">
        <v>84.822661739423751</v>
      </c>
      <c r="BO55" s="25">
        <v>305.04012607751815</v>
      </c>
      <c r="BP55" s="25">
        <v>22.538514957049436</v>
      </c>
      <c r="BQ55" s="25">
        <v>1037.9844848969544</v>
      </c>
      <c r="BR55" s="25">
        <v>307.43786699756174</v>
      </c>
      <c r="BS55" s="25">
        <v>1902.2029143282734</v>
      </c>
      <c r="BT55" s="25">
        <v>343.80313866984761</v>
      </c>
      <c r="BU55" s="25">
        <v>6.1739410674261332</v>
      </c>
      <c r="BV55" s="25">
        <v>90.362573023187764</v>
      </c>
      <c r="BW55" s="25">
        <v>6697.2625784778875</v>
      </c>
      <c r="BX55" s="25">
        <v>0</v>
      </c>
      <c r="BY55" s="25">
        <v>26638.553917514364</v>
      </c>
      <c r="BZ55" s="25">
        <v>7922.3153352442387</v>
      </c>
      <c r="CA55" s="25">
        <v>0</v>
      </c>
      <c r="CB55" s="25">
        <v>0</v>
      </c>
      <c r="CC55" s="25">
        <v>10246.13074725425</v>
      </c>
      <c r="CD55" s="25">
        <v>0</v>
      </c>
      <c r="CE55" s="25">
        <v>0</v>
      </c>
      <c r="CF55" s="25">
        <v>18168.446082498489</v>
      </c>
      <c r="CG55" s="25">
        <v>44807</v>
      </c>
      <c r="CH55"/>
      <c r="CI55">
        <f t="shared" si="0"/>
        <v>0.40548231487264241</v>
      </c>
      <c r="CJ55"/>
      <c r="CK55"/>
      <c r="CL55"/>
      <c r="CM55"/>
      <c r="CN55"/>
      <c r="CO55"/>
      <c r="CP55"/>
      <c r="CQ55"/>
      <c r="CR55"/>
      <c r="CS55"/>
      <c r="CT55"/>
      <c r="CU55"/>
    </row>
    <row r="56" spans="1:99" s="5" customFormat="1" x14ac:dyDescent="0.3">
      <c r="A56" s="35" t="s">
        <v>60</v>
      </c>
      <c r="B56" s="11" t="s">
        <v>134</v>
      </c>
      <c r="C56" s="5">
        <v>51</v>
      </c>
      <c r="D56" s="25">
        <v>1107.5530893104053</v>
      </c>
      <c r="E56" s="25">
        <v>52.734320300833829</v>
      </c>
      <c r="F56" s="25">
        <v>257.12418087482206</v>
      </c>
      <c r="G56" s="25">
        <v>27.332603392649428</v>
      </c>
      <c r="H56" s="25">
        <v>4686.5244651753528</v>
      </c>
      <c r="I56" s="25">
        <v>2866.9374720018664</v>
      </c>
      <c r="J56" s="25">
        <v>452.77896691470039</v>
      </c>
      <c r="K56" s="25">
        <v>3106.4543221425342</v>
      </c>
      <c r="L56" s="25">
        <v>1445.7661406731338</v>
      </c>
      <c r="M56" s="25">
        <v>3759.9643714657623</v>
      </c>
      <c r="N56" s="25">
        <v>1966.434338465094</v>
      </c>
      <c r="O56" s="25">
        <v>30.597631579185716</v>
      </c>
      <c r="P56" s="25">
        <v>174.62685915767094</v>
      </c>
      <c r="Q56" s="25">
        <v>117.35982557940046</v>
      </c>
      <c r="R56" s="25">
        <v>178.81607674240067</v>
      </c>
      <c r="S56" s="25">
        <v>283.69214735234266</v>
      </c>
      <c r="T56" s="25">
        <v>1642.0242484833598</v>
      </c>
      <c r="U56" s="25">
        <v>168.0324596306701</v>
      </c>
      <c r="V56" s="25">
        <v>785.99973305102799</v>
      </c>
      <c r="W56" s="25">
        <v>20.157141806389667</v>
      </c>
      <c r="X56" s="25">
        <v>0.12879739816894351</v>
      </c>
      <c r="Y56" s="25">
        <v>888.97562803098106</v>
      </c>
      <c r="Z56" s="25">
        <v>1113.0502184619572</v>
      </c>
      <c r="AA56" s="25">
        <v>890.70270508442729</v>
      </c>
      <c r="AB56" s="25">
        <v>427.10706328202031</v>
      </c>
      <c r="AC56" s="25">
        <v>680.8296416773336</v>
      </c>
      <c r="AD56" s="25">
        <v>289.22322789928495</v>
      </c>
      <c r="AE56" s="25">
        <v>340.4563316440142</v>
      </c>
      <c r="AF56" s="25">
        <v>3106.143447158548</v>
      </c>
      <c r="AG56" s="25">
        <v>156.05659709763083</v>
      </c>
      <c r="AH56" s="25">
        <v>882.07570623616118</v>
      </c>
      <c r="AI56" s="25">
        <v>721.49553988904836</v>
      </c>
      <c r="AJ56" s="25">
        <v>872.11436804355446</v>
      </c>
      <c r="AK56" s="25">
        <v>355.37907464917532</v>
      </c>
      <c r="AL56" s="25">
        <v>3921.2234692979123</v>
      </c>
      <c r="AM56" s="25">
        <v>725.8449677609218</v>
      </c>
      <c r="AN56" s="25">
        <v>363.13483923989639</v>
      </c>
      <c r="AO56" s="25">
        <v>382.29547029925698</v>
      </c>
      <c r="AP56" s="25">
        <v>230.35013783318922</v>
      </c>
      <c r="AQ56" s="25">
        <v>533.24293120405105</v>
      </c>
      <c r="AR56" s="25">
        <v>87.105717255425631</v>
      </c>
      <c r="AS56" s="25">
        <v>62.407995888186534</v>
      </c>
      <c r="AT56" s="25">
        <v>91.493001976555561</v>
      </c>
      <c r="AU56" s="25">
        <v>26.775828013869667</v>
      </c>
      <c r="AV56" s="25">
        <v>631.94792252939851</v>
      </c>
      <c r="AW56" s="25">
        <v>761.13506529545714</v>
      </c>
      <c r="AX56" s="25">
        <v>16732.046905600353</v>
      </c>
      <c r="AY56" s="40">
        <v>8818.9588852887646</v>
      </c>
      <c r="AZ56" s="25">
        <v>2554.2717158953233</v>
      </c>
      <c r="BA56" s="25">
        <v>5204.6672426241585</v>
      </c>
      <c r="BB56" s="25">
        <v>5321.281311320422</v>
      </c>
      <c r="BC56" s="25">
        <v>72.467839472057094</v>
      </c>
      <c r="BD56" s="25">
        <v>328.64455285321708</v>
      </c>
      <c r="BE56" s="25">
        <v>57.145727050278083</v>
      </c>
      <c r="BF56" s="25">
        <v>87.252761869702184</v>
      </c>
      <c r="BG56" s="25">
        <v>571.79887165813284</v>
      </c>
      <c r="BH56" s="25">
        <v>184.265875497129</v>
      </c>
      <c r="BI56" s="25">
        <v>4048.7975784176729</v>
      </c>
      <c r="BJ56" s="25">
        <v>236.48941730981929</v>
      </c>
      <c r="BK56" s="25">
        <v>685.69265925087916</v>
      </c>
      <c r="BL56" s="25">
        <v>220.72559103183312</v>
      </c>
      <c r="BM56" s="25">
        <v>295.91744032336356</v>
      </c>
      <c r="BN56" s="25">
        <v>239.99222233599662</v>
      </c>
      <c r="BO56" s="25">
        <v>830.20474620239497</v>
      </c>
      <c r="BP56" s="25">
        <v>78.821922895319474</v>
      </c>
      <c r="BQ56" s="25">
        <v>3809.818074670743</v>
      </c>
      <c r="BR56" s="25">
        <v>316.69512482140237</v>
      </c>
      <c r="BS56" s="25">
        <v>504.49716694563062</v>
      </c>
      <c r="BT56" s="25">
        <v>409.62304004189883</v>
      </c>
      <c r="BU56" s="25">
        <v>347.65630013322732</v>
      </c>
      <c r="BV56" s="25">
        <v>80.772732225547003</v>
      </c>
      <c r="BW56" s="25">
        <v>1440.9069236435296</v>
      </c>
      <c r="BX56" s="25">
        <v>0</v>
      </c>
      <c r="BY56" s="25">
        <v>95151.018716624792</v>
      </c>
      <c r="BZ56" s="25">
        <v>11538.986655413724</v>
      </c>
      <c r="CA56" s="25">
        <v>0.43480693774667994</v>
      </c>
      <c r="CB56" s="25">
        <v>0</v>
      </c>
      <c r="CC56" s="25">
        <v>32126.448709308461</v>
      </c>
      <c r="CD56" s="25">
        <v>27.164585408448154</v>
      </c>
      <c r="CE56" s="25">
        <v>-5.3473668458267343E-2</v>
      </c>
      <c r="CF56" s="25">
        <v>43692.981283399931</v>
      </c>
      <c r="CG56" s="25">
        <v>138844</v>
      </c>
      <c r="CH56"/>
      <c r="CI56">
        <f t="shared" si="0"/>
        <v>0.31469117342773134</v>
      </c>
      <c r="CJ56"/>
      <c r="CK56"/>
      <c r="CL56"/>
      <c r="CM56"/>
      <c r="CN56"/>
      <c r="CO56"/>
      <c r="CP56"/>
      <c r="CQ56"/>
      <c r="CR56"/>
      <c r="CS56"/>
      <c r="CT56"/>
      <c r="CU56"/>
    </row>
    <row r="57" spans="1:99" s="5" customFormat="1" x14ac:dyDescent="0.3">
      <c r="A57" s="35" t="s">
        <v>61</v>
      </c>
      <c r="B57" s="13" t="s">
        <v>135</v>
      </c>
      <c r="C57" s="5">
        <v>52</v>
      </c>
      <c r="D57" s="25">
        <v>4.1299403891300894</v>
      </c>
      <c r="E57" s="25">
        <v>1.6539141168804776</v>
      </c>
      <c r="F57" s="25">
        <v>1.8855479741863035</v>
      </c>
      <c r="G57" s="25">
        <v>7.1801427190256737</v>
      </c>
      <c r="H57" s="25">
        <v>210.79458798825763</v>
      </c>
      <c r="I57" s="25">
        <v>67.189308294123691</v>
      </c>
      <c r="J57" s="25">
        <v>10.722197356910591</v>
      </c>
      <c r="K57" s="25">
        <v>227.90752147712357</v>
      </c>
      <c r="L57" s="25">
        <v>17.923758997004594</v>
      </c>
      <c r="M57" s="25">
        <v>219.73660869357889</v>
      </c>
      <c r="N57" s="25">
        <v>37.954434703365123</v>
      </c>
      <c r="O57" s="25">
        <v>18.431230210578658</v>
      </c>
      <c r="P57" s="25">
        <v>19.077938535895267</v>
      </c>
      <c r="Q57" s="25">
        <v>16.25863062844563</v>
      </c>
      <c r="R57" s="25">
        <v>20.680217006945465</v>
      </c>
      <c r="S57" s="25">
        <v>6.5217089329862228</v>
      </c>
      <c r="T57" s="25">
        <v>63.922052311575101</v>
      </c>
      <c r="U57" s="25">
        <v>6.4289490904216215</v>
      </c>
      <c r="V57" s="25">
        <v>24.168982174261171</v>
      </c>
      <c r="W57" s="25">
        <v>0.61981904130119891</v>
      </c>
      <c r="X57" s="25">
        <v>3.9604364855863397E-3</v>
      </c>
      <c r="Y57" s="25">
        <v>11.931859118285539</v>
      </c>
      <c r="Z57" s="25">
        <v>99.185218472284745</v>
      </c>
      <c r="AA57" s="25">
        <v>109.70875104985157</v>
      </c>
      <c r="AB57" s="25">
        <v>28.097571139949583</v>
      </c>
      <c r="AC57" s="25">
        <v>149.94686271690583</v>
      </c>
      <c r="AD57" s="25">
        <v>79.003465364983967</v>
      </c>
      <c r="AE57" s="25">
        <v>57.578128736208946</v>
      </c>
      <c r="AF57" s="25">
        <v>146.301262182264</v>
      </c>
      <c r="AG57" s="25">
        <v>33.303140250125658</v>
      </c>
      <c r="AH57" s="25">
        <v>115.729047456459</v>
      </c>
      <c r="AI57" s="25">
        <v>112.15544866816481</v>
      </c>
      <c r="AJ57" s="25">
        <v>84.579515697068715</v>
      </c>
      <c r="AK57" s="25">
        <v>210.10910413450665</v>
      </c>
      <c r="AL57" s="25">
        <v>92.81491084604329</v>
      </c>
      <c r="AM57" s="25">
        <v>69.413079918143765</v>
      </c>
      <c r="AN57" s="25">
        <v>44.510514192529314</v>
      </c>
      <c r="AO57" s="25">
        <v>82.030390631206998</v>
      </c>
      <c r="AP57" s="25">
        <v>53.462758137576323</v>
      </c>
      <c r="AQ57" s="25">
        <v>111.47479007738856</v>
      </c>
      <c r="AR57" s="25">
        <v>18.20950823232435</v>
      </c>
      <c r="AS57" s="25">
        <v>13.046433123975129</v>
      </c>
      <c r="AT57" s="25">
        <v>33.053968069323808</v>
      </c>
      <c r="AU57" s="25">
        <v>9.7735635946774817</v>
      </c>
      <c r="AV57" s="25">
        <v>701.0105264509159</v>
      </c>
      <c r="AW57" s="25">
        <v>259.87589815154803</v>
      </c>
      <c r="AX57" s="25">
        <v>2207.8944152886243</v>
      </c>
      <c r="AY57" s="40">
        <v>143.84622313269489</v>
      </c>
      <c r="AZ57" s="25">
        <v>3.2071102550848822</v>
      </c>
      <c r="BA57" s="25">
        <v>48.46961589671853</v>
      </c>
      <c r="BB57" s="25">
        <v>154.51379073081534</v>
      </c>
      <c r="BC57" s="25">
        <v>1.4376490191730635</v>
      </c>
      <c r="BD57" s="25">
        <v>31.326821418496454</v>
      </c>
      <c r="BE57" s="25">
        <v>41.951638028711251</v>
      </c>
      <c r="BF57" s="25">
        <v>100.1945395103802</v>
      </c>
      <c r="BG57" s="25">
        <v>64.727150329350081</v>
      </c>
      <c r="BH57" s="25">
        <v>375.71861868480795</v>
      </c>
      <c r="BI57" s="25">
        <v>679.87963362726805</v>
      </c>
      <c r="BJ57" s="25">
        <v>43.252992669439386</v>
      </c>
      <c r="BK57" s="25">
        <v>239.44119742959046</v>
      </c>
      <c r="BL57" s="25">
        <v>184.68858197646082</v>
      </c>
      <c r="BM57" s="25">
        <v>108.1845177176971</v>
      </c>
      <c r="BN57" s="25">
        <v>103.5002900171001</v>
      </c>
      <c r="BO57" s="25">
        <v>118.54613348883626</v>
      </c>
      <c r="BP57" s="25">
        <v>29.531699344222481</v>
      </c>
      <c r="BQ57" s="25">
        <v>1383.4049461425404</v>
      </c>
      <c r="BR57" s="25">
        <v>155.66127396500133</v>
      </c>
      <c r="BS57" s="25">
        <v>255.27052038774477</v>
      </c>
      <c r="BT57" s="25">
        <v>224.24028635002691</v>
      </c>
      <c r="BU57" s="25">
        <v>4.831271841991799</v>
      </c>
      <c r="BV57" s="25">
        <v>96.513917184275584</v>
      </c>
      <c r="BW57" s="25">
        <v>4241.445451017602</v>
      </c>
      <c r="BX57" s="25">
        <v>0</v>
      </c>
      <c r="BY57" s="25">
        <v>14751.177452945849</v>
      </c>
      <c r="BZ57" s="25">
        <v>6880.209336048214</v>
      </c>
      <c r="CA57" s="25">
        <v>0.24925654779688283</v>
      </c>
      <c r="CB57" s="25">
        <v>0</v>
      </c>
      <c r="CC57" s="25">
        <v>6148.9937125620991</v>
      </c>
      <c r="CD57" s="25">
        <v>6.3702419016962235</v>
      </c>
      <c r="CE57" s="25">
        <v>0</v>
      </c>
      <c r="CF57" s="25">
        <v>13035.822547059804</v>
      </c>
      <c r="CG57" s="25">
        <v>27787</v>
      </c>
      <c r="CH57"/>
      <c r="CI57">
        <f t="shared" si="0"/>
        <v>0.46913385925288098</v>
      </c>
      <c r="CJ57"/>
      <c r="CK57"/>
      <c r="CL57"/>
      <c r="CM57"/>
      <c r="CN57"/>
      <c r="CO57"/>
      <c r="CP57"/>
      <c r="CQ57"/>
      <c r="CR57"/>
      <c r="CS57"/>
      <c r="CT57"/>
      <c r="CU57"/>
    </row>
    <row r="58" spans="1:99" s="5" customFormat="1" x14ac:dyDescent="0.3">
      <c r="A58" s="35" t="s">
        <v>62</v>
      </c>
      <c r="B58" s="11" t="s">
        <v>136</v>
      </c>
      <c r="C58" s="5">
        <v>53</v>
      </c>
      <c r="D58" s="25">
        <v>5.7119932735848611</v>
      </c>
      <c r="E58" s="25">
        <v>1.4331555606058743</v>
      </c>
      <c r="F58" s="25">
        <v>2.3233255211820136</v>
      </c>
      <c r="G58" s="25">
        <v>2.347896864613694</v>
      </c>
      <c r="H58" s="25">
        <v>283.53170987077993</v>
      </c>
      <c r="I58" s="25">
        <v>12.248523266194535</v>
      </c>
      <c r="J58" s="25">
        <v>7.5612080659865466</v>
      </c>
      <c r="K58" s="25">
        <v>11.132710380226914</v>
      </c>
      <c r="L58" s="25">
        <v>2.699068888044085</v>
      </c>
      <c r="M58" s="25">
        <v>142.84797368956083</v>
      </c>
      <c r="N58" s="25">
        <v>4.3215952222837561</v>
      </c>
      <c r="O58" s="25">
        <v>0.62829077831660807</v>
      </c>
      <c r="P58" s="25">
        <v>10.940055490937596</v>
      </c>
      <c r="Q58" s="25">
        <v>5.0451783118353903</v>
      </c>
      <c r="R58" s="25">
        <v>1.5443919100336991</v>
      </c>
      <c r="S58" s="25">
        <v>1.3941140877125768</v>
      </c>
      <c r="T58" s="25">
        <v>10.376542611336134</v>
      </c>
      <c r="U58" s="25">
        <v>13.041173943425179</v>
      </c>
      <c r="V58" s="25">
        <v>6.3176786733876149</v>
      </c>
      <c r="W58" s="25">
        <v>0.16201830554363614</v>
      </c>
      <c r="X58" s="25">
        <v>1.0352428141943415E-3</v>
      </c>
      <c r="Y58" s="25">
        <v>3.477555211943594</v>
      </c>
      <c r="Z58" s="25">
        <v>101.34716896151355</v>
      </c>
      <c r="AA58" s="25">
        <v>120.55989439740378</v>
      </c>
      <c r="AB58" s="25">
        <v>2.8213971837212117</v>
      </c>
      <c r="AC58" s="25">
        <v>277.56402506414582</v>
      </c>
      <c r="AD58" s="25">
        <v>19.001141502228066</v>
      </c>
      <c r="AE58" s="25">
        <v>3.8044545382215311</v>
      </c>
      <c r="AF58" s="25">
        <v>34.642971176702112</v>
      </c>
      <c r="AG58" s="25">
        <v>59.37071991650479</v>
      </c>
      <c r="AH58" s="25">
        <v>29.351325738963634</v>
      </c>
      <c r="AI58" s="25">
        <v>6.3299634959740887</v>
      </c>
      <c r="AJ58" s="25">
        <v>2.7023425081903838</v>
      </c>
      <c r="AK58" s="25">
        <v>96.737355014011698</v>
      </c>
      <c r="AL58" s="25">
        <v>401.0511018513044</v>
      </c>
      <c r="AM58" s="25">
        <v>17.727465690797683</v>
      </c>
      <c r="AN58" s="25">
        <v>3.8891572364784723</v>
      </c>
      <c r="AO58" s="25">
        <v>3.4957758393728264</v>
      </c>
      <c r="AP58" s="25">
        <v>91.2304217083514</v>
      </c>
      <c r="AQ58" s="25">
        <v>196.26756790793888</v>
      </c>
      <c r="AR58" s="25">
        <v>32.060485523917798</v>
      </c>
      <c r="AS58" s="25">
        <v>22.97014147627948</v>
      </c>
      <c r="AT58" s="25">
        <v>56.486009004530274</v>
      </c>
      <c r="AU58" s="25">
        <v>12.381419761657984</v>
      </c>
      <c r="AV58" s="25">
        <v>28.155344045088931</v>
      </c>
      <c r="AW58" s="25">
        <v>166.75301266337561</v>
      </c>
      <c r="AX58" s="25">
        <v>845.30466811454164</v>
      </c>
      <c r="AY58" s="40">
        <v>43.108678152778765</v>
      </c>
      <c r="AZ58" s="25">
        <v>6.6604751236730477</v>
      </c>
      <c r="BA58" s="25">
        <v>789.18576729284098</v>
      </c>
      <c r="BB58" s="25">
        <v>60.95671091984584</v>
      </c>
      <c r="BC58" s="25">
        <v>246.79012356927458</v>
      </c>
      <c r="BD58" s="25">
        <v>43.246198133561975</v>
      </c>
      <c r="BE58" s="25">
        <v>4.916015595987993</v>
      </c>
      <c r="BF58" s="25">
        <v>676.29798457555387</v>
      </c>
      <c r="BG58" s="25">
        <v>82.536731008727145</v>
      </c>
      <c r="BH58" s="25">
        <v>45.198176938507501</v>
      </c>
      <c r="BI58" s="25">
        <v>2652.6170622015643</v>
      </c>
      <c r="BJ58" s="25">
        <v>76.064863973035742</v>
      </c>
      <c r="BK58" s="25">
        <v>1420.0686317556774</v>
      </c>
      <c r="BL58" s="25">
        <v>10.699210170689003</v>
      </c>
      <c r="BM58" s="25">
        <v>244.56918146234131</v>
      </c>
      <c r="BN58" s="25">
        <v>16.8016652905619</v>
      </c>
      <c r="BO58" s="25">
        <v>1589.0943610225627</v>
      </c>
      <c r="BP58" s="25">
        <v>6.7428345471960593</v>
      </c>
      <c r="BQ58" s="25">
        <v>10034.803579670324</v>
      </c>
      <c r="BR58" s="25">
        <v>1761.0156824189401</v>
      </c>
      <c r="BS58" s="25">
        <v>264.58281386664521</v>
      </c>
      <c r="BT58" s="25">
        <v>4477.6520204477038</v>
      </c>
      <c r="BU58" s="25">
        <v>4109.6975460689673</v>
      </c>
      <c r="BV58" s="25">
        <v>62.948878005696599</v>
      </c>
      <c r="BW58" s="25">
        <v>8593.9851075231836</v>
      </c>
      <c r="BX58" s="25">
        <v>0</v>
      </c>
      <c r="BY58" s="25">
        <v>40481.332825227408</v>
      </c>
      <c r="BZ58" s="25">
        <v>5122.7291598456031</v>
      </c>
      <c r="CA58" s="25">
        <v>0.21106401224736046</v>
      </c>
      <c r="CB58" s="25">
        <v>0</v>
      </c>
      <c r="CC58" s="25">
        <v>231328.33279449592</v>
      </c>
      <c r="CD58" s="25">
        <v>5.3941564490169629</v>
      </c>
      <c r="CE58" s="25">
        <v>0</v>
      </c>
      <c r="CF58" s="25">
        <v>236456.66717480277</v>
      </c>
      <c r="CG58" s="25">
        <v>276938</v>
      </c>
      <c r="CH58"/>
      <c r="CI58">
        <f t="shared" si="0"/>
        <v>0.85382528643524103</v>
      </c>
      <c r="CJ58"/>
      <c r="CK58"/>
      <c r="CL58"/>
      <c r="CM58"/>
      <c r="CN58"/>
      <c r="CO58"/>
      <c r="CP58"/>
      <c r="CQ58"/>
      <c r="CR58"/>
      <c r="CS58"/>
      <c r="CT58"/>
      <c r="CU58"/>
    </row>
    <row r="59" spans="1:99" s="5" customFormat="1" x14ac:dyDescent="0.3">
      <c r="A59" s="35" t="s">
        <v>63</v>
      </c>
      <c r="B59" s="11" t="s">
        <v>137</v>
      </c>
      <c r="C59" s="5">
        <v>54</v>
      </c>
      <c r="D59" s="25">
        <v>2.0258132149867252</v>
      </c>
      <c r="E59" s="25">
        <v>0.91149838588941379</v>
      </c>
      <c r="F59" s="25">
        <v>0.1822430209748187</v>
      </c>
      <c r="G59" s="25">
        <v>8.6837528400186562E-2</v>
      </c>
      <c r="H59" s="25">
        <v>1.1233094123965901</v>
      </c>
      <c r="I59" s="25">
        <v>0.96245542282347751</v>
      </c>
      <c r="J59" s="25">
        <v>0.24641011305250751</v>
      </c>
      <c r="K59" s="25">
        <v>5.8841823162726774</v>
      </c>
      <c r="L59" s="25">
        <v>0.69258435348848013</v>
      </c>
      <c r="M59" s="25">
        <v>6.4348791007019921</v>
      </c>
      <c r="N59" s="25">
        <v>10.596533914261132</v>
      </c>
      <c r="O59" s="25">
        <v>0.233236784716363</v>
      </c>
      <c r="P59" s="25">
        <v>1.2834554785248247</v>
      </c>
      <c r="Q59" s="25">
        <v>1.4841893026128259</v>
      </c>
      <c r="R59" s="25">
        <v>0.81508008565592727</v>
      </c>
      <c r="S59" s="25">
        <v>1.1191412446894213</v>
      </c>
      <c r="T59" s="25">
        <v>6.5122798659269021</v>
      </c>
      <c r="U59" s="25">
        <v>45.700343912602541</v>
      </c>
      <c r="V59" s="25">
        <v>2.2185371103076563</v>
      </c>
      <c r="W59" s="25">
        <v>5.6895360991163262E-2</v>
      </c>
      <c r="X59" s="25">
        <v>3.8196834771031475E-4</v>
      </c>
      <c r="Y59" s="25">
        <v>0.78824225214414634</v>
      </c>
      <c r="Z59" s="25">
        <v>121.28068740323424</v>
      </c>
      <c r="AA59" s="25">
        <v>1.5730779879621539</v>
      </c>
      <c r="AB59" s="25">
        <v>0.60857889989279024</v>
      </c>
      <c r="AC59" s="25">
        <v>1.21478178808615</v>
      </c>
      <c r="AD59" s="25">
        <v>2.3424463338117487</v>
      </c>
      <c r="AE59" s="25">
        <v>1.1009232019463009</v>
      </c>
      <c r="AF59" s="25">
        <v>1.7264799436406693</v>
      </c>
      <c r="AG59" s="25">
        <v>0.52027498405020067</v>
      </c>
      <c r="AH59" s="25">
        <v>1.7508633322688381</v>
      </c>
      <c r="AI59" s="25">
        <v>9.7763993432559619</v>
      </c>
      <c r="AJ59" s="25">
        <v>1.1422225232476197</v>
      </c>
      <c r="AK59" s="25">
        <v>2.1106986045670366</v>
      </c>
      <c r="AL59" s="25">
        <v>1.6438696962854227</v>
      </c>
      <c r="AM59" s="25">
        <v>3.7261301883896647</v>
      </c>
      <c r="AN59" s="25">
        <v>0.41958233630724334</v>
      </c>
      <c r="AO59" s="25">
        <v>1.9487136635978644</v>
      </c>
      <c r="AP59" s="25">
        <v>13.555992238427523</v>
      </c>
      <c r="AQ59" s="25">
        <v>60.779443523597919</v>
      </c>
      <c r="AR59" s="25">
        <v>9.9283773167969773</v>
      </c>
      <c r="AS59" s="25">
        <v>7.1133118500833632</v>
      </c>
      <c r="AT59" s="25">
        <v>18.017854697654155</v>
      </c>
      <c r="AU59" s="25">
        <v>5.1970877260274131</v>
      </c>
      <c r="AV59" s="25">
        <v>5.462842999503466</v>
      </c>
      <c r="AW59" s="25">
        <v>8.6483781874724102</v>
      </c>
      <c r="AX59" s="25">
        <v>546.41530252215944</v>
      </c>
      <c r="AY59" s="40">
        <v>4.7530342397125187</v>
      </c>
      <c r="AZ59" s="25">
        <v>0.14129981457110569</v>
      </c>
      <c r="BA59" s="25">
        <v>1.7442844113978919</v>
      </c>
      <c r="BB59" s="25">
        <v>5.8243706003479288</v>
      </c>
      <c r="BC59" s="25">
        <v>49.678506678278808</v>
      </c>
      <c r="BD59" s="25">
        <v>11.823150216683201</v>
      </c>
      <c r="BE59" s="25">
        <v>66.255003652261479</v>
      </c>
      <c r="BF59" s="25">
        <v>11.912114357984734</v>
      </c>
      <c r="BG59" s="25">
        <v>116.15928233582866</v>
      </c>
      <c r="BH59" s="25">
        <v>27.293283348842138</v>
      </c>
      <c r="BI59" s="25">
        <v>1117.0738257166572</v>
      </c>
      <c r="BJ59" s="25">
        <v>50.80409460818364</v>
      </c>
      <c r="BK59" s="25">
        <v>261.00112658909984</v>
      </c>
      <c r="BL59" s="25">
        <v>105.7901066333506</v>
      </c>
      <c r="BM59" s="25">
        <v>1522.6839540381463</v>
      </c>
      <c r="BN59" s="25">
        <v>19.496104513616036</v>
      </c>
      <c r="BO59" s="25">
        <v>65.060908493551835</v>
      </c>
      <c r="BP59" s="25">
        <v>0.41834075070169691</v>
      </c>
      <c r="BQ59" s="25">
        <v>861.45928642045214</v>
      </c>
      <c r="BR59" s="25">
        <v>2152.4843865835683</v>
      </c>
      <c r="BS59" s="25">
        <v>1193.0430377192133</v>
      </c>
      <c r="BT59" s="25">
        <v>29.877389256922896</v>
      </c>
      <c r="BU59" s="25">
        <v>116.80605127803531</v>
      </c>
      <c r="BV59" s="25">
        <v>18.994663529403145</v>
      </c>
      <c r="BW59" s="25">
        <v>125.85249391933657</v>
      </c>
      <c r="BX59" s="25">
        <v>0</v>
      </c>
      <c r="BY59" s="25">
        <v>8853.7929511481816</v>
      </c>
      <c r="BZ59" s="25">
        <v>788.70625769899766</v>
      </c>
      <c r="CA59" s="25">
        <v>0.18694241084766214</v>
      </c>
      <c r="CB59" s="25">
        <v>0</v>
      </c>
      <c r="CC59" s="25">
        <v>8410.8482348965717</v>
      </c>
      <c r="CD59" s="25">
        <v>25.38590928757036</v>
      </c>
      <c r="CE59" s="25">
        <v>-175.92029543528432</v>
      </c>
      <c r="CF59" s="25">
        <v>9049.2070488587051</v>
      </c>
      <c r="CG59" s="25">
        <v>17903</v>
      </c>
      <c r="CH59"/>
      <c r="CI59">
        <f t="shared" si="0"/>
        <v>0.50545757967149108</v>
      </c>
      <c r="CJ59"/>
      <c r="CK59"/>
      <c r="CL59"/>
      <c r="CM59"/>
      <c r="CN59"/>
      <c r="CO59"/>
      <c r="CP59"/>
      <c r="CQ59"/>
      <c r="CR59"/>
      <c r="CS59"/>
      <c r="CT59"/>
      <c r="CU59"/>
    </row>
    <row r="60" spans="1:99" s="5" customFormat="1" x14ac:dyDescent="0.3">
      <c r="A60" s="35" t="s">
        <v>64</v>
      </c>
      <c r="B60" s="11" t="s">
        <v>138</v>
      </c>
      <c r="C60" s="5">
        <v>55</v>
      </c>
      <c r="D60" s="25">
        <v>1.4623936840894449</v>
      </c>
      <c r="E60" s="25">
        <v>0.74959420751684103</v>
      </c>
      <c r="F60" s="25">
        <v>6.8320076448985578E-2</v>
      </c>
      <c r="G60" s="25">
        <v>5.2242622594728699E-2</v>
      </c>
      <c r="H60" s="25">
        <v>0.44620480116524386</v>
      </c>
      <c r="I60" s="25">
        <v>0.21020320123129194</v>
      </c>
      <c r="J60" s="25">
        <v>5.4978499854368784E-2</v>
      </c>
      <c r="K60" s="25">
        <v>2.4564688066523765</v>
      </c>
      <c r="L60" s="25">
        <v>8.2689809930710387E-2</v>
      </c>
      <c r="M60" s="25">
        <v>2.3987122170862167</v>
      </c>
      <c r="N60" s="25">
        <v>0.45741897910085544</v>
      </c>
      <c r="O60" s="25">
        <v>0.17031789499433475</v>
      </c>
      <c r="P60" s="25">
        <v>0.44932796357389115</v>
      </c>
      <c r="Q60" s="25">
        <v>0.59337073298647591</v>
      </c>
      <c r="R60" s="25">
        <v>0.43556960979208392</v>
      </c>
      <c r="S60" s="25">
        <v>0.18500157520996946</v>
      </c>
      <c r="T60" s="25">
        <v>0.59992882725414964</v>
      </c>
      <c r="U60" s="25">
        <v>0.12323921035776123</v>
      </c>
      <c r="V60" s="25">
        <v>1.5341917133547167</v>
      </c>
      <c r="W60" s="25">
        <v>3.934469520013345E-2</v>
      </c>
      <c r="X60" s="25">
        <v>2.5139945048761577E-4</v>
      </c>
      <c r="Y60" s="25">
        <v>0.17409640432525381</v>
      </c>
      <c r="Z60" s="25">
        <v>0.78391528750776462</v>
      </c>
      <c r="AA60" s="25">
        <v>0.48273775138454528</v>
      </c>
      <c r="AB60" s="25">
        <v>0.33535901626304171</v>
      </c>
      <c r="AC60" s="25">
        <v>0.39313732829697673</v>
      </c>
      <c r="AD60" s="25">
        <v>0.78057684119533766</v>
      </c>
      <c r="AE60" s="25">
        <v>0.50300547888907288</v>
      </c>
      <c r="AF60" s="25">
        <v>0.57894524481941168</v>
      </c>
      <c r="AG60" s="25">
        <v>0.34079801136237703</v>
      </c>
      <c r="AH60" s="25">
        <v>0.58084694911215107</v>
      </c>
      <c r="AI60" s="25">
        <v>0.86508674310725708</v>
      </c>
      <c r="AJ60" s="25">
        <v>0.53800500638230953</v>
      </c>
      <c r="AK60" s="25">
        <v>0.95309495601876537</v>
      </c>
      <c r="AL60" s="25">
        <v>0.42722378206188683</v>
      </c>
      <c r="AM60" s="25">
        <v>0.41364234608035422</v>
      </c>
      <c r="AN60" s="25">
        <v>0.13424463392557376</v>
      </c>
      <c r="AO60" s="25">
        <v>0.54666389318098263</v>
      </c>
      <c r="AP60" s="25">
        <v>0.47352151811536686</v>
      </c>
      <c r="AQ60" s="25">
        <v>0.44168181465374001</v>
      </c>
      <c r="AR60" s="25">
        <v>7.2149125685024573E-2</v>
      </c>
      <c r="AS60" s="25">
        <v>5.1692156163340747E-2</v>
      </c>
      <c r="AT60" s="25">
        <v>2.9764373500110811E-2</v>
      </c>
      <c r="AU60" s="25">
        <v>0.15822930078479941</v>
      </c>
      <c r="AV60" s="25">
        <v>2.5908657861780524</v>
      </c>
      <c r="AW60" s="25">
        <v>0.92628260906895366</v>
      </c>
      <c r="AX60" s="25">
        <v>10.199374782515363</v>
      </c>
      <c r="AY60" s="40">
        <v>2.0504121453923929</v>
      </c>
      <c r="AZ60" s="25">
        <v>3.5482508774162633E-2</v>
      </c>
      <c r="BA60" s="25">
        <v>9.960429344692634E-2</v>
      </c>
      <c r="BB60" s="25">
        <v>0.69255754942542536</v>
      </c>
      <c r="BC60" s="25">
        <v>4.1351881908847616</v>
      </c>
      <c r="BD60" s="25">
        <v>2.9238603519814714</v>
      </c>
      <c r="BE60" s="25">
        <v>9.6079550360328785</v>
      </c>
      <c r="BF60" s="25">
        <v>5381.713715310616</v>
      </c>
      <c r="BG60" s="25">
        <v>4752.774157203743</v>
      </c>
      <c r="BH60" s="25">
        <v>1.5258283561737078</v>
      </c>
      <c r="BI60" s="25">
        <v>3.262742418281535</v>
      </c>
      <c r="BJ60" s="25">
        <v>0.61568536858566381</v>
      </c>
      <c r="BK60" s="25">
        <v>1.301696306945773</v>
      </c>
      <c r="BL60" s="25">
        <v>0.29090175905228749</v>
      </c>
      <c r="BM60" s="25">
        <v>30979.524346272967</v>
      </c>
      <c r="BN60" s="25">
        <v>0.30813851130669717</v>
      </c>
      <c r="BO60" s="25">
        <v>33.35351992575854</v>
      </c>
      <c r="BP60" s="25">
        <v>2.9272783452186357</v>
      </c>
      <c r="BQ60" s="25">
        <v>1.0633686017038397</v>
      </c>
      <c r="BR60" s="25">
        <v>0.49285669538811927</v>
      </c>
      <c r="BS60" s="25">
        <v>1.1412072610311279</v>
      </c>
      <c r="BT60" s="25">
        <v>0.56259615802322094</v>
      </c>
      <c r="BU60" s="25">
        <v>1.8677590433415223</v>
      </c>
      <c r="BV60" s="25">
        <v>122.96938165559818</v>
      </c>
      <c r="BW60" s="25">
        <v>1.1216462773531788</v>
      </c>
      <c r="BX60" s="25">
        <v>0</v>
      </c>
      <c r="BY60" s="25">
        <v>41342.706597215445</v>
      </c>
      <c r="BZ60" s="25">
        <v>601.25605731477049</v>
      </c>
      <c r="CA60" s="25">
        <v>0.15478027564806435</v>
      </c>
      <c r="CB60" s="25">
        <v>0</v>
      </c>
      <c r="CC60" s="25">
        <v>1925.9268504660065</v>
      </c>
      <c r="CD60" s="25">
        <v>3.9557147292791064</v>
      </c>
      <c r="CE60" s="25">
        <v>0</v>
      </c>
      <c r="CF60" s="25">
        <v>2531.2934027857045</v>
      </c>
      <c r="CG60" s="25">
        <v>43874</v>
      </c>
      <c r="CH60"/>
      <c r="CI60">
        <f t="shared" si="0"/>
        <v>5.7694611906498258E-2</v>
      </c>
      <c r="CJ60"/>
      <c r="CK60"/>
      <c r="CL60"/>
      <c r="CM60"/>
      <c r="CN60"/>
      <c r="CO60"/>
      <c r="CP60"/>
      <c r="CQ60"/>
      <c r="CR60"/>
      <c r="CS60"/>
      <c r="CT60"/>
      <c r="CU60"/>
    </row>
    <row r="61" spans="1:99" s="5" customFormat="1" x14ac:dyDescent="0.3">
      <c r="A61" s="35" t="s">
        <v>65</v>
      </c>
      <c r="B61" s="11" t="s">
        <v>139</v>
      </c>
      <c r="C61" s="5">
        <v>56</v>
      </c>
      <c r="D61" s="25">
        <v>16.095394153161944</v>
      </c>
      <c r="E61" s="25">
        <v>8.1882034910178749</v>
      </c>
      <c r="F61" s="25">
        <v>6.7764694878306342</v>
      </c>
      <c r="G61" s="25">
        <v>23.844407690864713</v>
      </c>
      <c r="H61" s="25">
        <v>652.40866885198704</v>
      </c>
      <c r="I61" s="25">
        <v>96.569418871452896</v>
      </c>
      <c r="J61" s="25">
        <v>21.508600951986914</v>
      </c>
      <c r="K61" s="25">
        <v>649.00720235094684</v>
      </c>
      <c r="L61" s="25">
        <v>121.70130252143487</v>
      </c>
      <c r="M61" s="25">
        <v>1204.8444794955258</v>
      </c>
      <c r="N61" s="25">
        <v>308.95515704815602</v>
      </c>
      <c r="O61" s="25">
        <v>13.943432718020063</v>
      </c>
      <c r="P61" s="25">
        <v>168.84066419224717</v>
      </c>
      <c r="Q61" s="25">
        <v>424.00173967069503</v>
      </c>
      <c r="R61" s="25">
        <v>140.25247036372838</v>
      </c>
      <c r="S61" s="25">
        <v>89.021644706421668</v>
      </c>
      <c r="T61" s="25">
        <v>337.68279629567581</v>
      </c>
      <c r="U61" s="25">
        <v>241.63111814568936</v>
      </c>
      <c r="V61" s="25">
        <v>193.08726778347003</v>
      </c>
      <c r="W61" s="25">
        <v>4.9517668697058719</v>
      </c>
      <c r="X61" s="25">
        <v>3.1640135058985414E-2</v>
      </c>
      <c r="Y61" s="25">
        <v>122.25364147509148</v>
      </c>
      <c r="Z61" s="25">
        <v>248.15978265308127</v>
      </c>
      <c r="AA61" s="25">
        <v>227.37705321043117</v>
      </c>
      <c r="AB61" s="25">
        <v>27.927794598186544</v>
      </c>
      <c r="AC61" s="25">
        <v>214.84180673116987</v>
      </c>
      <c r="AD61" s="25">
        <v>300.51242398043337</v>
      </c>
      <c r="AE61" s="25">
        <v>332.19137837964087</v>
      </c>
      <c r="AF61" s="25">
        <v>174.76699851017469</v>
      </c>
      <c r="AG61" s="25">
        <v>62.175480092054336</v>
      </c>
      <c r="AH61" s="25">
        <v>298.17345964792634</v>
      </c>
      <c r="AI61" s="25">
        <v>718.89968021904997</v>
      </c>
      <c r="AJ61" s="25">
        <v>350.56179704849018</v>
      </c>
      <c r="AK61" s="25">
        <v>359.04944895342072</v>
      </c>
      <c r="AL61" s="25">
        <v>1101.7208063331718</v>
      </c>
      <c r="AM61" s="25">
        <v>1104.5691831587555</v>
      </c>
      <c r="AN61" s="25">
        <v>123.1056115251104</v>
      </c>
      <c r="AO61" s="25">
        <v>380.86497118253624</v>
      </c>
      <c r="AP61" s="25">
        <v>108.3633217234439</v>
      </c>
      <c r="AQ61" s="25">
        <v>306.81574180255535</v>
      </c>
      <c r="AR61" s="25">
        <v>50.118630160969374</v>
      </c>
      <c r="AS61" s="25">
        <v>35.908128232679161</v>
      </c>
      <c r="AT61" s="25">
        <v>20.6759210629581</v>
      </c>
      <c r="AU61" s="25">
        <v>153.34863179159547</v>
      </c>
      <c r="AV61" s="25">
        <v>897.56288759480742</v>
      </c>
      <c r="AW61" s="25">
        <v>933.65266393600314</v>
      </c>
      <c r="AX61" s="25">
        <v>5911.7444429114339</v>
      </c>
      <c r="AY61" s="40">
        <v>828.5013731770631</v>
      </c>
      <c r="AZ61" s="25">
        <v>29.106145415253007</v>
      </c>
      <c r="BA61" s="25">
        <v>53.795880817354956</v>
      </c>
      <c r="BB61" s="25">
        <v>707.67379578570581</v>
      </c>
      <c r="BC61" s="25">
        <v>209.13638542857552</v>
      </c>
      <c r="BD61" s="25">
        <v>680.30335063822633</v>
      </c>
      <c r="BE61" s="25">
        <v>85.316471310573164</v>
      </c>
      <c r="BF61" s="25">
        <v>268.18291236428001</v>
      </c>
      <c r="BG61" s="25">
        <v>17663.068469250476</v>
      </c>
      <c r="BH61" s="25">
        <v>1509.9743635627997</v>
      </c>
      <c r="BI61" s="25">
        <v>7005.6622339306641</v>
      </c>
      <c r="BJ61" s="25">
        <v>516.45216878376425</v>
      </c>
      <c r="BK61" s="25">
        <v>2346.2453974211521</v>
      </c>
      <c r="BL61" s="25">
        <v>307.50402440826031</v>
      </c>
      <c r="BM61" s="25">
        <v>2111.8393730889734</v>
      </c>
      <c r="BN61" s="25">
        <v>107.61295726615778</v>
      </c>
      <c r="BO61" s="25">
        <v>1663.4056929905148</v>
      </c>
      <c r="BP61" s="25">
        <v>236.40062885837148</v>
      </c>
      <c r="BQ61" s="25">
        <v>4486.4823165761836</v>
      </c>
      <c r="BR61" s="25">
        <v>834.69827706691672</v>
      </c>
      <c r="BS61" s="25">
        <v>1159.8556294594989</v>
      </c>
      <c r="BT61" s="25">
        <v>376.67354478307169</v>
      </c>
      <c r="BU61" s="25">
        <v>1044.0377959837992</v>
      </c>
      <c r="BV61" s="25">
        <v>214.00008386922875</v>
      </c>
      <c r="BW61" s="25">
        <v>1459.6282737187817</v>
      </c>
      <c r="BX61" s="25">
        <v>0</v>
      </c>
      <c r="BY61" s="25">
        <v>65194.243078665888</v>
      </c>
      <c r="BZ61" s="25">
        <v>1877.6632270372982</v>
      </c>
      <c r="CA61" s="25">
        <v>1.2080902034348919</v>
      </c>
      <c r="CB61" s="25">
        <v>0</v>
      </c>
      <c r="CC61" s="25">
        <v>99402.1889032771</v>
      </c>
      <c r="CD61" s="25">
        <v>403.69670081928729</v>
      </c>
      <c r="CE61" s="25">
        <v>0</v>
      </c>
      <c r="CF61" s="25">
        <v>101684.75692133712</v>
      </c>
      <c r="CG61" s="25">
        <v>166879</v>
      </c>
      <c r="CH61"/>
      <c r="CI61">
        <f t="shared" si="0"/>
        <v>0.6093322522386706</v>
      </c>
      <c r="CJ61"/>
      <c r="CK61"/>
      <c r="CL61"/>
      <c r="CM61"/>
      <c r="CN61"/>
      <c r="CO61"/>
      <c r="CP61"/>
      <c r="CQ61"/>
      <c r="CR61"/>
      <c r="CS61"/>
      <c r="CT61"/>
      <c r="CU61"/>
    </row>
    <row r="62" spans="1:99" s="5" customFormat="1" x14ac:dyDescent="0.3">
      <c r="A62" s="35" t="s">
        <v>66</v>
      </c>
      <c r="B62" s="11" t="s">
        <v>140</v>
      </c>
      <c r="C62" s="5">
        <v>57</v>
      </c>
      <c r="D62" s="25">
        <v>38.728256353026197</v>
      </c>
      <c r="E62" s="25">
        <v>19.623890088850146</v>
      </c>
      <c r="F62" s="25">
        <v>1.7845164544971936</v>
      </c>
      <c r="G62" s="25">
        <v>1.6246711609089481</v>
      </c>
      <c r="H62" s="25">
        <v>62.83360492559887</v>
      </c>
      <c r="I62" s="25">
        <v>325.52937927100385</v>
      </c>
      <c r="J62" s="25">
        <v>32.157036189811031</v>
      </c>
      <c r="K62" s="25">
        <v>572.69611490078648</v>
      </c>
      <c r="L62" s="25">
        <v>13.936163515011824</v>
      </c>
      <c r="M62" s="25">
        <v>988.09711363429676</v>
      </c>
      <c r="N62" s="25">
        <v>80.711040888771251</v>
      </c>
      <c r="O62" s="25">
        <v>34.102023776982904</v>
      </c>
      <c r="P62" s="25">
        <v>43.84524496183181</v>
      </c>
      <c r="Q62" s="25">
        <v>54.641887062058103</v>
      </c>
      <c r="R62" s="25">
        <v>18.522191257457813</v>
      </c>
      <c r="S62" s="25">
        <v>16.423592180781757</v>
      </c>
      <c r="T62" s="25">
        <v>231.89467735719307</v>
      </c>
      <c r="U62" s="25">
        <v>4.3449913433617811</v>
      </c>
      <c r="V62" s="25">
        <v>67.015268949577163</v>
      </c>
      <c r="W62" s="25">
        <v>1.7186218043184394</v>
      </c>
      <c r="X62" s="25">
        <v>1.0981418841954195E-2</v>
      </c>
      <c r="Y62" s="25">
        <v>3.8632430637546182</v>
      </c>
      <c r="Z62" s="25">
        <v>398.49709219225417</v>
      </c>
      <c r="AA62" s="25">
        <v>256.29127837608087</v>
      </c>
      <c r="AB62" s="25">
        <v>28.507674842669076</v>
      </c>
      <c r="AC62" s="25">
        <v>445.72369258532217</v>
      </c>
      <c r="AD62" s="25">
        <v>165.08976778260086</v>
      </c>
      <c r="AE62" s="25">
        <v>90.365383280495251</v>
      </c>
      <c r="AF62" s="25">
        <v>212.02172640770348</v>
      </c>
      <c r="AG62" s="25">
        <v>37.230247315691351</v>
      </c>
      <c r="AH62" s="25">
        <v>117.79315570050633</v>
      </c>
      <c r="AI62" s="25">
        <v>216.72525779514413</v>
      </c>
      <c r="AJ62" s="25">
        <v>353.89937825485384</v>
      </c>
      <c r="AK62" s="25">
        <v>201.36635389025892</v>
      </c>
      <c r="AL62" s="25">
        <v>898.8604704715973</v>
      </c>
      <c r="AM62" s="25">
        <v>148.09881454280236</v>
      </c>
      <c r="AN62" s="25">
        <v>56.925881015558012</v>
      </c>
      <c r="AO62" s="25">
        <v>139.64198790949871</v>
      </c>
      <c r="AP62" s="25">
        <v>104.28166841144629</v>
      </c>
      <c r="AQ62" s="25">
        <v>1178.9423337780784</v>
      </c>
      <c r="AR62" s="25">
        <v>192.58130127416271</v>
      </c>
      <c r="AS62" s="25">
        <v>137.97731580369876</v>
      </c>
      <c r="AT62" s="25">
        <v>79.463750393803863</v>
      </c>
      <c r="AU62" s="25">
        <v>386.97546061087439</v>
      </c>
      <c r="AV62" s="25">
        <v>450.07065072931778</v>
      </c>
      <c r="AW62" s="25">
        <v>448.45671081407789</v>
      </c>
      <c r="AX62" s="25">
        <v>9249.1320622787753</v>
      </c>
      <c r="AY62" s="40">
        <v>950.631560981608</v>
      </c>
      <c r="AZ62" s="25">
        <v>1.3063107684784032</v>
      </c>
      <c r="BA62" s="25">
        <v>728.46924818059244</v>
      </c>
      <c r="BB62" s="25">
        <v>1386.1741189130844</v>
      </c>
      <c r="BC62" s="25">
        <v>77.741748066025139</v>
      </c>
      <c r="BD62" s="25">
        <v>144.72223065325733</v>
      </c>
      <c r="BE62" s="25">
        <v>432.95244089647503</v>
      </c>
      <c r="BF62" s="25">
        <v>1134.1664620907934</v>
      </c>
      <c r="BG62" s="25">
        <v>3003.669536936146</v>
      </c>
      <c r="BH62" s="25">
        <v>10878.656025888309</v>
      </c>
      <c r="BI62" s="25">
        <v>15800.579762554977</v>
      </c>
      <c r="BJ62" s="25">
        <v>374.86157953550168</v>
      </c>
      <c r="BK62" s="25">
        <v>2785.733315785762</v>
      </c>
      <c r="BL62" s="25">
        <v>60.919595416456183</v>
      </c>
      <c r="BM62" s="25">
        <v>8243.9433594445964</v>
      </c>
      <c r="BN62" s="25">
        <v>406.71786948488955</v>
      </c>
      <c r="BO62" s="25">
        <v>1063.1863023875724</v>
      </c>
      <c r="BP62" s="25">
        <v>189.14503965930257</v>
      </c>
      <c r="BQ62" s="25">
        <v>11300.844400055425</v>
      </c>
      <c r="BR62" s="25">
        <v>1406.7020513370592</v>
      </c>
      <c r="BS62" s="25">
        <v>442.48724077401943</v>
      </c>
      <c r="BT62" s="25">
        <v>2218.1458266342102</v>
      </c>
      <c r="BU62" s="25">
        <v>24.347565770161836</v>
      </c>
      <c r="BV62" s="25">
        <v>173.94851766525323</v>
      </c>
      <c r="BW62" s="25">
        <v>1533.2824737564472</v>
      </c>
      <c r="BX62" s="25">
        <v>0</v>
      </c>
      <c r="BY62" s="25">
        <v>83372.358510652411</v>
      </c>
      <c r="BZ62" s="25">
        <v>7680.9940767048547</v>
      </c>
      <c r="CA62" s="25">
        <v>2.1347617238733032</v>
      </c>
      <c r="CB62" s="25">
        <v>0</v>
      </c>
      <c r="CC62" s="25">
        <v>2709.5850052853557</v>
      </c>
      <c r="CD62" s="25">
        <v>73604.041317383584</v>
      </c>
      <c r="CE62" s="25">
        <v>40.886328261854104</v>
      </c>
      <c r="CF62" s="25">
        <v>84037.641489359507</v>
      </c>
      <c r="CG62" s="25">
        <v>167410</v>
      </c>
      <c r="CH62"/>
      <c r="CI62">
        <f t="shared" si="0"/>
        <v>0.50198698697425193</v>
      </c>
      <c r="CJ62"/>
      <c r="CK62"/>
      <c r="CL62"/>
      <c r="CM62"/>
      <c r="CN62"/>
      <c r="CO62"/>
      <c r="CP62"/>
      <c r="CQ62"/>
      <c r="CR62"/>
      <c r="CS62"/>
      <c r="CT62"/>
      <c r="CU62"/>
    </row>
    <row r="63" spans="1:99" s="5" customFormat="1" x14ac:dyDescent="0.3">
      <c r="A63" s="35" t="s">
        <v>67</v>
      </c>
      <c r="B63" s="13" t="s">
        <v>141</v>
      </c>
      <c r="C63" s="5">
        <v>58</v>
      </c>
      <c r="D63" s="25">
        <v>6602.3352820543769</v>
      </c>
      <c r="E63" s="25">
        <v>2359.416172989927</v>
      </c>
      <c r="F63" s="25">
        <v>582.05123161848223</v>
      </c>
      <c r="G63" s="25">
        <v>641.68060783197473</v>
      </c>
      <c r="H63" s="25">
        <v>4232.4863364409757</v>
      </c>
      <c r="I63" s="25">
        <v>1860.5817647822951</v>
      </c>
      <c r="J63" s="25">
        <v>575.34196988331621</v>
      </c>
      <c r="K63" s="25">
        <v>5796.4200030124593</v>
      </c>
      <c r="L63" s="25">
        <v>1719.6327803524207</v>
      </c>
      <c r="M63" s="25">
        <v>5838.5102103517693</v>
      </c>
      <c r="N63" s="25">
        <v>1514.6829725899984</v>
      </c>
      <c r="O63" s="25">
        <v>313.08935110493485</v>
      </c>
      <c r="P63" s="25">
        <v>884.74338212528244</v>
      </c>
      <c r="Q63" s="25">
        <v>1115.5440813563603</v>
      </c>
      <c r="R63" s="25">
        <v>819.5313960375089</v>
      </c>
      <c r="S63" s="25">
        <v>581.7556366009253</v>
      </c>
      <c r="T63" s="25">
        <v>2603.3534922175927</v>
      </c>
      <c r="U63" s="25">
        <v>408.75910421460236</v>
      </c>
      <c r="V63" s="25">
        <v>3201.7427415923166</v>
      </c>
      <c r="W63" s="25">
        <v>82.109420342087134</v>
      </c>
      <c r="X63" s="25">
        <v>0.52465174908223344</v>
      </c>
      <c r="Y63" s="25">
        <v>1273.2515914686749</v>
      </c>
      <c r="Z63" s="25">
        <v>4101.6545644029175</v>
      </c>
      <c r="AA63" s="25">
        <v>1476.4253339379834</v>
      </c>
      <c r="AB63" s="25">
        <v>895.66042481235115</v>
      </c>
      <c r="AC63" s="25">
        <v>1229.2177816781229</v>
      </c>
      <c r="AD63" s="25">
        <v>1995.4977187302229</v>
      </c>
      <c r="AE63" s="25">
        <v>1991.9790980381915</v>
      </c>
      <c r="AF63" s="25">
        <v>3017.80946863692</v>
      </c>
      <c r="AG63" s="25">
        <v>1251.9992517617609</v>
      </c>
      <c r="AH63" s="25">
        <v>1622.2480053415395</v>
      </c>
      <c r="AI63" s="25">
        <v>1922.9433090079483</v>
      </c>
      <c r="AJ63" s="25">
        <v>1439.5881967115095</v>
      </c>
      <c r="AK63" s="25">
        <v>2268.0871422695545</v>
      </c>
      <c r="AL63" s="25">
        <v>3572.3719476650072</v>
      </c>
      <c r="AM63" s="25">
        <v>1433.9013754787461</v>
      </c>
      <c r="AN63" s="25">
        <v>812.70921780385788</v>
      </c>
      <c r="AO63" s="25">
        <v>1041.6387753436397</v>
      </c>
      <c r="AP63" s="25">
        <v>758.13782670701926</v>
      </c>
      <c r="AQ63" s="25">
        <v>5797.2326472892601</v>
      </c>
      <c r="AR63" s="25">
        <v>946.98321963403237</v>
      </c>
      <c r="AS63" s="25">
        <v>678.4781382811143</v>
      </c>
      <c r="AT63" s="25">
        <v>390.66810553707404</v>
      </c>
      <c r="AU63" s="25">
        <v>1504.0576525349597</v>
      </c>
      <c r="AV63" s="25">
        <v>8139.5713778785139</v>
      </c>
      <c r="AW63" s="25">
        <v>2995.6862972509057</v>
      </c>
      <c r="AX63" s="25">
        <v>30959.876911436764</v>
      </c>
      <c r="AY63" s="40">
        <v>9636.0336623211424</v>
      </c>
      <c r="AZ63" s="25">
        <v>656.23570569576134</v>
      </c>
      <c r="BA63" s="25">
        <v>1554.5954009003133</v>
      </c>
      <c r="BB63" s="25">
        <v>3712.8598792394764</v>
      </c>
      <c r="BC63" s="25">
        <v>692.29050557282415</v>
      </c>
      <c r="BD63" s="25">
        <v>3512.5449256361298</v>
      </c>
      <c r="BE63" s="25">
        <v>442.37578934724803</v>
      </c>
      <c r="BF63" s="25">
        <v>1055.7912479525148</v>
      </c>
      <c r="BG63" s="25">
        <v>7280.4945532615111</v>
      </c>
      <c r="BH63" s="25">
        <v>3145.4131626801791</v>
      </c>
      <c r="BI63" s="25">
        <v>83013.598112740801</v>
      </c>
      <c r="BJ63" s="25">
        <v>22883.602366002386</v>
      </c>
      <c r="BK63" s="25">
        <v>4905.4915526766945</v>
      </c>
      <c r="BL63" s="25">
        <v>1337.8200810580283</v>
      </c>
      <c r="BM63" s="25">
        <v>1032.8942421431939</v>
      </c>
      <c r="BN63" s="25">
        <v>1398.2646266221736</v>
      </c>
      <c r="BO63" s="25">
        <v>5741.1878909335273</v>
      </c>
      <c r="BP63" s="25">
        <v>1069.0797960578209</v>
      </c>
      <c r="BQ63" s="25">
        <v>55942.129987645218</v>
      </c>
      <c r="BR63" s="25">
        <v>788.84308051837559</v>
      </c>
      <c r="BS63" s="25">
        <v>2530.70833702459</v>
      </c>
      <c r="BT63" s="25">
        <v>426.36690677848236</v>
      </c>
      <c r="BU63" s="25">
        <v>5587.23100290404</v>
      </c>
      <c r="BV63" s="25">
        <v>1035.141164827857</v>
      </c>
      <c r="BW63" s="25">
        <v>2639.5184822086894</v>
      </c>
      <c r="BX63" s="25">
        <v>0</v>
      </c>
      <c r="BY63" s="25">
        <v>347272.48043163639</v>
      </c>
      <c r="BZ63" s="25">
        <v>6672.8521437571972</v>
      </c>
      <c r="CA63" s="25">
        <v>2246.9377218986174</v>
      </c>
      <c r="CB63" s="25">
        <v>305.59708295350953</v>
      </c>
      <c r="CC63" s="25">
        <v>291803.17950075812</v>
      </c>
      <c r="CD63" s="25">
        <v>707.64795215834283</v>
      </c>
      <c r="CE63" s="25">
        <v>0.30516711532505897</v>
      </c>
      <c r="CF63" s="25">
        <v>301736.51956864109</v>
      </c>
      <c r="CG63" s="25">
        <v>649009</v>
      </c>
      <c r="CH63"/>
      <c r="CI63">
        <f t="shared" si="0"/>
        <v>0.46491885254078308</v>
      </c>
      <c r="CJ63"/>
      <c r="CK63"/>
      <c r="CL63"/>
      <c r="CM63"/>
      <c r="CN63"/>
      <c r="CO63"/>
      <c r="CP63"/>
      <c r="CQ63"/>
      <c r="CR63"/>
      <c r="CS63"/>
      <c r="CT63"/>
      <c r="CU63"/>
    </row>
    <row r="64" spans="1:99" s="5" customFormat="1" x14ac:dyDescent="0.3">
      <c r="A64" s="35" t="s">
        <v>68</v>
      </c>
      <c r="B64" s="11" t="s">
        <v>142</v>
      </c>
      <c r="C64" s="5">
        <v>59</v>
      </c>
      <c r="D64" s="25">
        <v>5.7983309880035012</v>
      </c>
      <c r="E64" s="25">
        <v>5.0735396145030638</v>
      </c>
      <c r="F64" s="25">
        <v>6.5231223615039395</v>
      </c>
      <c r="G64" s="25">
        <v>18.84457571101138</v>
      </c>
      <c r="H64" s="25">
        <v>387.76338482273417</v>
      </c>
      <c r="I64" s="25">
        <v>37.689151422022761</v>
      </c>
      <c r="J64" s="25">
        <v>15.945410217009631</v>
      </c>
      <c r="K64" s="25">
        <v>575.48435055934749</v>
      </c>
      <c r="L64" s="25">
        <v>107.26912327806478</v>
      </c>
      <c r="M64" s="25">
        <v>441.39794646176659</v>
      </c>
      <c r="N64" s="25">
        <v>55.808935759533703</v>
      </c>
      <c r="O64" s="25">
        <v>16.670201590510068</v>
      </c>
      <c r="P64" s="25">
        <v>251.50260660465185</v>
      </c>
      <c r="Q64" s="25">
        <v>306.58675099068518</v>
      </c>
      <c r="R64" s="25">
        <v>78.277468338047271</v>
      </c>
      <c r="S64" s="25">
        <v>34.065194554520573</v>
      </c>
      <c r="T64" s="25">
        <v>142.05910920608576</v>
      </c>
      <c r="U64" s="25">
        <v>42.037899663025385</v>
      </c>
      <c r="V64" s="25">
        <v>154.02916653595349</v>
      </c>
      <c r="W64" s="25">
        <v>3.9501129855773858</v>
      </c>
      <c r="X64" s="25">
        <v>2.5239901564538786E-2</v>
      </c>
      <c r="Y64" s="25">
        <v>173.94992964010504</v>
      </c>
      <c r="Z64" s="25">
        <v>152.20618843509192</v>
      </c>
      <c r="AA64" s="25">
        <v>87.699756193552957</v>
      </c>
      <c r="AB64" s="25">
        <v>144.95827470008754</v>
      </c>
      <c r="AC64" s="25">
        <v>223.23574303813481</v>
      </c>
      <c r="AD64" s="25">
        <v>365.29485224422064</v>
      </c>
      <c r="AE64" s="25">
        <v>150.75660568809104</v>
      </c>
      <c r="AF64" s="25">
        <v>268.17280819516191</v>
      </c>
      <c r="AG64" s="25">
        <v>10.147079229006128</v>
      </c>
      <c r="AH64" s="25">
        <v>218.16220342363175</v>
      </c>
      <c r="AI64" s="25">
        <v>160.17889354359673</v>
      </c>
      <c r="AJ64" s="25">
        <v>93.498087181556457</v>
      </c>
      <c r="AK64" s="25">
        <v>180.47305200160898</v>
      </c>
      <c r="AL64" s="25">
        <v>100.74600091656083</v>
      </c>
      <c r="AM64" s="25">
        <v>187.72096573661335</v>
      </c>
      <c r="AN64" s="25">
        <v>51.460187518531079</v>
      </c>
      <c r="AO64" s="25">
        <v>202.94158458012254</v>
      </c>
      <c r="AP64" s="25">
        <v>49.285813398029759</v>
      </c>
      <c r="AQ64" s="25">
        <v>811.49347584892712</v>
      </c>
      <c r="AR64" s="25">
        <v>132.55819650963286</v>
      </c>
      <c r="AS64" s="25">
        <v>94.973001122992287</v>
      </c>
      <c r="AT64" s="25">
        <v>54.685509130608025</v>
      </c>
      <c r="AU64" s="25">
        <v>268.89759956866237</v>
      </c>
      <c r="AV64" s="25">
        <v>914.68671335755243</v>
      </c>
      <c r="AW64" s="25">
        <v>3108.6302009433775</v>
      </c>
      <c r="AX64" s="25">
        <v>33878.198380157461</v>
      </c>
      <c r="AY64" s="40">
        <v>1079.9391465156523</v>
      </c>
      <c r="AZ64" s="25">
        <v>62.33205812103764</v>
      </c>
      <c r="BA64" s="25">
        <v>89.87413031405427</v>
      </c>
      <c r="BB64" s="25">
        <v>2450.5196338049795</v>
      </c>
      <c r="BC64" s="25">
        <v>1042.2499950936294</v>
      </c>
      <c r="BD64" s="25">
        <v>4818.4130510309096</v>
      </c>
      <c r="BE64" s="25">
        <v>151.48139706159148</v>
      </c>
      <c r="BF64" s="25">
        <v>393.56171581073767</v>
      </c>
      <c r="BG64" s="25">
        <v>1869.9617436311291</v>
      </c>
      <c r="BH64" s="25">
        <v>1554.6774961584388</v>
      </c>
      <c r="BI64" s="25">
        <v>4437.8975799431801</v>
      </c>
      <c r="BJ64" s="25">
        <v>1844.594045558614</v>
      </c>
      <c r="BK64" s="25">
        <v>4400.9332198946577</v>
      </c>
      <c r="BL64" s="25">
        <v>687.82701345191549</v>
      </c>
      <c r="BM64" s="25">
        <v>919.76025297205558</v>
      </c>
      <c r="BN64" s="25">
        <v>932.80649769506329</v>
      </c>
      <c r="BO64" s="25">
        <v>2970.195048604794</v>
      </c>
      <c r="BP64" s="25">
        <v>220.33657754413304</v>
      </c>
      <c r="BQ64" s="25">
        <v>2312.8092728398969</v>
      </c>
      <c r="BR64" s="25">
        <v>513.15229243830993</v>
      </c>
      <c r="BS64" s="25">
        <v>4061.7308570964528</v>
      </c>
      <c r="BT64" s="25">
        <v>367.46922636472192</v>
      </c>
      <c r="BU64" s="25">
        <v>2169.3005808868102</v>
      </c>
      <c r="BV64" s="25">
        <v>3154.2920574739046</v>
      </c>
      <c r="BW64" s="25">
        <v>3091.9599993528677</v>
      </c>
      <c r="BX64" s="25">
        <v>0</v>
      </c>
      <c r="BY64" s="25">
        <v>90369.887613528597</v>
      </c>
      <c r="BZ64" s="25">
        <v>3047.2543167395993</v>
      </c>
      <c r="CA64" s="25">
        <v>0</v>
      </c>
      <c r="CB64" s="25">
        <v>0</v>
      </c>
      <c r="CC64" s="25">
        <v>546334.85807424737</v>
      </c>
      <c r="CD64" s="25">
        <v>0</v>
      </c>
      <c r="CE64" s="25">
        <v>0</v>
      </c>
      <c r="CF64" s="25">
        <v>549382.11239098699</v>
      </c>
      <c r="CG64" s="25">
        <v>639752</v>
      </c>
      <c r="CH64"/>
      <c r="CI64">
        <f t="shared" si="0"/>
        <v>0.85874231325730443</v>
      </c>
      <c r="CJ64"/>
      <c r="CK64"/>
      <c r="CL64"/>
      <c r="CM64"/>
      <c r="CN64"/>
      <c r="CO64"/>
      <c r="CP64"/>
      <c r="CQ64"/>
      <c r="CR64"/>
      <c r="CS64"/>
      <c r="CT64"/>
      <c r="CU64"/>
    </row>
    <row r="65" spans="1:99" s="5" customFormat="1" x14ac:dyDescent="0.3">
      <c r="A65" s="35" t="s">
        <v>69</v>
      </c>
      <c r="B65" s="11" t="s">
        <v>143</v>
      </c>
      <c r="C65" s="5">
        <v>60</v>
      </c>
      <c r="D65" s="25">
        <v>23.272916355466521</v>
      </c>
      <c r="E65" s="25">
        <v>9.8925019398190379</v>
      </c>
      <c r="F65" s="25">
        <v>33.75296003180771</v>
      </c>
      <c r="G65" s="25">
        <v>517.28380854943907</v>
      </c>
      <c r="H65" s="25">
        <v>10436.079361689524</v>
      </c>
      <c r="I65" s="25">
        <v>2747.4792190050885</v>
      </c>
      <c r="J65" s="25">
        <v>302.08222788788345</v>
      </c>
      <c r="K65" s="25">
        <v>4121.9710954896464</v>
      </c>
      <c r="L65" s="25">
        <v>536.00213099611119</v>
      </c>
      <c r="M65" s="25">
        <v>7390.5518425056971</v>
      </c>
      <c r="N65" s="25">
        <v>2064.1462020933764</v>
      </c>
      <c r="O65" s="25">
        <v>742.38887776228273</v>
      </c>
      <c r="P65" s="25">
        <v>371.02640888108976</v>
      </c>
      <c r="Q65" s="25">
        <v>373.04490533874758</v>
      </c>
      <c r="R65" s="25">
        <v>253.95314627965797</v>
      </c>
      <c r="S65" s="25">
        <v>305.81976744430563</v>
      </c>
      <c r="T65" s="25">
        <v>2410.6918564129737</v>
      </c>
      <c r="U65" s="25">
        <v>85.225416994027881</v>
      </c>
      <c r="V65" s="25">
        <v>6216.4726316737288</v>
      </c>
      <c r="W65" s="25">
        <v>159.42285360045116</v>
      </c>
      <c r="X65" s="25">
        <v>1.0186587438650456</v>
      </c>
      <c r="Y65" s="25">
        <v>660.1723984385161</v>
      </c>
      <c r="Z65" s="25">
        <v>3720.7685424709784</v>
      </c>
      <c r="AA65" s="25">
        <v>5223.1735154292974</v>
      </c>
      <c r="AB65" s="25">
        <v>1777.1204292248131</v>
      </c>
      <c r="AC65" s="25">
        <v>5256.8238125519611</v>
      </c>
      <c r="AD65" s="25">
        <v>1812.4679928897315</v>
      </c>
      <c r="AE65" s="25">
        <v>2141.341301527993</v>
      </c>
      <c r="AF65" s="25">
        <v>1388.783376760673</v>
      </c>
      <c r="AG65" s="25">
        <v>590.29317007141174</v>
      </c>
      <c r="AH65" s="25">
        <v>853.83422585465985</v>
      </c>
      <c r="AI65" s="25">
        <v>2979.6333944393905</v>
      </c>
      <c r="AJ65" s="25">
        <v>1734.8444428229632</v>
      </c>
      <c r="AK65" s="25">
        <v>1710.6961873718815</v>
      </c>
      <c r="AL65" s="25">
        <v>2390.9339876713798</v>
      </c>
      <c r="AM65" s="25">
        <v>1188.3368383155353</v>
      </c>
      <c r="AN65" s="25">
        <v>242.00158072399486</v>
      </c>
      <c r="AO65" s="25">
        <v>466.76289230098701</v>
      </c>
      <c r="AP65" s="25">
        <v>738.40724027323449</v>
      </c>
      <c r="AQ65" s="25">
        <v>991.56319941165179</v>
      </c>
      <c r="AR65" s="25">
        <v>161.9727494442601</v>
      </c>
      <c r="AS65" s="25">
        <v>116.04743063735026</v>
      </c>
      <c r="AT65" s="25">
        <v>66.820177868066438</v>
      </c>
      <c r="AU65" s="25">
        <v>1440.4557319132934</v>
      </c>
      <c r="AV65" s="25">
        <v>3953.3066227006584</v>
      </c>
      <c r="AW65" s="25">
        <v>7186.3214217680079</v>
      </c>
      <c r="AX65" s="25">
        <v>27986.876183019751</v>
      </c>
      <c r="AY65" s="40">
        <v>2468.8984850465076</v>
      </c>
      <c r="AZ65" s="25">
        <v>129.40306220419515</v>
      </c>
      <c r="BA65" s="25">
        <v>501.47123014316753</v>
      </c>
      <c r="BB65" s="25">
        <v>2268.5182184061769</v>
      </c>
      <c r="BC65" s="25">
        <v>275.05984668023166</v>
      </c>
      <c r="BD65" s="25">
        <v>1285.3570635588956</v>
      </c>
      <c r="BE65" s="25">
        <v>404.16716929115779</v>
      </c>
      <c r="BF65" s="25">
        <v>2879.7173761172357</v>
      </c>
      <c r="BG65" s="25">
        <v>3346.7482573272928</v>
      </c>
      <c r="BH65" s="25">
        <v>3250.5904801306674</v>
      </c>
      <c r="BI65" s="25">
        <v>16159.323787216927</v>
      </c>
      <c r="BJ65" s="25">
        <v>2774.4413646386806</v>
      </c>
      <c r="BK65" s="25">
        <v>16667.53661750826</v>
      </c>
      <c r="BL65" s="25">
        <v>4649.5690869474884</v>
      </c>
      <c r="BM65" s="25">
        <v>454.01877533068551</v>
      </c>
      <c r="BN65" s="25">
        <v>954.16807430047584</v>
      </c>
      <c r="BO65" s="25">
        <v>4426.9768774596114</v>
      </c>
      <c r="BP65" s="25">
        <v>1461.5696646316403</v>
      </c>
      <c r="BQ65" s="25">
        <v>5306.5420043233789</v>
      </c>
      <c r="BR65" s="25">
        <v>236.70659129242065</v>
      </c>
      <c r="BS65" s="25">
        <v>2501.7124421804237</v>
      </c>
      <c r="BT65" s="25">
        <v>306.63607693679575</v>
      </c>
      <c r="BU65" s="25">
        <v>3383.9809251620154</v>
      </c>
      <c r="BV65" s="25">
        <v>1153.5022710254257</v>
      </c>
      <c r="BW65" s="25">
        <v>3450.1949589799742</v>
      </c>
      <c r="BX65" s="25">
        <v>0</v>
      </c>
      <c r="BY65" s="25">
        <v>196578.14834241717</v>
      </c>
      <c r="BZ65" s="25">
        <v>13956.507962754715</v>
      </c>
      <c r="CA65" s="25">
        <v>0.21307414569733535</v>
      </c>
      <c r="CB65" s="25">
        <v>0</v>
      </c>
      <c r="CC65" s="25">
        <v>18072.685091320462</v>
      </c>
      <c r="CD65" s="25">
        <v>5.4455293675790299</v>
      </c>
      <c r="CE65" s="25">
        <v>0</v>
      </c>
      <c r="CF65" s="25">
        <v>32034.851657588457</v>
      </c>
      <c r="CG65" s="25">
        <v>228613</v>
      </c>
      <c r="CH65"/>
      <c r="CI65">
        <f t="shared" si="0"/>
        <v>0.14012699040556947</v>
      </c>
      <c r="CJ65"/>
      <c r="CK65"/>
      <c r="CL65"/>
      <c r="CM65"/>
      <c r="CN65"/>
      <c r="CO65"/>
      <c r="CP65"/>
      <c r="CQ65"/>
      <c r="CR65"/>
      <c r="CS65"/>
      <c r="CT65"/>
      <c r="CU65"/>
    </row>
    <row r="66" spans="1:99" s="5" customFormat="1" x14ac:dyDescent="0.3">
      <c r="A66" s="35" t="s">
        <v>70</v>
      </c>
      <c r="B66" s="11" t="s">
        <v>144</v>
      </c>
      <c r="C66" s="5">
        <v>61</v>
      </c>
      <c r="D66" s="25">
        <v>718.3966543563281</v>
      </c>
      <c r="E66" s="25">
        <v>23.732097147130816</v>
      </c>
      <c r="F66" s="25">
        <v>0.33195957003182014</v>
      </c>
      <c r="G66" s="25">
        <v>36.083974207080644</v>
      </c>
      <c r="H66" s="25">
        <v>1572.31505554708</v>
      </c>
      <c r="I66" s="25">
        <v>395.45980305987706</v>
      </c>
      <c r="J66" s="25">
        <v>95.707760847209641</v>
      </c>
      <c r="K66" s="25">
        <v>785.13914623763173</v>
      </c>
      <c r="L66" s="25">
        <v>185.91799650692712</v>
      </c>
      <c r="M66" s="25">
        <v>809.50784483494692</v>
      </c>
      <c r="N66" s="25">
        <v>160.01503692457311</v>
      </c>
      <c r="O66" s="25">
        <v>71.356507289358348</v>
      </c>
      <c r="P66" s="25">
        <v>43.626953711115618</v>
      </c>
      <c r="Q66" s="25">
        <v>103.42656028365677</v>
      </c>
      <c r="R66" s="25">
        <v>76.930976899851828</v>
      </c>
      <c r="S66" s="25">
        <v>43.674958739737306</v>
      </c>
      <c r="T66" s="25">
        <v>366.53851753609621</v>
      </c>
      <c r="U66" s="25">
        <v>24.554571734664631</v>
      </c>
      <c r="V66" s="25">
        <v>127.17244912977122</v>
      </c>
      <c r="W66" s="25">
        <v>3.2615066084491526</v>
      </c>
      <c r="X66" s="25">
        <v>2.6308599745689679E-2</v>
      </c>
      <c r="Y66" s="25">
        <v>180.63405196627349</v>
      </c>
      <c r="Z66" s="25">
        <v>557.88364504603817</v>
      </c>
      <c r="AA66" s="25">
        <v>416.34629959775185</v>
      </c>
      <c r="AB66" s="25">
        <v>288.72097384254465</v>
      </c>
      <c r="AC66" s="25">
        <v>651.88767553795071</v>
      </c>
      <c r="AD66" s="25">
        <v>635.73941383452689</v>
      </c>
      <c r="AE66" s="25">
        <v>341.38675864871368</v>
      </c>
      <c r="AF66" s="25">
        <v>312.49243234572816</v>
      </c>
      <c r="AG66" s="25">
        <v>200.18865828079646</v>
      </c>
      <c r="AH66" s="25">
        <v>313.12335878154499</v>
      </c>
      <c r="AI66" s="25">
        <v>432.6866836297246</v>
      </c>
      <c r="AJ66" s="25">
        <v>253.36048053837018</v>
      </c>
      <c r="AK66" s="25">
        <v>1193.2459282038503</v>
      </c>
      <c r="AL66" s="25">
        <v>1225.4392350205328</v>
      </c>
      <c r="AM66" s="25">
        <v>514.61505318396314</v>
      </c>
      <c r="AN66" s="25">
        <v>118.63723635374754</v>
      </c>
      <c r="AO66" s="25">
        <v>180.22440117634508</v>
      </c>
      <c r="AP66" s="25">
        <v>194.58671601245075</v>
      </c>
      <c r="AQ66" s="25">
        <v>1657.3160657788428</v>
      </c>
      <c r="AR66" s="25">
        <v>270.72408499188293</v>
      </c>
      <c r="AS66" s="25">
        <v>193.96370428204139</v>
      </c>
      <c r="AT66" s="25">
        <v>111.5059362215317</v>
      </c>
      <c r="AU66" s="25">
        <v>347.12119381373867</v>
      </c>
      <c r="AV66" s="25">
        <v>1978.6182890752661</v>
      </c>
      <c r="AW66" s="25">
        <v>72.417731323085363</v>
      </c>
      <c r="AX66" s="25">
        <v>1216.3394588959059</v>
      </c>
      <c r="AY66" s="40">
        <v>230.32232767025084</v>
      </c>
      <c r="AZ66" s="25">
        <v>9.9749793051058013</v>
      </c>
      <c r="BA66" s="25">
        <v>0.42553047046471698</v>
      </c>
      <c r="BB66" s="25">
        <v>3339.4436618741329</v>
      </c>
      <c r="BC66" s="25">
        <v>8.8081516522185481</v>
      </c>
      <c r="BD66" s="25">
        <v>28.710019434497475</v>
      </c>
      <c r="BE66" s="25">
        <v>0.89709438329907432</v>
      </c>
      <c r="BF66" s="25">
        <v>1.6923970123296401</v>
      </c>
      <c r="BG66" s="25">
        <v>18.043698371978458</v>
      </c>
      <c r="BH66" s="25">
        <v>248.45837650777761</v>
      </c>
      <c r="BI66" s="25">
        <v>419.52983912533017</v>
      </c>
      <c r="BJ66" s="25">
        <v>18.453922505345368</v>
      </c>
      <c r="BK66" s="25">
        <v>18.507951661913012</v>
      </c>
      <c r="BL66" s="25">
        <v>1722.7997235805485</v>
      </c>
      <c r="BM66" s="25">
        <v>3.9041187447384753</v>
      </c>
      <c r="BN66" s="25">
        <v>55.633660928466611</v>
      </c>
      <c r="BO66" s="25">
        <v>32.969002002624336</v>
      </c>
      <c r="BP66" s="25">
        <v>1.2010057204687821</v>
      </c>
      <c r="BQ66" s="25">
        <v>4719.4629756159902</v>
      </c>
      <c r="BR66" s="25">
        <v>1341.3790137445703</v>
      </c>
      <c r="BS66" s="25">
        <v>88.102104276410259</v>
      </c>
      <c r="BT66" s="25">
        <v>1368.9886549960875</v>
      </c>
      <c r="BU66" s="25">
        <v>11.424638252980708</v>
      </c>
      <c r="BV66" s="25">
        <v>12.845555337072048</v>
      </c>
      <c r="BW66" s="25">
        <v>13.109328671003013</v>
      </c>
      <c r="BX66" s="25">
        <v>0</v>
      </c>
      <c r="BY66" s="25">
        <v>33217.469838000012</v>
      </c>
      <c r="BZ66" s="25">
        <v>22160.160248651791</v>
      </c>
      <c r="CA66" s="25">
        <v>0.10653707284866767</v>
      </c>
      <c r="CB66" s="25">
        <v>0</v>
      </c>
      <c r="CC66" s="25">
        <v>879.51022555371264</v>
      </c>
      <c r="CD66" s="25">
        <v>6641.1850712291762</v>
      </c>
      <c r="CE66" s="25">
        <v>-7.4319204837301536</v>
      </c>
      <c r="CF66" s="25">
        <v>29673.530162023799</v>
      </c>
      <c r="CG66" s="25">
        <v>62891</v>
      </c>
      <c r="CH66"/>
      <c r="CI66">
        <f t="shared" si="0"/>
        <v>0.4718247469753033</v>
      </c>
      <c r="CJ66"/>
      <c r="CK66"/>
      <c r="CL66"/>
      <c r="CM66"/>
      <c r="CN66"/>
      <c r="CO66"/>
      <c r="CP66"/>
      <c r="CQ66"/>
      <c r="CR66"/>
      <c r="CS66"/>
      <c r="CT66"/>
      <c r="CU66"/>
    </row>
    <row r="67" spans="1:99" s="5" customFormat="1" x14ac:dyDescent="0.3">
      <c r="A67" s="35" t="s">
        <v>71</v>
      </c>
      <c r="B67" s="11" t="s">
        <v>145</v>
      </c>
      <c r="C67" s="5">
        <v>62</v>
      </c>
      <c r="D67" s="25">
        <v>15.093023184318485</v>
      </c>
      <c r="E67" s="25">
        <v>428.77741954459185</v>
      </c>
      <c r="F67" s="25">
        <v>101.73546722970767</v>
      </c>
      <c r="G67" s="25">
        <v>37.898929599101791</v>
      </c>
      <c r="H67" s="25">
        <v>834.77219379227222</v>
      </c>
      <c r="I67" s="25">
        <v>14.263895014824083</v>
      </c>
      <c r="J67" s="25">
        <v>0.78761504891165535</v>
      </c>
      <c r="K67" s="25">
        <v>2443.9041178230427</v>
      </c>
      <c r="L67" s="25">
        <v>155.23811105094239</v>
      </c>
      <c r="M67" s="25">
        <v>3877.0480771093448</v>
      </c>
      <c r="N67" s="25">
        <v>4985.176169238769</v>
      </c>
      <c r="O67" s="25">
        <v>222.05138442213556</v>
      </c>
      <c r="P67" s="25">
        <v>90.986076279737233</v>
      </c>
      <c r="Q67" s="25">
        <v>365.73815920927439</v>
      </c>
      <c r="R67" s="25">
        <v>824.21355379777629</v>
      </c>
      <c r="S67" s="25">
        <v>42.449862701070629</v>
      </c>
      <c r="T67" s="25">
        <v>554.92690090155236</v>
      </c>
      <c r="U67" s="25">
        <v>56.514711171160712</v>
      </c>
      <c r="V67" s="25">
        <v>231.93107242626769</v>
      </c>
      <c r="W67" s="25">
        <v>5.9479250686982095</v>
      </c>
      <c r="X67" s="25">
        <v>3.8005252962467283E-2</v>
      </c>
      <c r="Y67" s="25">
        <v>111.54259413927437</v>
      </c>
      <c r="Z67" s="25">
        <v>125.30336328007401</v>
      </c>
      <c r="AA67" s="25">
        <v>534.77932478733828</v>
      </c>
      <c r="AB67" s="25">
        <v>1323.7033577635452</v>
      </c>
      <c r="AC67" s="25">
        <v>2089.7675878003752</v>
      </c>
      <c r="AD67" s="25">
        <v>566.29794415223716</v>
      </c>
      <c r="AE67" s="25">
        <v>266.87945465512837</v>
      </c>
      <c r="AF67" s="25">
        <v>255.85801582811462</v>
      </c>
      <c r="AG67" s="25">
        <v>20.275698743758635</v>
      </c>
      <c r="AH67" s="25">
        <v>531.94417590765761</v>
      </c>
      <c r="AI67" s="25">
        <v>1413.1369619458917</v>
      </c>
      <c r="AJ67" s="25">
        <v>660.99929857141183</v>
      </c>
      <c r="AK67" s="25">
        <v>459.43719935996006</v>
      </c>
      <c r="AL67" s="25">
        <v>4549.4881312101597</v>
      </c>
      <c r="AM67" s="25">
        <v>171.09015186719751</v>
      </c>
      <c r="AN67" s="25">
        <v>259.89892560666954</v>
      </c>
      <c r="AO67" s="25">
        <v>434.68065973430538</v>
      </c>
      <c r="AP67" s="25">
        <v>147.30747115458632</v>
      </c>
      <c r="AQ67" s="25">
        <v>2755.3710581761834</v>
      </c>
      <c r="AR67" s="25">
        <v>450.09236556655981</v>
      </c>
      <c r="AS67" s="25">
        <v>322.47438382504538</v>
      </c>
      <c r="AT67" s="25">
        <v>185.68093724040995</v>
      </c>
      <c r="AU67" s="25">
        <v>213.2669769921242</v>
      </c>
      <c r="AV67" s="25">
        <v>1442.8978255846428</v>
      </c>
      <c r="AW67" s="25">
        <v>2669.0785921410261</v>
      </c>
      <c r="AX67" s="25">
        <v>18997.389371972502</v>
      </c>
      <c r="AY67" s="40">
        <v>763.5779322768077</v>
      </c>
      <c r="AZ67" s="25">
        <v>45.332452878567167</v>
      </c>
      <c r="BA67" s="25">
        <v>193.83665800532469</v>
      </c>
      <c r="BB67" s="25">
        <v>1315.4889290565861</v>
      </c>
      <c r="BC67" s="25">
        <v>335.5221588104647</v>
      </c>
      <c r="BD67" s="25">
        <v>862.49022131088282</v>
      </c>
      <c r="BE67" s="25">
        <v>676.34861945086641</v>
      </c>
      <c r="BF67" s="25">
        <v>1996.1941752903199</v>
      </c>
      <c r="BG67" s="25">
        <v>3016.4241151376455</v>
      </c>
      <c r="BH67" s="25">
        <v>2121.0139750365483</v>
      </c>
      <c r="BI67" s="25">
        <v>9538.6922657731247</v>
      </c>
      <c r="BJ67" s="25">
        <v>928.41987003530789</v>
      </c>
      <c r="BK67" s="25">
        <v>4481.0501076940909</v>
      </c>
      <c r="BL67" s="25">
        <v>407.29628857809814</v>
      </c>
      <c r="BM67" s="25">
        <v>2054.5567801959974</v>
      </c>
      <c r="BN67" s="25">
        <v>1044.2708441913148</v>
      </c>
      <c r="BO67" s="25">
        <v>1742.8634265246103</v>
      </c>
      <c r="BP67" s="25">
        <v>189.44255996050995</v>
      </c>
      <c r="BQ67" s="25">
        <v>4030.7572238501957</v>
      </c>
      <c r="BR67" s="25">
        <v>654.50592633963868</v>
      </c>
      <c r="BS67" s="25">
        <v>2758.0428235483923</v>
      </c>
      <c r="BT67" s="25">
        <v>1108.7243533550179</v>
      </c>
      <c r="BU67" s="25">
        <v>45.433719695587143</v>
      </c>
      <c r="BV67" s="25">
        <v>1489.645856424544</v>
      </c>
      <c r="BW67" s="25">
        <v>1673.124902137891</v>
      </c>
      <c r="BX67" s="25">
        <v>0</v>
      </c>
      <c r="BY67" s="25">
        <v>99721.190683430963</v>
      </c>
      <c r="BZ67" s="25">
        <v>3441.3441972555283</v>
      </c>
      <c r="CA67" s="25">
        <v>0.10452693939869281</v>
      </c>
      <c r="CB67" s="25">
        <v>0</v>
      </c>
      <c r="CC67" s="25">
        <v>1654.689200611997</v>
      </c>
      <c r="CD67" s="25">
        <v>2.6713917652274488</v>
      </c>
      <c r="CE67" s="25">
        <v>0</v>
      </c>
      <c r="CF67" s="25">
        <v>5098.8093165721521</v>
      </c>
      <c r="CG67" s="25">
        <v>104820</v>
      </c>
      <c r="CH67"/>
      <c r="CI67">
        <f t="shared" si="0"/>
        <v>4.8643477547912158E-2</v>
      </c>
      <c r="CJ67"/>
      <c r="CK67"/>
      <c r="CL67"/>
      <c r="CM67"/>
      <c r="CN67"/>
      <c r="CO67"/>
      <c r="CP67"/>
      <c r="CQ67"/>
      <c r="CR67"/>
      <c r="CS67"/>
      <c r="CT67"/>
      <c r="CU67"/>
    </row>
    <row r="68" spans="1:99" s="5" customFormat="1" x14ac:dyDescent="0.3">
      <c r="A68" s="35" t="s">
        <v>72</v>
      </c>
      <c r="B68" s="13" t="s">
        <v>146</v>
      </c>
      <c r="C68" s="5">
        <v>63</v>
      </c>
      <c r="D68" s="25">
        <v>205.60424964953293</v>
      </c>
      <c r="E68" s="25">
        <v>28.023518298222324</v>
      </c>
      <c r="F68" s="25">
        <v>38.508606855517549</v>
      </c>
      <c r="G68" s="25">
        <v>116.86728051323043</v>
      </c>
      <c r="H68" s="25">
        <v>6131.8541762540463</v>
      </c>
      <c r="I68" s="25">
        <v>894.53871931067351</v>
      </c>
      <c r="J68" s="25">
        <v>127.17831177848983</v>
      </c>
      <c r="K68" s="25">
        <v>217.42906554111181</v>
      </c>
      <c r="L68" s="25">
        <v>150.92641103544005</v>
      </c>
      <c r="M68" s="25">
        <v>631.16842581109574</v>
      </c>
      <c r="N68" s="25">
        <v>190.81122677137262</v>
      </c>
      <c r="O68" s="25">
        <v>21.270996659198861</v>
      </c>
      <c r="P68" s="25">
        <v>32.99846305752947</v>
      </c>
      <c r="Q68" s="25">
        <v>55.841001149375131</v>
      </c>
      <c r="R68" s="25">
        <v>40.169062916981353</v>
      </c>
      <c r="S68" s="25">
        <v>86.284969345043024</v>
      </c>
      <c r="T68" s="25">
        <v>473.18735490788873</v>
      </c>
      <c r="U68" s="25">
        <v>90.593479798092531</v>
      </c>
      <c r="V68" s="25">
        <v>252.78269318409866</v>
      </c>
      <c r="W68" s="25">
        <v>6.4931625431138027</v>
      </c>
      <c r="X68" s="25">
        <v>0.45064599733962518</v>
      </c>
      <c r="Y68" s="25">
        <v>58.966029032117767</v>
      </c>
      <c r="Z68" s="25">
        <v>260.72578316504865</v>
      </c>
      <c r="AA68" s="25">
        <v>223.08808232749669</v>
      </c>
      <c r="AB68" s="25">
        <v>49.535794382551529</v>
      </c>
      <c r="AC68" s="25">
        <v>117.3086033485307</v>
      </c>
      <c r="AD68" s="25">
        <v>354.35758435694197</v>
      </c>
      <c r="AE68" s="25">
        <v>229.81965227726525</v>
      </c>
      <c r="AF68" s="25">
        <v>528.0464150104973</v>
      </c>
      <c r="AG68" s="25">
        <v>166.89182734224278</v>
      </c>
      <c r="AH68" s="25">
        <v>339.00118283371751</v>
      </c>
      <c r="AI68" s="25">
        <v>239.28106688759601</v>
      </c>
      <c r="AJ68" s="25">
        <v>112.42012627046684</v>
      </c>
      <c r="AK68" s="25">
        <v>334.31928605873645</v>
      </c>
      <c r="AL68" s="25">
        <v>928.69795763416107</v>
      </c>
      <c r="AM68" s="25">
        <v>325.97179431016639</v>
      </c>
      <c r="AN68" s="25">
        <v>256.3214193516996</v>
      </c>
      <c r="AO68" s="25">
        <v>129.95185615157328</v>
      </c>
      <c r="AP68" s="25">
        <v>210.2934120767498</v>
      </c>
      <c r="AQ68" s="25">
        <v>343.07950048435032</v>
      </c>
      <c r="AR68" s="25">
        <v>56.042348086724061</v>
      </c>
      <c r="AS68" s="25">
        <v>40.152251071013843</v>
      </c>
      <c r="AT68" s="25">
        <v>23.141367766589816</v>
      </c>
      <c r="AU68" s="25">
        <v>727.32046238757903</v>
      </c>
      <c r="AV68" s="25">
        <v>1408.9252559048648</v>
      </c>
      <c r="AW68" s="25">
        <v>417.98522368287553</v>
      </c>
      <c r="AX68" s="25">
        <v>4507.9893468683085</v>
      </c>
      <c r="AY68" s="40">
        <v>1890.69138399657</v>
      </c>
      <c r="AZ68" s="25">
        <v>500.2843845143708</v>
      </c>
      <c r="BA68" s="25">
        <v>1122.7658630557933</v>
      </c>
      <c r="BB68" s="25">
        <v>1079.689850763288</v>
      </c>
      <c r="BC68" s="25">
        <v>75.054183781357338</v>
      </c>
      <c r="BD68" s="25">
        <v>688.59315334436087</v>
      </c>
      <c r="BE68" s="25">
        <v>282.64602669145324</v>
      </c>
      <c r="BF68" s="25">
        <v>555.51643129469835</v>
      </c>
      <c r="BG68" s="25">
        <v>1872.7530622378949</v>
      </c>
      <c r="BH68" s="25">
        <v>1377.181951787745</v>
      </c>
      <c r="BI68" s="25">
        <v>695.51883977965838</v>
      </c>
      <c r="BJ68" s="25">
        <v>164.20389522258773</v>
      </c>
      <c r="BK68" s="25">
        <v>409.66228818732378</v>
      </c>
      <c r="BL68" s="25">
        <v>378.28087832692717</v>
      </c>
      <c r="BM68" s="25">
        <v>142.84219032052388</v>
      </c>
      <c r="BN68" s="25">
        <v>789.20854804280123</v>
      </c>
      <c r="BO68" s="25">
        <v>528.48832551482633</v>
      </c>
      <c r="BP68" s="25">
        <v>141.97707264495585</v>
      </c>
      <c r="BQ68" s="25">
        <v>1448.9570618755711</v>
      </c>
      <c r="BR68" s="25">
        <v>609.81669565994855</v>
      </c>
      <c r="BS68" s="25">
        <v>960.06159177312838</v>
      </c>
      <c r="BT68" s="25">
        <v>749.56684560163535</v>
      </c>
      <c r="BU68" s="25">
        <v>419.02907139924116</v>
      </c>
      <c r="BV68" s="25">
        <v>266.34843807138458</v>
      </c>
      <c r="BW68" s="25">
        <v>168.96916621311962</v>
      </c>
      <c r="BX68" s="25">
        <v>0</v>
      </c>
      <c r="BY68" s="25">
        <v>39500.722650548421</v>
      </c>
      <c r="BZ68" s="25">
        <v>5848.3397258344175</v>
      </c>
      <c r="CA68" s="25">
        <v>0</v>
      </c>
      <c r="CB68" s="25">
        <v>0</v>
      </c>
      <c r="CC68" s="25">
        <v>2640.9916912795111</v>
      </c>
      <c r="CD68" s="25">
        <v>485.66329839225301</v>
      </c>
      <c r="CE68" s="25">
        <v>3.2826339988799145</v>
      </c>
      <c r="CF68" s="25">
        <v>8978.2773495050624</v>
      </c>
      <c r="CG68" s="25">
        <v>48479</v>
      </c>
      <c r="CH68"/>
      <c r="CI68">
        <f t="shared" si="0"/>
        <v>0.1851993100003107</v>
      </c>
      <c r="CJ68"/>
      <c r="CK68"/>
      <c r="CL68"/>
      <c r="CM68"/>
      <c r="CN68"/>
      <c r="CO68"/>
      <c r="CP68"/>
      <c r="CQ68"/>
      <c r="CR68"/>
      <c r="CS68"/>
      <c r="CT68"/>
      <c r="CU68"/>
    </row>
    <row r="69" spans="1:99" s="5" customFormat="1" x14ac:dyDescent="0.3">
      <c r="A69" s="35" t="s">
        <v>73</v>
      </c>
      <c r="B69" s="11" t="s">
        <v>147</v>
      </c>
      <c r="C69" s="5">
        <v>64</v>
      </c>
      <c r="D69" s="25">
        <v>32.649423028091199</v>
      </c>
      <c r="E69" s="25">
        <v>18.755261157951061</v>
      </c>
      <c r="F69" s="25">
        <v>29.35477031948778</v>
      </c>
      <c r="G69" s="25">
        <v>536.17133510112262</v>
      </c>
      <c r="H69" s="25">
        <v>1105.0543823110036</v>
      </c>
      <c r="I69" s="25">
        <v>840.96716723066106</v>
      </c>
      <c r="J69" s="25">
        <v>200.98821522101832</v>
      </c>
      <c r="K69" s="25">
        <v>934.50170802081868</v>
      </c>
      <c r="L69" s="25">
        <v>431.23671092684219</v>
      </c>
      <c r="M69" s="25">
        <v>1456.6948204968085</v>
      </c>
      <c r="N69" s="25">
        <v>1105.5168647542537</v>
      </c>
      <c r="O69" s="25">
        <v>150.87684554241133</v>
      </c>
      <c r="P69" s="25">
        <v>213.69838746672355</v>
      </c>
      <c r="Q69" s="25">
        <v>201.22557205859525</v>
      </c>
      <c r="R69" s="25">
        <v>286.27648391460298</v>
      </c>
      <c r="S69" s="25">
        <v>57.538058185312742</v>
      </c>
      <c r="T69" s="25">
        <v>725.10994721928114</v>
      </c>
      <c r="U69" s="25">
        <v>36.002924232523554</v>
      </c>
      <c r="V69" s="25">
        <v>293.44293323880748</v>
      </c>
      <c r="W69" s="25">
        <v>7.5254107204557679</v>
      </c>
      <c r="X69" s="25">
        <v>4.808485896746191E-2</v>
      </c>
      <c r="Y69" s="25">
        <v>530.39057472236584</v>
      </c>
      <c r="Z69" s="25">
        <v>607.80239758586833</v>
      </c>
      <c r="AA69" s="25">
        <v>985.40458337874952</v>
      </c>
      <c r="AB69" s="25">
        <v>413.05358781774072</v>
      </c>
      <c r="AC69" s="25">
        <v>1363.2085286645388</v>
      </c>
      <c r="AD69" s="25">
        <v>792.36284824142285</v>
      </c>
      <c r="AE69" s="25">
        <v>824.268855190566</v>
      </c>
      <c r="AF69" s="25">
        <v>665.80550378299245</v>
      </c>
      <c r="AG69" s="25">
        <v>665.1474890448012</v>
      </c>
      <c r="AH69" s="25">
        <v>813.0239229424418</v>
      </c>
      <c r="AI69" s="25">
        <v>989.39069107945761</v>
      </c>
      <c r="AJ69" s="25">
        <v>719.62156526722526</v>
      </c>
      <c r="AK69" s="25">
        <v>2151.6935586468908</v>
      </c>
      <c r="AL69" s="25">
        <v>1610.6231247984024</v>
      </c>
      <c r="AM69" s="25">
        <v>435.6103670677503</v>
      </c>
      <c r="AN69" s="25">
        <v>159.95456206518563</v>
      </c>
      <c r="AO69" s="25">
        <v>311.09128867234108</v>
      </c>
      <c r="AP69" s="25">
        <v>457.37414964008502</v>
      </c>
      <c r="AQ69" s="25">
        <v>2733.1140757594053</v>
      </c>
      <c r="AR69" s="25">
        <v>446.45666726864272</v>
      </c>
      <c r="AS69" s="25">
        <v>319.86954166799444</v>
      </c>
      <c r="AT69" s="25">
        <v>184.18106761558121</v>
      </c>
      <c r="AU69" s="25">
        <v>442.03788754256817</v>
      </c>
      <c r="AV69" s="25">
        <v>1940.5177302309221</v>
      </c>
      <c r="AW69" s="25">
        <v>2052.8728961320053</v>
      </c>
      <c r="AX69" s="25">
        <v>34387.888269365707</v>
      </c>
      <c r="AY69" s="40">
        <v>2256.388089598539</v>
      </c>
      <c r="AZ69" s="25">
        <v>101.70296743531351</v>
      </c>
      <c r="BA69" s="25">
        <v>993.32183300690144</v>
      </c>
      <c r="BB69" s="25">
        <v>3310.347216834426</v>
      </c>
      <c r="BC69" s="25">
        <v>963.8540989232057</v>
      </c>
      <c r="BD69" s="25">
        <v>2351.7966015597917</v>
      </c>
      <c r="BE69" s="25">
        <v>227.39343922081298</v>
      </c>
      <c r="BF69" s="25">
        <v>1016.0364473026622</v>
      </c>
      <c r="BG69" s="25">
        <v>18009.30608658319</v>
      </c>
      <c r="BH69" s="25">
        <v>6538.2520784141834</v>
      </c>
      <c r="BI69" s="25">
        <v>20801.038659864713</v>
      </c>
      <c r="BJ69" s="25">
        <v>1551.8024596373566</v>
      </c>
      <c r="BK69" s="25">
        <v>4590.9657980645143</v>
      </c>
      <c r="BL69" s="25">
        <v>548.73087473248006</v>
      </c>
      <c r="BM69" s="25">
        <v>764.43175477833711</v>
      </c>
      <c r="BN69" s="25">
        <v>694.41207160454451</v>
      </c>
      <c r="BO69" s="25">
        <v>7148.239509064646</v>
      </c>
      <c r="BP69" s="25">
        <v>413.07854929836788</v>
      </c>
      <c r="BQ69" s="25">
        <v>26280.895753210785</v>
      </c>
      <c r="BR69" s="25">
        <v>11439.974337001982</v>
      </c>
      <c r="BS69" s="25">
        <v>4317.8972991269766</v>
      </c>
      <c r="BT69" s="25">
        <v>10166.818410314007</v>
      </c>
      <c r="BU69" s="25">
        <v>4405.3130286183668</v>
      </c>
      <c r="BV69" s="25">
        <v>1168.3698969347392</v>
      </c>
      <c r="BW69" s="25">
        <v>7014.5432379977537</v>
      </c>
      <c r="BX69" s="25">
        <v>0</v>
      </c>
      <c r="BY69" s="25">
        <v>202741.31153932598</v>
      </c>
      <c r="BZ69" s="25">
        <v>7098.179265942661</v>
      </c>
      <c r="CA69" s="25">
        <v>0.15880054254801407</v>
      </c>
      <c r="CB69" s="25">
        <v>36935</v>
      </c>
      <c r="CC69" s="25">
        <v>14910.063280014376</v>
      </c>
      <c r="CD69" s="25">
        <v>30.287114208055485</v>
      </c>
      <c r="CE69" s="25">
        <v>0</v>
      </c>
      <c r="CF69" s="25">
        <v>58973.688460707635</v>
      </c>
      <c r="CG69" s="25">
        <v>261715</v>
      </c>
      <c r="CH69"/>
      <c r="CI69">
        <f t="shared" si="0"/>
        <v>0.22533553086642966</v>
      </c>
      <c r="CJ69"/>
      <c r="CK69"/>
      <c r="CL69"/>
      <c r="CM69"/>
      <c r="CN69"/>
      <c r="CO69"/>
      <c r="CP69"/>
      <c r="CQ69"/>
      <c r="CR69"/>
      <c r="CS69"/>
      <c r="CT69"/>
      <c r="CU69"/>
    </row>
    <row r="70" spans="1:99" s="5" customFormat="1" x14ac:dyDescent="0.3">
      <c r="A70" s="35" t="s">
        <v>74</v>
      </c>
      <c r="B70" s="11" t="s">
        <v>148</v>
      </c>
      <c r="C70" s="5">
        <v>65</v>
      </c>
      <c r="D70" s="25">
        <v>1.907882371450748</v>
      </c>
      <c r="E70" s="25">
        <v>0.48734656155973116</v>
      </c>
      <c r="F70" s="25">
        <v>1.9603187760086069</v>
      </c>
      <c r="G70" s="25">
        <v>7.6968911749750628</v>
      </c>
      <c r="H70" s="25">
        <v>127.69534052883463</v>
      </c>
      <c r="I70" s="25">
        <v>93.027520909891479</v>
      </c>
      <c r="J70" s="25">
        <v>17.274263635549723</v>
      </c>
      <c r="K70" s="25">
        <v>379.91235068989135</v>
      </c>
      <c r="L70" s="25">
        <v>99.656064451783166</v>
      </c>
      <c r="M70" s="25">
        <v>346.34328667956413</v>
      </c>
      <c r="N70" s="25">
        <v>122.87558807079138</v>
      </c>
      <c r="O70" s="25">
        <v>118.85417793800191</v>
      </c>
      <c r="P70" s="25">
        <v>31.921961763906456</v>
      </c>
      <c r="Q70" s="25">
        <v>31.064384860588024</v>
      </c>
      <c r="R70" s="25">
        <v>45.298953826524517</v>
      </c>
      <c r="S70" s="25">
        <v>65.240512135197889</v>
      </c>
      <c r="T70" s="25">
        <v>508.88854248996728</v>
      </c>
      <c r="U70" s="25">
        <v>16.364065739302706</v>
      </c>
      <c r="V70" s="25">
        <v>134.50498390270354</v>
      </c>
      <c r="W70" s="25">
        <v>3.4494108842361895</v>
      </c>
      <c r="X70" s="25">
        <v>2.204058250780495E-2</v>
      </c>
      <c r="Y70" s="25">
        <v>2.048708216454096</v>
      </c>
      <c r="Z70" s="25">
        <v>278.22912418076567</v>
      </c>
      <c r="AA70" s="25">
        <v>178.43621708116024</v>
      </c>
      <c r="AB70" s="25">
        <v>38.538573326914829</v>
      </c>
      <c r="AC70" s="25">
        <v>250.2135137259277</v>
      </c>
      <c r="AD70" s="25">
        <v>227.49956690980653</v>
      </c>
      <c r="AE70" s="25">
        <v>414.98244519779206</v>
      </c>
      <c r="AF70" s="25">
        <v>87.548525850318399</v>
      </c>
      <c r="AG70" s="25">
        <v>71.084426126538133</v>
      </c>
      <c r="AH70" s="25">
        <v>186.17602742198338</v>
      </c>
      <c r="AI70" s="25">
        <v>146.13483915549162</v>
      </c>
      <c r="AJ70" s="25">
        <v>96.119728193658503</v>
      </c>
      <c r="AK70" s="25">
        <v>252.48727749669695</v>
      </c>
      <c r="AL70" s="25">
        <v>647.62262244836347</v>
      </c>
      <c r="AM70" s="25">
        <v>312.46624031072156</v>
      </c>
      <c r="AN70" s="25">
        <v>89.149442958866487</v>
      </c>
      <c r="AO70" s="25">
        <v>57.834482220038481</v>
      </c>
      <c r="AP70" s="25">
        <v>210.98389794575056</v>
      </c>
      <c r="AQ70" s="25">
        <v>283.161293237047</v>
      </c>
      <c r="AR70" s="25">
        <v>46.254654498080122</v>
      </c>
      <c r="AS70" s="25">
        <v>33.13973386225539</v>
      </c>
      <c r="AT70" s="25">
        <v>19.081877978809608</v>
      </c>
      <c r="AU70" s="25">
        <v>548.83558735337635</v>
      </c>
      <c r="AV70" s="25">
        <v>578.26143829970658</v>
      </c>
      <c r="AW70" s="25">
        <v>734.48410141703334</v>
      </c>
      <c r="AX70" s="25">
        <v>5576.1445484668102</v>
      </c>
      <c r="AY70" s="40">
        <v>1584.7038377001663</v>
      </c>
      <c r="AZ70" s="25">
        <v>24.92781256572988</v>
      </c>
      <c r="BA70" s="25">
        <v>192.55159066615735</v>
      </c>
      <c r="BB70" s="25">
        <v>3195.2707181322726</v>
      </c>
      <c r="BC70" s="25">
        <v>107.59958893571401</v>
      </c>
      <c r="BD70" s="25">
        <v>717.78816399094251</v>
      </c>
      <c r="BE70" s="25">
        <v>30.752881909411364</v>
      </c>
      <c r="BF70" s="25">
        <v>299.89363554041813</v>
      </c>
      <c r="BG70" s="25">
        <v>598.24394893607109</v>
      </c>
      <c r="BH70" s="25">
        <v>594.26717166641583</v>
      </c>
      <c r="BI70" s="25">
        <v>5066.1246937467113</v>
      </c>
      <c r="BJ70" s="25">
        <v>207.4571169568145</v>
      </c>
      <c r="BK70" s="25">
        <v>882.34939176338287</v>
      </c>
      <c r="BL70" s="25">
        <v>11.760968237936002</v>
      </c>
      <c r="BM70" s="25">
        <v>215.87582210967875</v>
      </c>
      <c r="BN70" s="25">
        <v>131.50020497398734</v>
      </c>
      <c r="BO70" s="25">
        <v>860.06985621587103</v>
      </c>
      <c r="BP70" s="25">
        <v>47.962383080056355</v>
      </c>
      <c r="BQ70" s="25">
        <v>7774.7084209636632</v>
      </c>
      <c r="BR70" s="25">
        <v>3379.7286305500447</v>
      </c>
      <c r="BS70" s="25">
        <v>1502.7259835834338</v>
      </c>
      <c r="BT70" s="25">
        <v>1455.9510072517671</v>
      </c>
      <c r="BU70" s="25">
        <v>1.4681232539730655</v>
      </c>
      <c r="BV70" s="25">
        <v>165.63288088673085</v>
      </c>
      <c r="BW70" s="25">
        <v>3.9649981402501111</v>
      </c>
      <c r="BX70" s="25">
        <v>0</v>
      </c>
      <c r="BY70" s="25">
        <v>42574.644613611206</v>
      </c>
      <c r="BZ70" s="25">
        <v>4.6504577663059132</v>
      </c>
      <c r="CA70" s="25">
        <v>0.10050667249874308</v>
      </c>
      <c r="CB70" s="25">
        <v>0</v>
      </c>
      <c r="CC70" s="25">
        <v>514.03577602316886</v>
      </c>
      <c r="CD70" s="25">
        <v>2.5686459281033156</v>
      </c>
      <c r="CE70" s="25">
        <v>0</v>
      </c>
      <c r="CF70" s="25">
        <v>521.35538639007689</v>
      </c>
      <c r="CG70" s="25">
        <v>43096</v>
      </c>
      <c r="CH70"/>
      <c r="CI70">
        <f t="shared" si="0"/>
        <v>1.2097535418370078E-2</v>
      </c>
      <c r="CJ70"/>
      <c r="CK70"/>
      <c r="CL70"/>
      <c r="CM70"/>
      <c r="CN70"/>
      <c r="CO70"/>
      <c r="CP70"/>
      <c r="CQ70"/>
      <c r="CR70"/>
      <c r="CS70"/>
      <c r="CT70"/>
      <c r="CU70"/>
    </row>
    <row r="71" spans="1:99" s="5" customFormat="1" x14ac:dyDescent="0.3">
      <c r="A71" s="35" t="s">
        <v>75</v>
      </c>
      <c r="B71" s="11" t="s">
        <v>149</v>
      </c>
      <c r="C71" s="5">
        <v>66</v>
      </c>
      <c r="D71" s="25">
        <v>287.04852784451367</v>
      </c>
      <c r="E71" s="25">
        <v>117.96534890945979</v>
      </c>
      <c r="F71" s="25">
        <v>22.219313916159944</v>
      </c>
      <c r="G71" s="25">
        <v>29.510197218123029</v>
      </c>
      <c r="H71" s="25">
        <v>618.18889644974422</v>
      </c>
      <c r="I71" s="25">
        <v>271.26173179985699</v>
      </c>
      <c r="J71" s="25">
        <v>40.93591097223608</v>
      </c>
      <c r="K71" s="25">
        <v>507.10544786347327</v>
      </c>
      <c r="L71" s="25">
        <v>93.451508298468951</v>
      </c>
      <c r="M71" s="25">
        <v>1000.7241142669925</v>
      </c>
      <c r="N71" s="25">
        <v>566.82864067934725</v>
      </c>
      <c r="O71" s="25">
        <v>69.080296869983215</v>
      </c>
      <c r="P71" s="25">
        <v>39.653621148474187</v>
      </c>
      <c r="Q71" s="25">
        <v>55.353349451117296</v>
      </c>
      <c r="R71" s="25">
        <v>89.305712871622603</v>
      </c>
      <c r="S71" s="25">
        <v>66.89326441837369</v>
      </c>
      <c r="T71" s="25">
        <v>304.24376339282782</v>
      </c>
      <c r="U71" s="25">
        <v>14.19256147244627</v>
      </c>
      <c r="V71" s="25">
        <v>226.90977531080588</v>
      </c>
      <c r="W71" s="25">
        <v>5.8228494038710989</v>
      </c>
      <c r="X71" s="25">
        <v>0.18776280709842402</v>
      </c>
      <c r="Y71" s="25">
        <v>71.54631701532746</v>
      </c>
      <c r="Z71" s="25">
        <v>928.14562514159638</v>
      </c>
      <c r="AA71" s="25">
        <v>335.42047479093361</v>
      </c>
      <c r="AB71" s="25">
        <v>229.37249019178245</v>
      </c>
      <c r="AC71" s="25">
        <v>409.50967957532578</v>
      </c>
      <c r="AD71" s="25">
        <v>197.38597703956509</v>
      </c>
      <c r="AE71" s="25">
        <v>225.04424592634516</v>
      </c>
      <c r="AF71" s="25">
        <v>596.78024564842895</v>
      </c>
      <c r="AG71" s="25">
        <v>272.1380599987454</v>
      </c>
      <c r="AH71" s="25">
        <v>165.51574501616787</v>
      </c>
      <c r="AI71" s="25">
        <v>231.98448993787341</v>
      </c>
      <c r="AJ71" s="25">
        <v>180.44031178512384</v>
      </c>
      <c r="AK71" s="25">
        <v>235.51382376645969</v>
      </c>
      <c r="AL71" s="25">
        <v>662.97086087777745</v>
      </c>
      <c r="AM71" s="25">
        <v>155.92218404858696</v>
      </c>
      <c r="AN71" s="25">
        <v>63.373229293612134</v>
      </c>
      <c r="AO71" s="25">
        <v>86.574589455581801</v>
      </c>
      <c r="AP71" s="25">
        <v>86.821987603223789</v>
      </c>
      <c r="AQ71" s="25">
        <v>454.43975043351361</v>
      </c>
      <c r="AR71" s="25">
        <v>103.88576694770563</v>
      </c>
      <c r="AS71" s="25">
        <v>42.989868002769896</v>
      </c>
      <c r="AT71" s="25">
        <v>33.735984529936225</v>
      </c>
      <c r="AU71" s="25">
        <v>188.69075650322367</v>
      </c>
      <c r="AV71" s="25">
        <v>419.85520756134832</v>
      </c>
      <c r="AW71" s="25">
        <v>459.19527429173968</v>
      </c>
      <c r="AX71" s="25">
        <v>3654.3875471763286</v>
      </c>
      <c r="AY71" s="40">
        <v>539.12999832229548</v>
      </c>
      <c r="AZ71" s="25">
        <v>102.5099329973319</v>
      </c>
      <c r="BA71" s="25">
        <v>230.15109923844281</v>
      </c>
      <c r="BB71" s="25">
        <v>547.05289378990267</v>
      </c>
      <c r="BC71" s="25">
        <v>90.371603926043434</v>
      </c>
      <c r="BD71" s="25">
        <v>285.91631769747431</v>
      </c>
      <c r="BE71" s="25">
        <v>70.407561833964252</v>
      </c>
      <c r="BF71" s="25">
        <v>290.6133152351332</v>
      </c>
      <c r="BG71" s="25">
        <v>485.50333563571149</v>
      </c>
      <c r="BH71" s="25">
        <v>438.71221044932014</v>
      </c>
      <c r="BI71" s="25">
        <v>1584.9789784563361</v>
      </c>
      <c r="BJ71" s="25">
        <v>208.14764062974933</v>
      </c>
      <c r="BK71" s="25">
        <v>956.03408087952698</v>
      </c>
      <c r="BL71" s="25">
        <v>401.00097508719585</v>
      </c>
      <c r="BM71" s="25">
        <v>359.19504244813345</v>
      </c>
      <c r="BN71" s="25">
        <v>135.45641456319268</v>
      </c>
      <c r="BO71" s="25">
        <v>847.27995892570129</v>
      </c>
      <c r="BP71" s="25">
        <v>63.421325289456178</v>
      </c>
      <c r="BQ71" s="25">
        <v>1923.8449102739464</v>
      </c>
      <c r="BR71" s="25">
        <v>410.89876026481767</v>
      </c>
      <c r="BS71" s="25">
        <v>423.74671502987565</v>
      </c>
      <c r="BT71" s="25">
        <v>415.91501108463763</v>
      </c>
      <c r="BU71" s="25">
        <v>461.85662646024542</v>
      </c>
      <c r="BV71" s="25">
        <v>208.03805596239246</v>
      </c>
      <c r="BW71" s="25">
        <v>711.8398827478328</v>
      </c>
      <c r="BX71" s="25">
        <v>0</v>
      </c>
      <c r="BY71" s="25">
        <v>27110.545735152675</v>
      </c>
      <c r="BZ71" s="25">
        <v>2675.7793172376355</v>
      </c>
      <c r="CA71" s="25">
        <v>804207.61974603636</v>
      </c>
      <c r="CB71" s="25">
        <v>239.50738606091164</v>
      </c>
      <c r="CC71" s="25">
        <v>14024.792419332854</v>
      </c>
      <c r="CD71" s="25">
        <v>10427.517294669809</v>
      </c>
      <c r="CE71" s="25">
        <v>78.238101509793609</v>
      </c>
      <c r="CF71" s="25">
        <v>831653.45426484733</v>
      </c>
      <c r="CG71" s="25">
        <v>858764</v>
      </c>
      <c r="CH71"/>
      <c r="CI71">
        <f t="shared" ref="CI71:CI78" si="1">CF71/CG71</f>
        <v>0.9684307379732352</v>
      </c>
      <c r="CJ71"/>
      <c r="CK71"/>
      <c r="CL71"/>
      <c r="CM71"/>
      <c r="CN71"/>
      <c r="CO71"/>
      <c r="CP71"/>
      <c r="CQ71"/>
      <c r="CR71"/>
      <c r="CS71"/>
      <c r="CT71"/>
      <c r="CU71"/>
    </row>
    <row r="72" spans="1:99" s="5" customFormat="1" x14ac:dyDescent="0.3">
      <c r="A72" s="35" t="s">
        <v>76</v>
      </c>
      <c r="B72" s="11" t="s">
        <v>150</v>
      </c>
      <c r="C72" s="5">
        <v>67</v>
      </c>
      <c r="D72" s="25">
        <v>2.0639267555544296</v>
      </c>
      <c r="E72" s="25">
        <v>0.27582278463743687</v>
      </c>
      <c r="F72" s="25">
        <v>8.1850937898453463E-2</v>
      </c>
      <c r="G72" s="25">
        <v>1.8878462751132687</v>
      </c>
      <c r="H72" s="25">
        <v>10.075169262200149</v>
      </c>
      <c r="I72" s="25">
        <v>45.752746597845565</v>
      </c>
      <c r="J72" s="25">
        <v>0.86904905760055107</v>
      </c>
      <c r="K72" s="25">
        <v>30.188433714169108</v>
      </c>
      <c r="L72" s="25">
        <v>3.3089813089860112</v>
      </c>
      <c r="M72" s="25">
        <v>20.077640325300095</v>
      </c>
      <c r="N72" s="25">
        <v>26.181813468370393</v>
      </c>
      <c r="O72" s="25">
        <v>5.3494283952472514</v>
      </c>
      <c r="P72" s="25">
        <v>0.82692949892132539</v>
      </c>
      <c r="Q72" s="25">
        <v>4.7370777111865516</v>
      </c>
      <c r="R72" s="25">
        <v>7.4683805082089147</v>
      </c>
      <c r="S72" s="25">
        <v>3.4470009539477098</v>
      </c>
      <c r="T72" s="25">
        <v>11.825420509978191</v>
      </c>
      <c r="U72" s="25">
        <v>0.44971819482643954</v>
      </c>
      <c r="V72" s="25">
        <v>3.852857050045583</v>
      </c>
      <c r="W72" s="25">
        <v>9.880739477614435E-2</v>
      </c>
      <c r="X72" s="25">
        <v>6.3134622404576032E-4</v>
      </c>
      <c r="Y72" s="25">
        <v>0.93157600810179186</v>
      </c>
      <c r="Z72" s="25">
        <v>31.679140939242913</v>
      </c>
      <c r="AA72" s="25">
        <v>11.890595267991705</v>
      </c>
      <c r="AB72" s="25">
        <v>19.671677564177742</v>
      </c>
      <c r="AC72" s="25">
        <v>69.643530629303115</v>
      </c>
      <c r="AD72" s="25">
        <v>12.860111052764756</v>
      </c>
      <c r="AE72" s="25">
        <v>10.966728555138715</v>
      </c>
      <c r="AF72" s="25">
        <v>12.991515864926425</v>
      </c>
      <c r="AG72" s="25">
        <v>33.764487429716837</v>
      </c>
      <c r="AH72" s="25">
        <v>5.9046013268793853</v>
      </c>
      <c r="AI72" s="25">
        <v>17.135074584868725</v>
      </c>
      <c r="AJ72" s="25">
        <v>38.438409301759435</v>
      </c>
      <c r="AK72" s="25">
        <v>39.311970491869424</v>
      </c>
      <c r="AL72" s="25">
        <v>74.669615471071523</v>
      </c>
      <c r="AM72" s="25">
        <v>42.389988946562234</v>
      </c>
      <c r="AN72" s="25">
        <v>7.6822037092862256</v>
      </c>
      <c r="AO72" s="25">
        <v>7.1659021010442876</v>
      </c>
      <c r="AP72" s="25">
        <v>1.9204625856005966</v>
      </c>
      <c r="AQ72" s="25">
        <v>31.705838765293208</v>
      </c>
      <c r="AR72" s="25">
        <v>5.1791775665919282</v>
      </c>
      <c r="AS72" s="25">
        <v>3.7106874550180464</v>
      </c>
      <c r="AT72" s="25">
        <v>2.16648939721592</v>
      </c>
      <c r="AU72" s="25">
        <v>5.0518170914481608</v>
      </c>
      <c r="AV72" s="25">
        <v>14.883541925181662</v>
      </c>
      <c r="AW72" s="25">
        <v>9.194201743317544</v>
      </c>
      <c r="AX72" s="25">
        <v>146.24541251894161</v>
      </c>
      <c r="AY72" s="40">
        <v>14.203746203344206</v>
      </c>
      <c r="AZ72" s="25">
        <v>0.96434272526636722</v>
      </c>
      <c r="BA72" s="25">
        <v>1.539697915840359</v>
      </c>
      <c r="BB72" s="25">
        <v>14.690298679584528</v>
      </c>
      <c r="BC72" s="25">
        <v>2.3003477561564694</v>
      </c>
      <c r="BD72" s="25">
        <v>6.4628035097244343</v>
      </c>
      <c r="BE72" s="25">
        <v>1.308830553431215</v>
      </c>
      <c r="BF72" s="25">
        <v>2.7304267018625623</v>
      </c>
      <c r="BG72" s="25">
        <v>52.387588101802052</v>
      </c>
      <c r="BH72" s="25">
        <v>40.550455982106371</v>
      </c>
      <c r="BI72" s="25">
        <v>61.74464494303318</v>
      </c>
      <c r="BJ72" s="25">
        <v>4.0011354084452124</v>
      </c>
      <c r="BK72" s="25">
        <v>40.435685507104324</v>
      </c>
      <c r="BL72" s="25">
        <v>217.34121964459115</v>
      </c>
      <c r="BM72" s="25">
        <v>7.5854360695776002</v>
      </c>
      <c r="BN72" s="25">
        <v>11.244167570129857</v>
      </c>
      <c r="BO72" s="25">
        <v>26.249768743151524</v>
      </c>
      <c r="BP72" s="25">
        <v>2.7642098928074099</v>
      </c>
      <c r="BQ72" s="25">
        <v>52.523195476353287</v>
      </c>
      <c r="BR72" s="25">
        <v>16.285785393971757</v>
      </c>
      <c r="BS72" s="25">
        <v>9.4770716347897128</v>
      </c>
      <c r="BT72" s="25">
        <v>20.380088899879862</v>
      </c>
      <c r="BU72" s="25">
        <v>24.763166901748136</v>
      </c>
      <c r="BV72" s="25">
        <v>4.3853023230014561</v>
      </c>
      <c r="BW72" s="25">
        <v>22.111277585626347</v>
      </c>
      <c r="BX72" s="25">
        <v>0</v>
      </c>
      <c r="BY72" s="25">
        <v>1494.4049844676808</v>
      </c>
      <c r="BZ72" s="25">
        <v>72.195535644544861</v>
      </c>
      <c r="CA72" s="25">
        <v>335706.38581842551</v>
      </c>
      <c r="CB72" s="25">
        <v>4.2809484004282847</v>
      </c>
      <c r="CC72" s="25">
        <v>1022.7192815821425</v>
      </c>
      <c r="CD72" s="25">
        <v>12795.103448563041</v>
      </c>
      <c r="CE72" s="25">
        <v>-9.0017064846416389E-2</v>
      </c>
      <c r="CF72" s="25">
        <v>349600.59501555085</v>
      </c>
      <c r="CG72" s="25">
        <v>351095</v>
      </c>
      <c r="CH72"/>
      <c r="CI72">
        <f t="shared" si="1"/>
        <v>0.99574358796209239</v>
      </c>
      <c r="CJ72"/>
      <c r="CK72"/>
      <c r="CL72"/>
      <c r="CM72"/>
      <c r="CN72"/>
      <c r="CO72"/>
      <c r="CP72"/>
      <c r="CQ72"/>
      <c r="CR72"/>
      <c r="CS72"/>
      <c r="CT72"/>
      <c r="CU72"/>
    </row>
    <row r="73" spans="1:99" s="5" customFormat="1" x14ac:dyDescent="0.3">
      <c r="A73" s="35" t="s">
        <v>77</v>
      </c>
      <c r="B73" s="11" t="s">
        <v>151</v>
      </c>
      <c r="C73" s="5">
        <v>68</v>
      </c>
      <c r="D73" s="25">
        <v>7.6931196588894162</v>
      </c>
      <c r="E73" s="25">
        <v>3.4398061804698274</v>
      </c>
      <c r="F73" s="25">
        <v>0.23531890688741866</v>
      </c>
      <c r="G73" s="25">
        <v>1.1688349380460785</v>
      </c>
      <c r="H73" s="25">
        <v>32.090803239325453</v>
      </c>
      <c r="I73" s="25">
        <v>239.18651354077423</v>
      </c>
      <c r="J73" s="25">
        <v>32.206601350399488</v>
      </c>
      <c r="K73" s="25">
        <v>13.012275714823172</v>
      </c>
      <c r="L73" s="25">
        <v>0.53031690533919018</v>
      </c>
      <c r="M73" s="25">
        <v>39.269288462979574</v>
      </c>
      <c r="N73" s="25">
        <v>2.7849762096012798</v>
      </c>
      <c r="O73" s="25">
        <v>0.82902132452038613</v>
      </c>
      <c r="P73" s="25">
        <v>2.7504210464847763</v>
      </c>
      <c r="Q73" s="25">
        <v>2.5535982868458889</v>
      </c>
      <c r="R73" s="25">
        <v>1.8939423692618824</v>
      </c>
      <c r="S73" s="25">
        <v>0.82405929004859957</v>
      </c>
      <c r="T73" s="25">
        <v>55.353458389648281</v>
      </c>
      <c r="U73" s="25">
        <v>0.4775425967895906</v>
      </c>
      <c r="V73" s="25">
        <v>16.305044856813964</v>
      </c>
      <c r="W73" s="25">
        <v>0.41814658137677307</v>
      </c>
      <c r="X73" s="25">
        <v>2.6718168801836161E-3</v>
      </c>
      <c r="Y73" s="25">
        <v>0.79686294057605755</v>
      </c>
      <c r="Z73" s="25">
        <v>20.174624758939185</v>
      </c>
      <c r="AA73" s="25">
        <v>45.392102798355651</v>
      </c>
      <c r="AB73" s="25">
        <v>2.2188091099398242</v>
      </c>
      <c r="AC73" s="25">
        <v>4.9579920785830529</v>
      </c>
      <c r="AD73" s="25">
        <v>5.4647431781057154</v>
      </c>
      <c r="AE73" s="25">
        <v>2.2694667730187046</v>
      </c>
      <c r="AF73" s="25">
        <v>300.16181748548058</v>
      </c>
      <c r="AG73" s="25">
        <v>102.58528080084747</v>
      </c>
      <c r="AH73" s="25">
        <v>88.954361061399979</v>
      </c>
      <c r="AI73" s="25">
        <v>4.6984768810331072</v>
      </c>
      <c r="AJ73" s="25">
        <v>3.8106452399874771</v>
      </c>
      <c r="AK73" s="25">
        <v>31.474397604149097</v>
      </c>
      <c r="AL73" s="25">
        <v>125.67488215651107</v>
      </c>
      <c r="AM73" s="25">
        <v>6.565912956829802</v>
      </c>
      <c r="AN73" s="25">
        <v>0.88875294031319196</v>
      </c>
      <c r="AO73" s="25">
        <v>2.3893290269975265</v>
      </c>
      <c r="AP73" s="25">
        <v>13.887960629071138</v>
      </c>
      <c r="AQ73" s="25">
        <v>133.58868042921898</v>
      </c>
      <c r="AR73" s="25">
        <v>21.821832311435166</v>
      </c>
      <c r="AS73" s="25">
        <v>15.634528525507482</v>
      </c>
      <c r="AT73" s="25">
        <v>9.0023705929558737</v>
      </c>
      <c r="AU73" s="25">
        <v>1.9707052682565673</v>
      </c>
      <c r="AV73" s="25">
        <v>11.945281151936943</v>
      </c>
      <c r="AW73" s="25">
        <v>38.038843675537215</v>
      </c>
      <c r="AX73" s="25">
        <v>1167.9270917518841</v>
      </c>
      <c r="AY73" s="40">
        <v>1448.9608851220555</v>
      </c>
      <c r="AZ73" s="25">
        <v>99.031452795503299</v>
      </c>
      <c r="BA73" s="25">
        <v>14.563146371186113</v>
      </c>
      <c r="BB73" s="25">
        <v>361.18155596885236</v>
      </c>
      <c r="BC73" s="25">
        <v>3.4071223149043863</v>
      </c>
      <c r="BD73" s="25">
        <v>15.760841476762209</v>
      </c>
      <c r="BE73" s="25">
        <v>0.69144612366886116</v>
      </c>
      <c r="BF73" s="25">
        <v>1.1102350488226516</v>
      </c>
      <c r="BG73" s="25">
        <v>69.804466120173885</v>
      </c>
      <c r="BH73" s="25">
        <v>5.3559695425427449</v>
      </c>
      <c r="BI73" s="25">
        <v>2315.4388469453534</v>
      </c>
      <c r="BJ73" s="25">
        <v>4.3591810524838177</v>
      </c>
      <c r="BK73" s="25">
        <v>3599.9208111515995</v>
      </c>
      <c r="BL73" s="25">
        <v>207.77212617743078</v>
      </c>
      <c r="BM73" s="25">
        <v>822.59775964373694</v>
      </c>
      <c r="BN73" s="25">
        <v>83.583001871973934</v>
      </c>
      <c r="BO73" s="25">
        <v>2309.1202065329398</v>
      </c>
      <c r="BP73" s="25">
        <v>184.11821011257584</v>
      </c>
      <c r="BQ73" s="25">
        <v>511.90672001070294</v>
      </c>
      <c r="BR73" s="25">
        <v>159.47710499957969</v>
      </c>
      <c r="BS73" s="25">
        <v>8.9007030056402883</v>
      </c>
      <c r="BT73" s="25">
        <v>571.81095619896587</v>
      </c>
      <c r="BU73" s="25">
        <v>9.1103491062203279</v>
      </c>
      <c r="BV73" s="25">
        <v>6.7983796621682746</v>
      </c>
      <c r="BW73" s="25">
        <v>622.26668220225201</v>
      </c>
      <c r="BX73" s="25">
        <v>0</v>
      </c>
      <c r="BY73" s="25">
        <v>16052.369673351172</v>
      </c>
      <c r="BZ73" s="25">
        <v>92.455577528246238</v>
      </c>
      <c r="CA73" s="25">
        <v>0.51459416319356455</v>
      </c>
      <c r="CB73" s="25">
        <v>0</v>
      </c>
      <c r="CC73" s="25">
        <v>126599.373906023</v>
      </c>
      <c r="CD73" s="25">
        <v>692.28624894467021</v>
      </c>
      <c r="CE73" s="25">
        <v>0</v>
      </c>
      <c r="CF73" s="25">
        <v>127384.63032665911</v>
      </c>
      <c r="CG73" s="25">
        <v>143437</v>
      </c>
      <c r="CH73"/>
      <c r="CI73">
        <f t="shared" si="1"/>
        <v>0.88808766445658449</v>
      </c>
      <c r="CJ73"/>
      <c r="CK73"/>
      <c r="CL73"/>
      <c r="CM73"/>
      <c r="CN73"/>
      <c r="CO73"/>
      <c r="CP73"/>
      <c r="CQ73"/>
      <c r="CR73"/>
      <c r="CS73"/>
      <c r="CT73"/>
      <c r="CU73"/>
    </row>
    <row r="74" spans="1:99" s="5" customFormat="1" x14ac:dyDescent="0.3">
      <c r="A74" s="35" t="s">
        <v>78</v>
      </c>
      <c r="B74" s="11" t="s">
        <v>152</v>
      </c>
      <c r="C74" s="5">
        <v>69</v>
      </c>
      <c r="D74" s="25">
        <v>3.2294223729739297E-5</v>
      </c>
      <c r="E74" s="25">
        <v>2.8257445763521883E-5</v>
      </c>
      <c r="F74" s="25">
        <v>3.6331001695956711E-5</v>
      </c>
      <c r="G74" s="25">
        <v>6.1031998076404026E-2</v>
      </c>
      <c r="H74" s="25">
        <v>2.1596762119263156E-3</v>
      </c>
      <c r="I74" s="25">
        <v>4.3869569256025747</v>
      </c>
      <c r="J74" s="25">
        <v>8.8809115256783077E-5</v>
      </c>
      <c r="K74" s="25">
        <v>2.6230680012243184</v>
      </c>
      <c r="L74" s="25">
        <v>0.24430561053612967</v>
      </c>
      <c r="M74" s="25">
        <v>1.2514627556917148</v>
      </c>
      <c r="N74" s="25">
        <v>2.4069289849500528</v>
      </c>
      <c r="O74" s="25">
        <v>0.487509180687482</v>
      </c>
      <c r="P74" s="25">
        <v>1.4007619542774419E-3</v>
      </c>
      <c r="Q74" s="25">
        <v>0.39773332910004544</v>
      </c>
      <c r="R74" s="25">
        <v>0.70109695328709887</v>
      </c>
      <c r="S74" s="25">
        <v>0.33528845873546531</v>
      </c>
      <c r="T74" s="25">
        <v>0.94516035714525537</v>
      </c>
      <c r="U74" s="25">
        <v>3.0697654046681799E-2</v>
      </c>
      <c r="V74" s="25">
        <v>8.5787658126258574E-4</v>
      </c>
      <c r="W74" s="25">
        <v>2.2000439915884898E-5</v>
      </c>
      <c r="X74" s="25">
        <v>1.4057545692514377E-7</v>
      </c>
      <c r="Y74" s="25">
        <v>9.6882671189217888E-4</v>
      </c>
      <c r="Z74" s="25">
        <v>2.773028127515254</v>
      </c>
      <c r="AA74" s="25">
        <v>0.76207647324994199</v>
      </c>
      <c r="AB74" s="25">
        <v>1.859082131996356</v>
      </c>
      <c r="AC74" s="25">
        <v>6.79460849380858</v>
      </c>
      <c r="AD74" s="25">
        <v>1.068257768457415</v>
      </c>
      <c r="AE74" s="25">
        <v>0.82335471478228539</v>
      </c>
      <c r="AF74" s="25">
        <v>0.91539923558673608</v>
      </c>
      <c r="AG74" s="25">
        <v>3.3510438166020577</v>
      </c>
      <c r="AH74" s="25">
        <v>0.30585027941424331</v>
      </c>
      <c r="AI74" s="25">
        <v>1.3717505695393877</v>
      </c>
      <c r="AJ74" s="25">
        <v>3.8389243808624318</v>
      </c>
      <c r="AK74" s="25">
        <v>3.4738465431226837</v>
      </c>
      <c r="AL74" s="25">
        <v>7.34226965497583</v>
      </c>
      <c r="AM74" s="25">
        <v>4.2964019758676573</v>
      </c>
      <c r="AN74" s="25">
        <v>0.76187463435163116</v>
      </c>
      <c r="AO74" s="25">
        <v>0.64086423724800579</v>
      </c>
      <c r="AP74" s="25">
        <v>3.073802182634397E-2</v>
      </c>
      <c r="AQ74" s="25">
        <v>2.42302279024373</v>
      </c>
      <c r="AR74" s="25">
        <v>0.39580297406635273</v>
      </c>
      <c r="AS74" s="25">
        <v>0.28357806073316438</v>
      </c>
      <c r="AT74" s="25">
        <v>0.16328441184438147</v>
      </c>
      <c r="AU74" s="25">
        <v>0.33659637479651972</v>
      </c>
      <c r="AV74" s="25">
        <v>0.6143648322861901</v>
      </c>
      <c r="AW74" s="25">
        <v>1.7313740697106485E-2</v>
      </c>
      <c r="AX74" s="25">
        <v>5.184704507338088</v>
      </c>
      <c r="AY74" s="40">
        <v>6.0147991696639438E-3</v>
      </c>
      <c r="AZ74" s="25">
        <v>3.4716290509469747E-4</v>
      </c>
      <c r="BA74" s="25">
        <v>5.0056046781095907E-4</v>
      </c>
      <c r="BB74" s="25">
        <v>1.364834630378107E-2</v>
      </c>
      <c r="BC74" s="25">
        <v>5.8048867154206389E-3</v>
      </c>
      <c r="BD74" s="25">
        <v>2.6836499919413358E-2</v>
      </c>
      <c r="BE74" s="25">
        <v>6.1770728444221816E-2</v>
      </c>
      <c r="BF74" s="25">
        <v>2.1919704356560548E-3</v>
      </c>
      <c r="BG74" s="25">
        <v>1.9600802263298769</v>
      </c>
      <c r="BH74" s="25">
        <v>2.994083939352373</v>
      </c>
      <c r="BI74" s="25">
        <v>0.23796183795963752</v>
      </c>
      <c r="BJ74" s="25">
        <v>1.0273599924023314E-2</v>
      </c>
      <c r="BK74" s="25">
        <v>2.4511315810872125E-2</v>
      </c>
      <c r="BL74" s="25">
        <v>22.364055260976574</v>
      </c>
      <c r="BM74" s="25">
        <v>5.1226712391298961E-3</v>
      </c>
      <c r="BN74" s="25">
        <v>0.88863744005711631</v>
      </c>
      <c r="BO74" s="25">
        <v>0.1383967998041237</v>
      </c>
      <c r="BP74" s="25">
        <v>1.227180501730093E-3</v>
      </c>
      <c r="BQ74" s="25">
        <v>0.61901854751741858</v>
      </c>
      <c r="BR74" s="25">
        <v>5.4812655002414966E-2</v>
      </c>
      <c r="BS74" s="25">
        <v>5.3085624647323568E-2</v>
      </c>
      <c r="BT74" s="25">
        <v>0.10595587883353831</v>
      </c>
      <c r="BU74" s="25">
        <v>324.82556340841802</v>
      </c>
      <c r="BV74" s="25">
        <v>1.7568057708978176E-2</v>
      </c>
      <c r="BW74" s="25">
        <v>1.7220894803883481E-2</v>
      </c>
      <c r="BX74" s="25">
        <v>0</v>
      </c>
      <c r="BY74" s="25">
        <v>418.13956422780484</v>
      </c>
      <c r="BZ74" s="25">
        <v>2.5367190612490513</v>
      </c>
      <c r="CA74" s="25">
        <v>198903.049000392</v>
      </c>
      <c r="CB74" s="25">
        <v>81.824529596236772</v>
      </c>
      <c r="CC74" s="25">
        <v>1941.8765092080926</v>
      </c>
      <c r="CD74" s="25">
        <v>1368.5736775162118</v>
      </c>
      <c r="CE74" s="25">
        <v>0</v>
      </c>
      <c r="CF74" s="25">
        <v>202297.86043577379</v>
      </c>
      <c r="CG74" s="25">
        <v>202716</v>
      </c>
      <c r="CH74"/>
      <c r="CI74">
        <f t="shared" si="1"/>
        <v>0.99793731346205428</v>
      </c>
      <c r="CJ74"/>
      <c r="CK74"/>
      <c r="CL74"/>
      <c r="CM74"/>
      <c r="CN74"/>
      <c r="CO74"/>
      <c r="CP74"/>
      <c r="CQ74"/>
      <c r="CR74"/>
      <c r="CS74"/>
      <c r="CT74"/>
      <c r="CU74"/>
    </row>
    <row r="75" spans="1:99" s="5" customFormat="1" x14ac:dyDescent="0.3">
      <c r="A75" s="35" t="s">
        <v>79</v>
      </c>
      <c r="B75" s="11" t="s">
        <v>153</v>
      </c>
      <c r="C75" s="5">
        <v>70</v>
      </c>
      <c r="D75" s="25">
        <v>1.1755097437625104E-2</v>
      </c>
      <c r="E75" s="25">
        <v>1.0285710257921965E-2</v>
      </c>
      <c r="F75" s="25">
        <v>1.3224484617328242E-2</v>
      </c>
      <c r="G75" s="25">
        <v>3.9163219281818547E-2</v>
      </c>
      <c r="H75" s="25">
        <v>0.78612214114117884</v>
      </c>
      <c r="I75" s="25">
        <v>0.1454671212312241</v>
      </c>
      <c r="J75" s="25">
        <v>3.2326517953469039E-2</v>
      </c>
      <c r="K75" s="25">
        <v>1.2079369828943807</v>
      </c>
      <c r="L75" s="25">
        <v>0.22130591303421226</v>
      </c>
      <c r="M75" s="25">
        <v>0.91451942093471872</v>
      </c>
      <c r="N75" s="25">
        <v>0.15102934091385145</v>
      </c>
      <c r="O75" s="25">
        <v>4.1469126009467838E-2</v>
      </c>
      <c r="P75" s="25">
        <v>0.50987735135698886</v>
      </c>
      <c r="Q75" s="25">
        <v>0.62778526897641762</v>
      </c>
      <c r="R75" s="25">
        <v>0.16972407041761389</v>
      </c>
      <c r="S75" s="25">
        <v>7.4336536798500746E-2</v>
      </c>
      <c r="T75" s="25">
        <v>0.30286675266963786</v>
      </c>
      <c r="U75" s="25">
        <v>8.5704032727550478E-2</v>
      </c>
      <c r="V75" s="25">
        <v>0.31226707557958122</v>
      </c>
      <c r="W75" s="25">
        <v>8.0081601293821025E-3</v>
      </c>
      <c r="X75" s="25">
        <v>5.1169466320752328E-5</v>
      </c>
      <c r="Y75" s="25">
        <v>0.35265292312875313</v>
      </c>
      <c r="Z75" s="25">
        <v>0.35221275147159053</v>
      </c>
      <c r="AA75" s="25">
        <v>0.18978525636329166</v>
      </c>
      <c r="AB75" s="25">
        <v>0.32313159053150481</v>
      </c>
      <c r="AC75" s="25">
        <v>0.55951676731193722</v>
      </c>
      <c r="AD75" s="25">
        <v>0.75735630923727837</v>
      </c>
      <c r="AE75" s="25">
        <v>0.3185810936070016</v>
      </c>
      <c r="AF75" s="25">
        <v>0.55806054563321528</v>
      </c>
      <c r="AG75" s="25">
        <v>7.3324814040376579E-2</v>
      </c>
      <c r="AH75" s="25">
        <v>0.44708130413832931</v>
      </c>
      <c r="AI75" s="25">
        <v>0.34631550042897502</v>
      </c>
      <c r="AJ75" s="25">
        <v>0.24997756058253309</v>
      </c>
      <c r="AK75" s="25">
        <v>0.42054910648968791</v>
      </c>
      <c r="AL75" s="25">
        <v>0.3198227074279395</v>
      </c>
      <c r="AM75" s="25">
        <v>0.44819153851546822</v>
      </c>
      <c r="AN75" s="25">
        <v>0.11631589737813476</v>
      </c>
      <c r="AO75" s="25">
        <v>0.42149951271701663</v>
      </c>
      <c r="AP75" s="25">
        <v>0.10039790452458186</v>
      </c>
      <c r="AQ75" s="25">
        <v>1.6832340893780942</v>
      </c>
      <c r="AR75" s="25">
        <v>0.27495781769295818</v>
      </c>
      <c r="AS75" s="25">
        <v>0.19699701577209666</v>
      </c>
      <c r="AT75" s="25">
        <v>0.11343099593911311</v>
      </c>
      <c r="AU75" s="25">
        <v>0.55041798302231748</v>
      </c>
      <c r="AV75" s="25">
        <v>1.8639581468807298</v>
      </c>
      <c r="AW75" s="25">
        <v>6.3022016137467594</v>
      </c>
      <c r="AX75" s="25">
        <v>68.760746067666105</v>
      </c>
      <c r="AY75" s="40">
        <v>2.1893868977576756</v>
      </c>
      <c r="AZ75" s="25">
        <v>0.12636729745446987</v>
      </c>
      <c r="BA75" s="25">
        <v>0.18220401028318908</v>
      </c>
      <c r="BB75" s="25">
        <v>4.9679980545763094</v>
      </c>
      <c r="BC75" s="25">
        <v>2.1129787644131124</v>
      </c>
      <c r="BD75" s="25">
        <v>9.7684859706664611</v>
      </c>
      <c r="BE75" s="25">
        <v>0.30806107316749276</v>
      </c>
      <c r="BF75" s="25">
        <v>0.79787723857880399</v>
      </c>
      <c r="BG75" s="25">
        <v>3.8217118071392782</v>
      </c>
      <c r="BH75" s="25">
        <v>3.1988339783305415</v>
      </c>
      <c r="BI75" s="25">
        <v>9.0004147354556938</v>
      </c>
      <c r="BJ75" s="25">
        <v>3.7395903723444861</v>
      </c>
      <c r="BK75" s="25">
        <v>8.9221189551574529</v>
      </c>
      <c r="BL75" s="25">
        <v>1.7464574412383413</v>
      </c>
      <c r="BM75" s="25">
        <v>1.8646523310432823</v>
      </c>
      <c r="BN75" s="25">
        <v>1.9050090131162243</v>
      </c>
      <c r="BO75" s="25">
        <v>6.0234669676425341</v>
      </c>
      <c r="BP75" s="25">
        <v>0.44669370262975389</v>
      </c>
      <c r="BQ75" s="25">
        <v>71.482262126165793</v>
      </c>
      <c r="BR75" s="25">
        <v>6.7654787777212286</v>
      </c>
      <c r="BS75" s="25">
        <v>8.2349253313611523</v>
      </c>
      <c r="BT75" s="25">
        <v>12.195284609092305</v>
      </c>
      <c r="BU75" s="25">
        <v>35757.027765934254</v>
      </c>
      <c r="BV75" s="25">
        <v>6.3947730060680561</v>
      </c>
      <c r="BW75" s="25">
        <v>6.2684057086135869</v>
      </c>
      <c r="BX75" s="25">
        <v>0</v>
      </c>
      <c r="BY75" s="25">
        <v>36021.257146411728</v>
      </c>
      <c r="BZ75" s="25">
        <v>283.84197637122588</v>
      </c>
      <c r="CA75" s="25">
        <v>43422.333673069385</v>
      </c>
      <c r="CB75" s="25">
        <v>9016.6756500718675</v>
      </c>
      <c r="CC75" s="25">
        <v>214107.34658859362</v>
      </c>
      <c r="CD75" s="25">
        <v>21.5449654913572</v>
      </c>
      <c r="CE75" s="25">
        <v>0</v>
      </c>
      <c r="CF75" s="25">
        <v>266851.74285359745</v>
      </c>
      <c r="CG75" s="25">
        <v>302873</v>
      </c>
      <c r="CH75"/>
      <c r="CI75">
        <f t="shared" si="1"/>
        <v>0.88106811387478401</v>
      </c>
      <c r="CJ75"/>
      <c r="CK75"/>
      <c r="CL75"/>
      <c r="CM75"/>
      <c r="CN75"/>
      <c r="CO75"/>
      <c r="CP75"/>
      <c r="CQ75"/>
      <c r="CR75"/>
      <c r="CS75"/>
      <c r="CT75"/>
      <c r="CU75"/>
    </row>
    <row r="76" spans="1:99" s="5" customFormat="1" x14ac:dyDescent="0.3">
      <c r="A76" s="35" t="s">
        <v>80</v>
      </c>
      <c r="B76" s="11" t="s">
        <v>154</v>
      </c>
      <c r="C76" s="5">
        <v>71</v>
      </c>
      <c r="D76" s="25">
        <v>1.4986280733025255</v>
      </c>
      <c r="E76" s="25">
        <v>12.406923136743467</v>
      </c>
      <c r="F76" s="25">
        <v>2.8699715025936685</v>
      </c>
      <c r="G76" s="25">
        <v>1.1093648190283103</v>
      </c>
      <c r="H76" s="25">
        <v>23.883461720066183</v>
      </c>
      <c r="I76" s="25">
        <v>0.59580127768691005</v>
      </c>
      <c r="J76" s="25">
        <v>8.2115958433375172E-2</v>
      </c>
      <c r="K76" s="25">
        <v>70.066051385824508</v>
      </c>
      <c r="L76" s="25">
        <v>4.4852842431006561</v>
      </c>
      <c r="M76" s="25">
        <v>109.4629225999212</v>
      </c>
      <c r="N76" s="25">
        <v>138.17899326163968</v>
      </c>
      <c r="O76" s="25">
        <v>6.282718772982836</v>
      </c>
      <c r="P76" s="25">
        <v>3.1594771411283071</v>
      </c>
      <c r="Q76" s="25">
        <v>10.927452562690849</v>
      </c>
      <c r="R76" s="25">
        <v>23.196386722881908</v>
      </c>
      <c r="S76" s="25">
        <v>1.3517147463670134</v>
      </c>
      <c r="T76" s="25">
        <v>15.95481681098444</v>
      </c>
      <c r="U76" s="25">
        <v>1.7050305166385509</v>
      </c>
      <c r="V76" s="25">
        <v>7.7296033229704495</v>
      </c>
      <c r="W76" s="25">
        <v>0.19822743410288279</v>
      </c>
      <c r="X76" s="25">
        <v>1.2666070419797221E-3</v>
      </c>
      <c r="Y76" s="25">
        <v>3.4283167180381482</v>
      </c>
      <c r="Z76" s="25">
        <v>4.2293577832673712</v>
      </c>
      <c r="AA76" s="25">
        <v>15.243865865442542</v>
      </c>
      <c r="AB76" s="25">
        <v>37.010433202345496</v>
      </c>
      <c r="AC76" s="25">
        <v>58.322253648757147</v>
      </c>
      <c r="AD76" s="25">
        <v>16.681252259739647</v>
      </c>
      <c r="AE76" s="25">
        <v>7.9338672862677893</v>
      </c>
      <c r="AF76" s="25">
        <v>7.8320548728184445</v>
      </c>
      <c r="AG76" s="25">
        <v>0.82339853409914499</v>
      </c>
      <c r="AH76" s="25">
        <v>15.400912749045977</v>
      </c>
      <c r="AI76" s="25">
        <v>39.890254566362692</v>
      </c>
      <c r="AJ76" s="25">
        <v>18.780009081193146</v>
      </c>
      <c r="AK76" s="25">
        <v>13.623331972886721</v>
      </c>
      <c r="AL76" s="25">
        <v>126.17215309719087</v>
      </c>
      <c r="AM76" s="25">
        <v>5.2672131904894677</v>
      </c>
      <c r="AN76" s="25">
        <v>7.3457507494033916</v>
      </c>
      <c r="AO76" s="25">
        <v>12.668718308606875</v>
      </c>
      <c r="AP76" s="25">
        <v>4.4806153401284243</v>
      </c>
      <c r="AQ76" s="25">
        <v>77.489366631310631</v>
      </c>
      <c r="AR76" s="25">
        <v>12.657958437157586</v>
      </c>
      <c r="AS76" s="25">
        <v>9.0689548630031123</v>
      </c>
      <c r="AT76" s="25">
        <v>5.2219094700774402</v>
      </c>
      <c r="AU76" s="25">
        <v>6.3468417198520486</v>
      </c>
      <c r="AV76" s="25">
        <v>42.925069779165767</v>
      </c>
      <c r="AW76" s="25">
        <v>78.336398986871984</v>
      </c>
      <c r="AX76" s="25">
        <v>575.57784742746389</v>
      </c>
      <c r="AY76" s="40">
        <v>23.265513951823984</v>
      </c>
      <c r="AZ76" s="25">
        <v>1.3569338822012436</v>
      </c>
      <c r="BA76" s="25">
        <v>5.5426628233724387</v>
      </c>
      <c r="BB76" s="25">
        <v>39.932233379389444</v>
      </c>
      <c r="BC76" s="25">
        <v>23.825612703594274</v>
      </c>
      <c r="BD76" s="25">
        <v>32.016448313920861</v>
      </c>
      <c r="BE76" s="25">
        <v>18.985733075376832</v>
      </c>
      <c r="BF76" s="25">
        <v>1904.5501653147101</v>
      </c>
      <c r="BG76" s="25">
        <v>351.93897884104206</v>
      </c>
      <c r="BH76" s="25">
        <v>60.989368197077944</v>
      </c>
      <c r="BI76" s="25">
        <v>270.17862508813107</v>
      </c>
      <c r="BJ76" s="25">
        <v>28.419924719166982</v>
      </c>
      <c r="BK76" s="25">
        <v>130.3067149424395</v>
      </c>
      <c r="BL76" s="25">
        <v>12.331077928735786</v>
      </c>
      <c r="BM76" s="25">
        <v>121.94242880674938</v>
      </c>
      <c r="BN76" s="25">
        <v>30.254224007791166</v>
      </c>
      <c r="BO76" s="25">
        <v>69.633123723185719</v>
      </c>
      <c r="BP76" s="25">
        <v>5.5756073007752693</v>
      </c>
      <c r="BQ76" s="25">
        <v>680.87192217199959</v>
      </c>
      <c r="BR76" s="25">
        <v>78.20610344147282</v>
      </c>
      <c r="BS76" s="25">
        <v>82.146169919848063</v>
      </c>
      <c r="BT76" s="25">
        <v>75.687248092099068</v>
      </c>
      <c r="BU76" s="25">
        <v>5.3434921323855962</v>
      </c>
      <c r="BV76" s="25">
        <v>675.20568767927989</v>
      </c>
      <c r="BW76" s="25">
        <v>957.77179193384268</v>
      </c>
      <c r="BX76" s="25">
        <v>0</v>
      </c>
      <c r="BY76" s="25">
        <v>7324.1821115275288</v>
      </c>
      <c r="BZ76" s="25">
        <v>2633.5832627942486</v>
      </c>
      <c r="CA76" s="25">
        <v>0.11658774009854199</v>
      </c>
      <c r="CB76" s="25">
        <v>8348.6426618049227</v>
      </c>
      <c r="CC76" s="25">
        <v>22056.495746863191</v>
      </c>
      <c r="CD76" s="25">
        <v>2.9796292765998467</v>
      </c>
      <c r="CE76" s="25">
        <v>0</v>
      </c>
      <c r="CF76" s="25">
        <v>33041.817888479069</v>
      </c>
      <c r="CG76" s="25">
        <v>40366</v>
      </c>
      <c r="CH76"/>
      <c r="CI76">
        <f t="shared" si="1"/>
        <v>0.81855566289647397</v>
      </c>
      <c r="CJ76"/>
      <c r="CK76"/>
      <c r="CL76"/>
      <c r="CM76"/>
      <c r="CN76"/>
      <c r="CO76"/>
      <c r="CP76"/>
      <c r="CQ76"/>
      <c r="CR76"/>
      <c r="CS76"/>
      <c r="CT76"/>
      <c r="CU76"/>
    </row>
    <row r="77" spans="1:99" s="5" customFormat="1" x14ac:dyDescent="0.3">
      <c r="A77" s="35" t="s">
        <v>81</v>
      </c>
      <c r="B77" s="11" t="s">
        <v>155</v>
      </c>
      <c r="C77" s="5">
        <v>72</v>
      </c>
      <c r="D77" s="25">
        <v>148.27950520159411</v>
      </c>
      <c r="E77" s="25">
        <v>40.271914537994917</v>
      </c>
      <c r="F77" s="25">
        <v>24.758478477861253</v>
      </c>
      <c r="G77" s="25">
        <v>42.394301846332148</v>
      </c>
      <c r="H77" s="25">
        <v>950.08717775764546</v>
      </c>
      <c r="I77" s="25">
        <v>353.79076463943113</v>
      </c>
      <c r="J77" s="25">
        <v>55.93996081256256</v>
      </c>
      <c r="K77" s="25">
        <v>261.50324566597476</v>
      </c>
      <c r="L77" s="25">
        <v>69.745367284537437</v>
      </c>
      <c r="M77" s="25">
        <v>276.75602190465725</v>
      </c>
      <c r="N77" s="25">
        <v>144.34792700589529</v>
      </c>
      <c r="O77" s="25">
        <v>17.244388152548758</v>
      </c>
      <c r="P77" s="25">
        <v>66.837152902180904</v>
      </c>
      <c r="Q77" s="25">
        <v>111.64269619022069</v>
      </c>
      <c r="R77" s="25">
        <v>65.177523615905727</v>
      </c>
      <c r="S77" s="25">
        <v>85.35781524069165</v>
      </c>
      <c r="T77" s="25">
        <v>164.59709558961441</v>
      </c>
      <c r="U77" s="25">
        <v>47.971054932836935</v>
      </c>
      <c r="V77" s="25">
        <v>166.01956736593948</v>
      </c>
      <c r="W77" s="25">
        <v>4.2576095401974481</v>
      </c>
      <c r="X77" s="25">
        <v>2.7204701760984502E-2</v>
      </c>
      <c r="Y77" s="25">
        <v>64.473650177282593</v>
      </c>
      <c r="Z77" s="25">
        <v>135.03627652301645</v>
      </c>
      <c r="AA77" s="25">
        <v>60.718371728066813</v>
      </c>
      <c r="AB77" s="25">
        <v>60.579475023827683</v>
      </c>
      <c r="AC77" s="25">
        <v>130.43822493114192</v>
      </c>
      <c r="AD77" s="25">
        <v>212.12917441869078</v>
      </c>
      <c r="AE77" s="25">
        <v>175.31938299820357</v>
      </c>
      <c r="AF77" s="25">
        <v>162.94022516942098</v>
      </c>
      <c r="AG77" s="25">
        <v>65.686681590896782</v>
      </c>
      <c r="AH77" s="25">
        <v>267.83666984174027</v>
      </c>
      <c r="AI77" s="25">
        <v>291.8352624901928</v>
      </c>
      <c r="AJ77" s="25">
        <v>157.88351006524681</v>
      </c>
      <c r="AK77" s="25">
        <v>236.91165976659266</v>
      </c>
      <c r="AL77" s="25">
        <v>292.37981343585159</v>
      </c>
      <c r="AM77" s="25">
        <v>182.28603285306875</v>
      </c>
      <c r="AN77" s="25">
        <v>67.060545629051006</v>
      </c>
      <c r="AO77" s="25">
        <v>130.24699471927141</v>
      </c>
      <c r="AP77" s="25">
        <v>6.480592988657464</v>
      </c>
      <c r="AQ77" s="25">
        <v>528.00611272798199</v>
      </c>
      <c r="AR77" s="25">
        <v>86.25027819978834</v>
      </c>
      <c r="AS77" s="25">
        <v>61.795105727254168</v>
      </c>
      <c r="AT77" s="25">
        <v>35.581657718685506</v>
      </c>
      <c r="AU77" s="25">
        <v>1.8169400849418156</v>
      </c>
      <c r="AV77" s="25">
        <v>148.55346211832205</v>
      </c>
      <c r="AW77" s="25">
        <v>87.560218167820551</v>
      </c>
      <c r="AX77" s="25">
        <v>3369.3563922196859</v>
      </c>
      <c r="AY77" s="40">
        <v>480.05488665553509</v>
      </c>
      <c r="AZ77" s="25">
        <v>5.5978326635053959</v>
      </c>
      <c r="BA77" s="25">
        <v>9.1837366115049619</v>
      </c>
      <c r="BB77" s="25">
        <v>1341.3589095970306</v>
      </c>
      <c r="BC77" s="25">
        <v>175.31864687996406</v>
      </c>
      <c r="BD77" s="25">
        <v>228.01581578550022</v>
      </c>
      <c r="BE77" s="25">
        <v>34.680168524134501</v>
      </c>
      <c r="BF77" s="25">
        <v>177.14241759216932</v>
      </c>
      <c r="BG77" s="25">
        <v>3219.3982532858768</v>
      </c>
      <c r="BH77" s="25">
        <v>1425.747618554632</v>
      </c>
      <c r="BI77" s="25">
        <v>2146.9400580348452</v>
      </c>
      <c r="BJ77" s="25">
        <v>125.60752076692776</v>
      </c>
      <c r="BK77" s="25">
        <v>517.06424042769754</v>
      </c>
      <c r="BL77" s="25">
        <v>69.449786781805045</v>
      </c>
      <c r="BM77" s="25">
        <v>576.89632965365729</v>
      </c>
      <c r="BN77" s="25">
        <v>155.80906917715848</v>
      </c>
      <c r="BO77" s="25">
        <v>1371.5564717872458</v>
      </c>
      <c r="BP77" s="25">
        <v>40.389507983655974</v>
      </c>
      <c r="BQ77" s="25">
        <v>703.5707730035349</v>
      </c>
      <c r="BR77" s="25">
        <v>115.54973983387723</v>
      </c>
      <c r="BS77" s="25">
        <v>552.44266451575413</v>
      </c>
      <c r="BT77" s="25">
        <v>1472.1357056679005</v>
      </c>
      <c r="BU77" s="25">
        <v>2832.4991176373801</v>
      </c>
      <c r="BV77" s="25">
        <v>27.255310713115467</v>
      </c>
      <c r="BW77" s="25">
        <v>625.18009024417051</v>
      </c>
      <c r="BX77" s="25">
        <v>0</v>
      </c>
      <c r="BY77" s="25">
        <v>28545.014157059668</v>
      </c>
      <c r="BZ77" s="25">
        <v>57.039317088075066</v>
      </c>
      <c r="CA77" s="25">
        <v>1.0854720629864254</v>
      </c>
      <c r="CB77" s="25">
        <v>47319</v>
      </c>
      <c r="CC77" s="25">
        <v>95909.47268428946</v>
      </c>
      <c r="CD77" s="25">
        <v>87.355970819926981</v>
      </c>
      <c r="CE77" s="25">
        <v>3.2398694523191274E-2</v>
      </c>
      <c r="CF77" s="25">
        <v>143373.98584295495</v>
      </c>
      <c r="CG77" s="25">
        <v>171919</v>
      </c>
      <c r="CH77"/>
      <c r="CI77">
        <f t="shared" si="1"/>
        <v>0.83396242325138559</v>
      </c>
      <c r="CJ77"/>
      <c r="CK77"/>
      <c r="CL77"/>
      <c r="CM77"/>
      <c r="CN77"/>
      <c r="CO77"/>
      <c r="CP77"/>
      <c r="CQ77"/>
      <c r="CR77"/>
      <c r="CS77"/>
      <c r="CT77"/>
      <c r="CU77"/>
    </row>
    <row r="78" spans="1:99" s="5" customFormat="1" x14ac:dyDescent="0.3">
      <c r="A78" s="35" t="s">
        <v>82</v>
      </c>
      <c r="B78" s="11" t="s">
        <v>156</v>
      </c>
      <c r="C78" s="5">
        <v>73</v>
      </c>
      <c r="D78" s="25">
        <v>0</v>
      </c>
      <c r="E78" s="25">
        <v>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0</v>
      </c>
      <c r="AH78" s="25">
        <v>0</v>
      </c>
      <c r="AI78" s="25">
        <v>0</v>
      </c>
      <c r="AJ78" s="25">
        <v>0</v>
      </c>
      <c r="AK78" s="25">
        <v>0</v>
      </c>
      <c r="AL78" s="25">
        <v>0</v>
      </c>
      <c r="AM78" s="25">
        <v>0</v>
      </c>
      <c r="AN78" s="25">
        <v>0</v>
      </c>
      <c r="AO78" s="25">
        <v>0</v>
      </c>
      <c r="AP78" s="25">
        <v>0</v>
      </c>
      <c r="AQ78" s="25">
        <v>0</v>
      </c>
      <c r="AR78" s="25">
        <v>0</v>
      </c>
      <c r="AS78" s="25">
        <v>0</v>
      </c>
      <c r="AT78" s="25">
        <v>0</v>
      </c>
      <c r="AU78" s="25">
        <v>0</v>
      </c>
      <c r="AV78" s="25">
        <v>0</v>
      </c>
      <c r="AW78" s="25">
        <v>0</v>
      </c>
      <c r="AX78" s="25">
        <v>0</v>
      </c>
      <c r="AY78" s="40">
        <v>0</v>
      </c>
      <c r="AZ78" s="25">
        <v>0</v>
      </c>
      <c r="BA78" s="25">
        <v>0</v>
      </c>
      <c r="BB78" s="25">
        <v>0</v>
      </c>
      <c r="BC78" s="25">
        <v>0</v>
      </c>
      <c r="BD78" s="25">
        <v>0</v>
      </c>
      <c r="BE78" s="25">
        <v>0</v>
      </c>
      <c r="BF78" s="25">
        <v>0</v>
      </c>
      <c r="BG78" s="25">
        <v>0</v>
      </c>
      <c r="BH78" s="25">
        <v>0</v>
      </c>
      <c r="BI78" s="25">
        <v>0</v>
      </c>
      <c r="BJ78" s="25">
        <v>0</v>
      </c>
      <c r="BK78" s="25">
        <v>0</v>
      </c>
      <c r="BL78" s="25">
        <v>0</v>
      </c>
      <c r="BM78" s="25">
        <v>0</v>
      </c>
      <c r="BN78" s="25">
        <v>0</v>
      </c>
      <c r="BO78" s="25">
        <v>0</v>
      </c>
      <c r="BP78" s="25">
        <v>0</v>
      </c>
      <c r="BQ78" s="25">
        <v>0</v>
      </c>
      <c r="BR78" s="25">
        <v>0</v>
      </c>
      <c r="BS78" s="25">
        <v>0</v>
      </c>
      <c r="BT78" s="25">
        <v>0</v>
      </c>
      <c r="BU78" s="25">
        <v>0</v>
      </c>
      <c r="BV78" s="25">
        <v>0</v>
      </c>
      <c r="BW78" s="25">
        <v>0</v>
      </c>
      <c r="BX78" s="25">
        <v>0</v>
      </c>
      <c r="BY78" s="25">
        <v>0</v>
      </c>
      <c r="BZ78" s="25">
        <v>0</v>
      </c>
      <c r="CA78" s="25">
        <v>0</v>
      </c>
      <c r="CB78" s="25">
        <v>0</v>
      </c>
      <c r="CC78" s="25">
        <v>74451</v>
      </c>
      <c r="CD78" s="25">
        <v>0</v>
      </c>
      <c r="CE78" s="25">
        <v>0</v>
      </c>
      <c r="CF78" s="25">
        <v>74451</v>
      </c>
      <c r="CG78" s="25">
        <v>74451</v>
      </c>
      <c r="CH78"/>
      <c r="CI78">
        <f t="shared" si="1"/>
        <v>1</v>
      </c>
      <c r="CJ78"/>
      <c r="CK78"/>
      <c r="CL78"/>
      <c r="CM78"/>
      <c r="CN78"/>
      <c r="CO78"/>
      <c r="CP78"/>
      <c r="CQ78"/>
      <c r="CR78"/>
      <c r="CS78"/>
      <c r="CT78"/>
      <c r="CU78"/>
    </row>
    <row r="79" spans="1:99" s="5" customFormat="1" x14ac:dyDescent="0.3">
      <c r="A79" s="15"/>
      <c r="B79" s="68" t="s">
        <v>166</v>
      </c>
      <c r="C79" s="5">
        <v>74</v>
      </c>
      <c r="D79" s="25">
        <v>149151.39243390344</v>
      </c>
      <c r="E79" s="25">
        <v>68079.253921847878</v>
      </c>
      <c r="F79" s="25">
        <v>8177.4548278247212</v>
      </c>
      <c r="G79" s="25">
        <v>9360.8652473349102</v>
      </c>
      <c r="H79" s="25">
        <v>86780.302243800921</v>
      </c>
      <c r="I79" s="25">
        <v>38249.787319055242</v>
      </c>
      <c r="J79" s="25">
        <v>8861.9730799903318</v>
      </c>
      <c r="K79" s="25">
        <v>226295.97479233512</v>
      </c>
      <c r="L79" s="25">
        <v>40680.401572386683</v>
      </c>
      <c r="M79" s="25">
        <v>229159.40212991342</v>
      </c>
      <c r="N79" s="25">
        <v>47291.888992867891</v>
      </c>
      <c r="O79" s="25">
        <v>10510.046244887526</v>
      </c>
      <c r="P79" s="25">
        <v>30369.290833344239</v>
      </c>
      <c r="Q79" s="25">
        <v>29704.03403518891</v>
      </c>
      <c r="R79" s="25">
        <v>22278.689184163421</v>
      </c>
      <c r="S79" s="25">
        <v>17495.768707169991</v>
      </c>
      <c r="T79" s="25">
        <v>62825.276373185865</v>
      </c>
      <c r="U79" s="25">
        <v>8728.2250240970461</v>
      </c>
      <c r="V79" s="25">
        <v>287013.66831324255</v>
      </c>
      <c r="W79" s="25">
        <v>6884.7092320229804</v>
      </c>
      <c r="X79" s="25">
        <v>3133.1478903090397</v>
      </c>
      <c r="Y79" s="25">
        <v>39806.994880170685</v>
      </c>
      <c r="Z79" s="25">
        <v>93685.489648632647</v>
      </c>
      <c r="AA79" s="25">
        <v>50165.759189674718</v>
      </c>
      <c r="AB79" s="25">
        <v>29616.10945770859</v>
      </c>
      <c r="AC79" s="25">
        <v>32534.934913433295</v>
      </c>
      <c r="AD79" s="25">
        <v>67095.931360778908</v>
      </c>
      <c r="AE79" s="25">
        <v>47995.653379399024</v>
      </c>
      <c r="AF79" s="25">
        <v>90011.633124967557</v>
      </c>
      <c r="AG79" s="25">
        <v>42241.063170239649</v>
      </c>
      <c r="AH79" s="25">
        <v>55292.639063284871</v>
      </c>
      <c r="AI79" s="25">
        <v>48924.358504162432</v>
      </c>
      <c r="AJ79" s="25">
        <v>43882.671757254262</v>
      </c>
      <c r="AK79" s="25">
        <v>69100.828702469065</v>
      </c>
      <c r="AL79" s="25">
        <v>125399.05268026798</v>
      </c>
      <c r="AM79" s="25">
        <v>57957.342348891398</v>
      </c>
      <c r="AN79" s="25">
        <v>14198.781904952179</v>
      </c>
      <c r="AO79" s="25">
        <v>34015.197452094872</v>
      </c>
      <c r="AP79" s="25">
        <v>34232.728710189665</v>
      </c>
      <c r="AQ79" s="25">
        <v>127681.23549929622</v>
      </c>
      <c r="AR79" s="25">
        <v>18161.429306020498</v>
      </c>
      <c r="AS79" s="25">
        <v>4642.9823184020252</v>
      </c>
      <c r="AT79" s="25">
        <v>13663.351246607119</v>
      </c>
      <c r="AU79" s="25">
        <v>25919.11705127099</v>
      </c>
      <c r="AV79" s="25">
        <v>258586.87463215971</v>
      </c>
      <c r="AW79" s="25">
        <v>61466.170254706725</v>
      </c>
      <c r="AX79" s="25">
        <v>379634.89856261347</v>
      </c>
      <c r="AY79" s="41">
        <f>SUM(AY6:AY78)</f>
        <v>203094.50775761899</v>
      </c>
      <c r="AZ79" s="25">
        <v>10000.749043767823</v>
      </c>
      <c r="BA79" s="25">
        <v>22005.893788772402</v>
      </c>
      <c r="BB79" s="25">
        <v>50075.885807417289</v>
      </c>
      <c r="BC79" s="25">
        <v>11174.565383518273</v>
      </c>
      <c r="BD79" s="25">
        <v>120776.23334276465</v>
      </c>
      <c r="BE79" s="25">
        <v>7719.1866007156314</v>
      </c>
      <c r="BF79" s="25">
        <v>22366.726888656551</v>
      </c>
      <c r="BG79" s="25">
        <v>80996.903652414068</v>
      </c>
      <c r="BH79" s="25">
        <v>45349.945690874993</v>
      </c>
      <c r="BI79" s="25">
        <v>196028.96518732898</v>
      </c>
      <c r="BJ79" s="25">
        <v>44529.804748100192</v>
      </c>
      <c r="BK79" s="25">
        <v>62859.56686188122</v>
      </c>
      <c r="BL79" s="25">
        <v>18857.746897610254</v>
      </c>
      <c r="BM79" s="25">
        <v>59576.85817212984</v>
      </c>
      <c r="BN79" s="25">
        <v>14344.205066557382</v>
      </c>
      <c r="BO79" s="25">
        <v>71519.590746992049</v>
      </c>
      <c r="BP79" s="25">
        <v>6663.1352010592364</v>
      </c>
      <c r="BQ79" s="25">
        <v>207583.76384339409</v>
      </c>
      <c r="BR79" s="25">
        <v>47100.064878214333</v>
      </c>
      <c r="BS79" s="25">
        <v>34108.375419278862</v>
      </c>
      <c r="BT79" s="25">
        <v>55184.157589632639</v>
      </c>
      <c r="BU79" s="25">
        <v>109176.75066206328</v>
      </c>
      <c r="BV79" s="25">
        <v>14856.012504412529</v>
      </c>
      <c r="BW79" s="25">
        <v>67590.783769702524</v>
      </c>
      <c r="BX79" s="25">
        <v>0</v>
      </c>
      <c r="BY79" s="25">
        <v>4840485.1610233989</v>
      </c>
      <c r="BZ79" s="25">
        <v>1025056</v>
      </c>
      <c r="CA79" s="25">
        <v>1393480</v>
      </c>
      <c r="CB79" s="25">
        <v>102253</v>
      </c>
      <c r="CC79" s="25">
        <v>3769922.0104907085</v>
      </c>
      <c r="CD79" s="25">
        <v>878944.82848589332</v>
      </c>
      <c r="CE79" s="25">
        <v>-131</v>
      </c>
      <c r="CF79" s="25">
        <v>7169524.8389766021</v>
      </c>
      <c r="CG79" s="25">
        <v>12010010</v>
      </c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</row>
    <row r="80" spans="1:99" s="5" customFormat="1" x14ac:dyDescent="0.3">
      <c r="A80" s="17"/>
      <c r="B80" s="14" t="s">
        <v>167</v>
      </c>
      <c r="C80" s="5">
        <v>75</v>
      </c>
      <c r="D80" s="25">
        <v>24183.128957308974</v>
      </c>
      <c r="E80" s="25">
        <v>5755.6608817485503</v>
      </c>
      <c r="F80" s="25">
        <v>537.51611682781652</v>
      </c>
      <c r="G80" s="25">
        <v>1556.2577604248361</v>
      </c>
      <c r="H80" s="25">
        <v>27867.644331880121</v>
      </c>
      <c r="I80" s="25">
        <v>5714.0844499970544</v>
      </c>
      <c r="J80" s="25">
        <v>1597.9782056476281</v>
      </c>
      <c r="K80" s="25">
        <v>6328.4894005141023</v>
      </c>
      <c r="L80" s="25">
        <v>797.17684535458557</v>
      </c>
      <c r="M80" s="25">
        <v>16720.175237566211</v>
      </c>
      <c r="N80" s="25">
        <v>3497.4522250180617</v>
      </c>
      <c r="O80" s="25">
        <v>722.70448176851687</v>
      </c>
      <c r="P80" s="25">
        <v>5295.7759871669186</v>
      </c>
      <c r="Q80" s="25">
        <v>4427.6390616554936</v>
      </c>
      <c r="R80" s="25">
        <v>2917.4641200425253</v>
      </c>
      <c r="S80" s="25">
        <v>1608.708930310615</v>
      </c>
      <c r="T80" s="25">
        <v>9260.3346742790345</v>
      </c>
      <c r="U80" s="25">
        <v>1398.3211260194951</v>
      </c>
      <c r="V80" s="25">
        <v>55572.301245236151</v>
      </c>
      <c r="W80" s="25">
        <v>1426.2976177079747</v>
      </c>
      <c r="X80" s="25">
        <v>53.305845374857689</v>
      </c>
      <c r="Y80" s="25">
        <v>1431.7306744794503</v>
      </c>
      <c r="Z80" s="25">
        <v>48562.221354953719</v>
      </c>
      <c r="AA80" s="25">
        <v>17822.444092411115</v>
      </c>
      <c r="AB80" s="25">
        <v>6237.9025794934305</v>
      </c>
      <c r="AC80" s="25">
        <v>5422.9334511936368</v>
      </c>
      <c r="AD80" s="25">
        <v>17408.562619639197</v>
      </c>
      <c r="AE80" s="25">
        <v>6069.3113435136138</v>
      </c>
      <c r="AF80" s="25">
        <v>19877.811565060154</v>
      </c>
      <c r="AG80" s="25">
        <v>11436.201379866139</v>
      </c>
      <c r="AH80" s="25">
        <v>8465.179163749197</v>
      </c>
      <c r="AI80" s="25">
        <v>30697.929689427885</v>
      </c>
      <c r="AJ80" s="25">
        <v>11191.577045715849</v>
      </c>
      <c r="AK80" s="25">
        <v>15905.432507461668</v>
      </c>
      <c r="AL80" s="25">
        <v>26596.213509634075</v>
      </c>
      <c r="AM80" s="25">
        <v>12200.314900843905</v>
      </c>
      <c r="AN80" s="25">
        <v>14472.28762622003</v>
      </c>
      <c r="AO80" s="25">
        <v>4902.2704961912932</v>
      </c>
      <c r="AP80" s="25">
        <v>13043.474695051191</v>
      </c>
      <c r="AQ80" s="25">
        <v>9178.8369395382942</v>
      </c>
      <c r="AR80" s="25">
        <v>1499.3713529099384</v>
      </c>
      <c r="AS80" s="25">
        <v>1074.2436222972451</v>
      </c>
      <c r="AT80" s="25">
        <v>1248.4881279562871</v>
      </c>
      <c r="AU80" s="25">
        <v>3312.4579052546642</v>
      </c>
      <c r="AV80" s="25">
        <v>25282.900434561092</v>
      </c>
      <c r="AW80" s="25">
        <v>9933.6931333181528</v>
      </c>
      <c r="AX80" s="25">
        <v>25771.750262729835</v>
      </c>
      <c r="AY80" s="40">
        <v>14216.849515117508</v>
      </c>
      <c r="AZ80" s="25">
        <v>1813.1869292364881</v>
      </c>
      <c r="BA80" s="25">
        <v>6864.6107607456734</v>
      </c>
      <c r="BB80" s="25">
        <v>5592.070327523812</v>
      </c>
      <c r="BC80" s="25">
        <v>580.00059695518223</v>
      </c>
      <c r="BD80" s="25">
        <v>7774.4096318310658</v>
      </c>
      <c r="BE80" s="25">
        <v>867.59186823585367</v>
      </c>
      <c r="BF80" s="25">
        <v>2456.9545598247637</v>
      </c>
      <c r="BG80" s="25">
        <v>6453.1872524104938</v>
      </c>
      <c r="BH80" s="25">
        <v>7361.4426152288188</v>
      </c>
      <c r="BI80" s="25">
        <v>10937.47166736594</v>
      </c>
      <c r="BJ80" s="25">
        <v>2406.1137744489251</v>
      </c>
      <c r="BK80" s="25">
        <v>3950.1053770394492</v>
      </c>
      <c r="BL80" s="25">
        <v>3129.4021411479448</v>
      </c>
      <c r="BM80" s="25">
        <v>2737.6558561697948</v>
      </c>
      <c r="BN80" s="25">
        <v>2492.839116781653</v>
      </c>
      <c r="BO80" s="25">
        <v>5948.6570922603205</v>
      </c>
      <c r="BP80" s="25">
        <v>637.79733272035207</v>
      </c>
      <c r="BQ80" s="25">
        <v>14920.461211549922</v>
      </c>
      <c r="BR80" s="25">
        <v>4536.5689094501568</v>
      </c>
      <c r="BS80" s="25">
        <v>3659.9193238486714</v>
      </c>
      <c r="BT80" s="25">
        <v>7433.0689327803902</v>
      </c>
      <c r="BU80" s="25">
        <v>11490.934490834492</v>
      </c>
      <c r="BV80" s="25">
        <v>1279.3586623210838</v>
      </c>
      <c r="BW80" s="25">
        <v>10473.724755018549</v>
      </c>
      <c r="BX80" s="25">
        <v>0</v>
      </c>
      <c r="BY80" s="25">
        <v>666298.34067616821</v>
      </c>
      <c r="BZ80" s="25">
        <v>0</v>
      </c>
      <c r="CA80" s="25">
        <v>0</v>
      </c>
      <c r="CB80" s="25">
        <v>0</v>
      </c>
      <c r="CC80" s="25">
        <v>223389.88626813609</v>
      </c>
      <c r="CD80" s="25">
        <v>107785.77305569606</v>
      </c>
      <c r="CE80" s="25">
        <v>0</v>
      </c>
      <c r="CF80" s="25">
        <v>331175.65932383202</v>
      </c>
      <c r="CG80" s="25">
        <v>997474</v>
      </c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</row>
    <row r="81" spans="1:99" s="5" customFormat="1" x14ac:dyDescent="0.3">
      <c r="A81" s="28"/>
      <c r="B81" s="14" t="s">
        <v>168</v>
      </c>
      <c r="C81" s="5">
        <v>76</v>
      </c>
      <c r="D81" s="25">
        <v>712.48471455829156</v>
      </c>
      <c r="E81" s="25">
        <v>199.57590484128707</v>
      </c>
      <c r="F81" s="25">
        <v>13.047764298038301</v>
      </c>
      <c r="G81" s="25">
        <v>76.297227297775862</v>
      </c>
      <c r="H81" s="25">
        <v>466.80115394256529</v>
      </c>
      <c r="I81" s="25">
        <v>239.77883806122986</v>
      </c>
      <c r="J81" s="25">
        <v>45.092210805487653</v>
      </c>
      <c r="K81" s="25">
        <v>238.16233971447025</v>
      </c>
      <c r="L81" s="25">
        <v>10.760872828330948</v>
      </c>
      <c r="M81" s="25">
        <v>528.53164910787507</v>
      </c>
      <c r="N81" s="25">
        <v>179.89357830178579</v>
      </c>
      <c r="O81" s="25">
        <v>15.484261636675772</v>
      </c>
      <c r="P81" s="25">
        <v>582.11498789306268</v>
      </c>
      <c r="Q81" s="25">
        <v>903.72469740271356</v>
      </c>
      <c r="R81" s="25">
        <v>373.57056622994691</v>
      </c>
      <c r="S81" s="25">
        <v>89.304293710036006</v>
      </c>
      <c r="T81" s="25">
        <v>245.81928936176669</v>
      </c>
      <c r="U81" s="25">
        <v>54.472306746504721</v>
      </c>
      <c r="V81" s="25">
        <v>155.63268747752372</v>
      </c>
      <c r="W81" s="25">
        <v>3.9944095603870751</v>
      </c>
      <c r="X81" s="25">
        <v>0.1492853775721876</v>
      </c>
      <c r="Y81" s="25">
        <v>46.29851492739153</v>
      </c>
      <c r="Z81" s="25">
        <v>853.5344031395806</v>
      </c>
      <c r="AA81" s="25">
        <v>659.6453115281098</v>
      </c>
      <c r="AB81" s="25">
        <v>267.98502731941846</v>
      </c>
      <c r="AC81" s="25">
        <v>175.63798731664562</v>
      </c>
      <c r="AD81" s="25">
        <v>1221.5684743307922</v>
      </c>
      <c r="AE81" s="25">
        <v>203.34953393319287</v>
      </c>
      <c r="AF81" s="25">
        <v>250.88856122318941</v>
      </c>
      <c r="AG81" s="25">
        <v>153.88986367952171</v>
      </c>
      <c r="AH81" s="25">
        <v>467.94077594491608</v>
      </c>
      <c r="AI81" s="25">
        <v>1037.8874781903801</v>
      </c>
      <c r="AJ81" s="25">
        <v>727.82477676983399</v>
      </c>
      <c r="AK81" s="25">
        <v>1148.6944417645036</v>
      </c>
      <c r="AL81" s="25">
        <v>2358.4850856584794</v>
      </c>
      <c r="AM81" s="25">
        <v>941.11737770458058</v>
      </c>
      <c r="AN81" s="25">
        <v>205.25745701897426</v>
      </c>
      <c r="AO81" s="25">
        <v>337.80723196335208</v>
      </c>
      <c r="AP81" s="25">
        <v>775.3884323869521</v>
      </c>
      <c r="AQ81" s="25">
        <v>314.97886922865513</v>
      </c>
      <c r="AR81" s="25">
        <v>51.452084442102198</v>
      </c>
      <c r="AS81" s="25">
        <v>36.863498464577901</v>
      </c>
      <c r="AT81" s="25">
        <v>42.842833071272821</v>
      </c>
      <c r="AU81" s="25">
        <v>59.210496606621973</v>
      </c>
      <c r="AV81" s="25">
        <v>1773.4439564118695</v>
      </c>
      <c r="AW81" s="25">
        <v>813.62324261955007</v>
      </c>
      <c r="AX81" s="25">
        <v>365.11869371822985</v>
      </c>
      <c r="AY81" s="40">
        <v>764.61320374122931</v>
      </c>
      <c r="AZ81" s="25">
        <v>11.325219967355727</v>
      </c>
      <c r="BA81" s="25">
        <v>28.37128141098562</v>
      </c>
      <c r="BB81" s="25">
        <v>40.5027980577878</v>
      </c>
      <c r="BC81" s="25">
        <v>23.078652578953154</v>
      </c>
      <c r="BD81" s="25">
        <v>276.97929940117507</v>
      </c>
      <c r="BE81" s="25">
        <v>6.1069490866026834</v>
      </c>
      <c r="BF81" s="25">
        <v>23.590255802890535</v>
      </c>
      <c r="BG81" s="25">
        <v>46.680084020494526</v>
      </c>
      <c r="BH81" s="25">
        <v>85.295710611033357</v>
      </c>
      <c r="BI81" s="25">
        <v>46.890030884403693</v>
      </c>
      <c r="BJ81" s="25">
        <v>70.859998289842096</v>
      </c>
      <c r="BK81" s="25">
        <v>71.367214714365161</v>
      </c>
      <c r="BL81" s="25">
        <v>85.102129907451882</v>
      </c>
      <c r="BM81" s="25">
        <v>31.27449894954712</v>
      </c>
      <c r="BN81" s="25">
        <v>44.544241752142717</v>
      </c>
      <c r="BO81" s="25">
        <v>239.64416571188517</v>
      </c>
      <c r="BP81" s="25">
        <v>14.531848877536895</v>
      </c>
      <c r="BQ81" s="25">
        <v>164.15405175720011</v>
      </c>
      <c r="BR81" s="25">
        <v>116.15243605857908</v>
      </c>
      <c r="BS81" s="25">
        <v>12.221294733991771</v>
      </c>
      <c r="BT81" s="25">
        <v>240.39342203826871</v>
      </c>
      <c r="BU81" s="25">
        <v>698.18872754468134</v>
      </c>
      <c r="BV81" s="25">
        <v>16.167584777809225</v>
      </c>
      <c r="BW81" s="25">
        <v>154.32497313920311</v>
      </c>
      <c r="BX81" s="25">
        <v>0</v>
      </c>
      <c r="BY81" s="25">
        <v>23737.78752233144</v>
      </c>
      <c r="BZ81" s="25">
        <v>0</v>
      </c>
      <c r="CA81" s="25">
        <v>0</v>
      </c>
      <c r="CB81" s="25">
        <v>0</v>
      </c>
      <c r="CC81" s="25">
        <v>11407.196211290042</v>
      </c>
      <c r="CD81" s="25">
        <v>5430.0162663785195</v>
      </c>
      <c r="CE81" s="25">
        <v>0</v>
      </c>
      <c r="CF81" s="25">
        <v>16837.21247766856</v>
      </c>
      <c r="CG81" s="25">
        <v>40575</v>
      </c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</row>
    <row r="82" spans="1:99" s="5" customFormat="1" x14ac:dyDescent="0.3">
      <c r="A82" s="28"/>
      <c r="B82" s="12" t="s">
        <v>169</v>
      </c>
      <c r="C82" s="5">
        <v>77</v>
      </c>
      <c r="D82" s="25">
        <v>8343.3247851177421</v>
      </c>
      <c r="E82" s="25">
        <v>4147.5785779479093</v>
      </c>
      <c r="F82" s="25">
        <v>444.5747995710517</v>
      </c>
      <c r="G82" s="25">
        <v>280.50113242013538</v>
      </c>
      <c r="H82" s="25">
        <v>2135.2466604983751</v>
      </c>
      <c r="I82" s="25">
        <v>953.89694752852427</v>
      </c>
      <c r="J82" s="25">
        <v>215.15107681860576</v>
      </c>
      <c r="K82" s="25">
        <v>7586.0307643154947</v>
      </c>
      <c r="L82" s="25">
        <v>306.04426679444379</v>
      </c>
      <c r="M82" s="25">
        <v>6674.5662335599945</v>
      </c>
      <c r="N82" s="25">
        <v>2477.1240274870606</v>
      </c>
      <c r="O82" s="25">
        <v>442.39621000729983</v>
      </c>
      <c r="P82" s="25">
        <v>1237.9741685947458</v>
      </c>
      <c r="Q82" s="25">
        <v>1774.1848478969957</v>
      </c>
      <c r="R82" s="25">
        <v>1798.8330459951226</v>
      </c>
      <c r="S82" s="25">
        <v>1016.1477220707337</v>
      </c>
      <c r="T82" s="25">
        <v>2030.5233441515227</v>
      </c>
      <c r="U82" s="25">
        <v>435.32752668680411</v>
      </c>
      <c r="V82" s="25">
        <v>8752.2783785208831</v>
      </c>
      <c r="W82" s="25">
        <v>178.62543259392183</v>
      </c>
      <c r="X82" s="25">
        <v>0.36781858128730416</v>
      </c>
      <c r="Y82" s="25">
        <v>628.38127884883704</v>
      </c>
      <c r="Z82" s="25">
        <v>2149.1884402579776</v>
      </c>
      <c r="AA82" s="25">
        <v>1286.9068564038732</v>
      </c>
      <c r="AB82" s="25">
        <v>1455.4290056364525</v>
      </c>
      <c r="AC82" s="25">
        <v>1781.9362084556501</v>
      </c>
      <c r="AD82" s="25">
        <v>1993.9187807125231</v>
      </c>
      <c r="AE82" s="25">
        <v>2222.7100044973436</v>
      </c>
      <c r="AF82" s="25">
        <v>1552.7651646761044</v>
      </c>
      <c r="AG82" s="25">
        <v>965.7129486848786</v>
      </c>
      <c r="AH82" s="25">
        <v>1751.6930071103322</v>
      </c>
      <c r="AI82" s="25">
        <v>2602.7609612323031</v>
      </c>
      <c r="AJ82" s="25">
        <v>1490.1682230500396</v>
      </c>
      <c r="AK82" s="25">
        <v>1879.5987247239307</v>
      </c>
      <c r="AL82" s="25">
        <v>2966.0637625793861</v>
      </c>
      <c r="AM82" s="25">
        <v>1722.880116329678</v>
      </c>
      <c r="AN82" s="25">
        <v>883.2984209706151</v>
      </c>
      <c r="AO82" s="25">
        <v>1714.3591697105196</v>
      </c>
      <c r="AP82" s="25">
        <v>1225.2545924314563</v>
      </c>
      <c r="AQ82" s="25">
        <v>12175.833465165224</v>
      </c>
      <c r="AR82" s="25">
        <v>1988.9334580977081</v>
      </c>
      <c r="AS82" s="25">
        <v>1424.9966016680364</v>
      </c>
      <c r="AT82" s="25">
        <v>1656.1339556813491</v>
      </c>
      <c r="AU82" s="25">
        <v>1108.2851827143804</v>
      </c>
      <c r="AV82" s="25">
        <v>10706.709417735583</v>
      </c>
      <c r="AW82" s="25">
        <v>1612.3979376553073</v>
      </c>
      <c r="AX82" s="25">
        <v>10468.138246874449</v>
      </c>
      <c r="AY82" s="40">
        <v>8076.63712203267</v>
      </c>
      <c r="AZ82" s="25">
        <v>111.34151620682954</v>
      </c>
      <c r="BA82" s="25">
        <v>2402.9493815019487</v>
      </c>
      <c r="BB82" s="25">
        <v>783.90607203329</v>
      </c>
      <c r="BC82" s="25">
        <v>694.50273508842668</v>
      </c>
      <c r="BD82" s="25">
        <v>10107.12002844398</v>
      </c>
      <c r="BE82" s="25">
        <v>290.44061937566619</v>
      </c>
      <c r="BF82" s="25">
        <v>399.46081325898257</v>
      </c>
      <c r="BG82" s="25">
        <v>4518.3804745554144</v>
      </c>
      <c r="BH82" s="25">
        <v>1004.7900997816121</v>
      </c>
      <c r="BI82" s="25">
        <v>3115.6887187089501</v>
      </c>
      <c r="BJ82" s="25">
        <v>907.55560246915513</v>
      </c>
      <c r="BK82" s="25">
        <v>1600.7392676210184</v>
      </c>
      <c r="BL82" s="25">
        <v>638.51923139567361</v>
      </c>
      <c r="BM82" s="25">
        <v>1102.1473607308526</v>
      </c>
      <c r="BN82" s="25">
        <v>490.89624204304693</v>
      </c>
      <c r="BO82" s="25">
        <v>3608.0465417477594</v>
      </c>
      <c r="BP82" s="25">
        <v>253.90624998401819</v>
      </c>
      <c r="BQ82" s="25">
        <v>5343.4810754484188</v>
      </c>
      <c r="BR82" s="25">
        <v>2010.6387435072065</v>
      </c>
      <c r="BS82" s="25">
        <v>1049.8188387612634</v>
      </c>
      <c r="BT82" s="25">
        <v>3299.4808391105353</v>
      </c>
      <c r="BU82" s="25">
        <v>7722.8460184638334</v>
      </c>
      <c r="BV82" s="25">
        <v>443.82302788682347</v>
      </c>
      <c r="BW82" s="25">
        <v>3537.0443299909734</v>
      </c>
      <c r="BX82" s="25">
        <v>0</v>
      </c>
      <c r="BY82" s="25">
        <v>186159.31264921097</v>
      </c>
      <c r="BZ82" s="25">
        <v>0</v>
      </c>
      <c r="CA82" s="25">
        <v>0</v>
      </c>
      <c r="CB82" s="25">
        <v>0</v>
      </c>
      <c r="CC82" s="25">
        <v>274756.2360762817</v>
      </c>
      <c r="CD82" s="25">
        <v>18394.451274507348</v>
      </c>
      <c r="CE82" s="25">
        <v>0</v>
      </c>
      <c r="CF82" s="25">
        <v>293150.68735078909</v>
      </c>
      <c r="CG82" s="25">
        <v>479310</v>
      </c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</row>
    <row r="83" spans="1:99" s="5" customFormat="1" x14ac:dyDescent="0.3">
      <c r="A83" s="28"/>
      <c r="B83" s="12" t="s">
        <v>170</v>
      </c>
      <c r="C83" s="5">
        <v>78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25">
        <v>0</v>
      </c>
      <c r="U83" s="25">
        <v>0</v>
      </c>
      <c r="V83" s="25">
        <v>0</v>
      </c>
      <c r="W83" s="25">
        <v>0</v>
      </c>
      <c r="X83" s="25">
        <v>0</v>
      </c>
      <c r="Y83" s="25">
        <v>0</v>
      </c>
      <c r="Z83" s="25">
        <v>0</v>
      </c>
      <c r="AA83" s="25">
        <v>0</v>
      </c>
      <c r="AB83" s="25">
        <v>0</v>
      </c>
      <c r="AC83" s="25">
        <v>0</v>
      </c>
      <c r="AD83" s="25">
        <v>0</v>
      </c>
      <c r="AE83" s="25">
        <v>0</v>
      </c>
      <c r="AF83" s="25">
        <v>0</v>
      </c>
      <c r="AG83" s="25">
        <v>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  <c r="AR83" s="25">
        <v>0</v>
      </c>
      <c r="AS83" s="25">
        <v>0</v>
      </c>
      <c r="AT83" s="25">
        <v>0</v>
      </c>
      <c r="AU83" s="25">
        <v>0</v>
      </c>
      <c r="AV83" s="25">
        <v>0</v>
      </c>
      <c r="AW83" s="25">
        <v>0</v>
      </c>
      <c r="AX83" s="25">
        <v>0</v>
      </c>
      <c r="AY83" s="40">
        <v>0</v>
      </c>
      <c r="AZ83" s="25">
        <v>0</v>
      </c>
      <c r="BA83" s="25">
        <v>0</v>
      </c>
      <c r="BB83" s="25">
        <v>0</v>
      </c>
      <c r="BC83" s="25">
        <v>0</v>
      </c>
      <c r="BD83" s="25">
        <v>0</v>
      </c>
      <c r="BE83" s="25">
        <v>0</v>
      </c>
      <c r="BF83" s="25">
        <v>0</v>
      </c>
      <c r="BG83" s="25">
        <v>0</v>
      </c>
      <c r="BH83" s="25">
        <v>0</v>
      </c>
      <c r="BI83" s="25">
        <v>0</v>
      </c>
      <c r="BJ83" s="25">
        <v>0</v>
      </c>
      <c r="BK83" s="25">
        <v>0</v>
      </c>
      <c r="BL83" s="25">
        <v>0</v>
      </c>
      <c r="BM83" s="25">
        <v>0</v>
      </c>
      <c r="BN83" s="25">
        <v>0</v>
      </c>
      <c r="BO83" s="25">
        <v>0</v>
      </c>
      <c r="BP83" s="25">
        <v>0</v>
      </c>
      <c r="BQ83" s="25">
        <v>0</v>
      </c>
      <c r="BR83" s="25">
        <v>0</v>
      </c>
      <c r="BS83" s="25">
        <v>0</v>
      </c>
      <c r="BT83" s="25">
        <v>0</v>
      </c>
      <c r="BU83" s="25">
        <v>0</v>
      </c>
      <c r="BV83" s="25">
        <v>0</v>
      </c>
      <c r="BW83" s="25">
        <v>0</v>
      </c>
      <c r="BX83" s="25">
        <v>0</v>
      </c>
      <c r="BY83" s="25">
        <v>0</v>
      </c>
      <c r="BZ83" s="25">
        <v>0</v>
      </c>
      <c r="CA83" s="25">
        <v>0</v>
      </c>
      <c r="CB83" s="25">
        <v>0</v>
      </c>
      <c r="CC83" s="25">
        <v>0</v>
      </c>
      <c r="CD83" s="25">
        <v>0</v>
      </c>
      <c r="CE83" s="25">
        <v>0</v>
      </c>
      <c r="CF83" s="25">
        <v>0</v>
      </c>
      <c r="CG83" s="25">
        <v>0</v>
      </c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</row>
    <row r="84" spans="1:99" s="5" customFormat="1" x14ac:dyDescent="0.3">
      <c r="A84" s="28"/>
      <c r="B84" s="12" t="s">
        <v>171</v>
      </c>
      <c r="C84" s="5">
        <v>79</v>
      </c>
      <c r="D84" s="25">
        <v>92.830450433330569</v>
      </c>
      <c r="E84" s="25">
        <v>108.75609021554227</v>
      </c>
      <c r="F84" s="25">
        <v>8.8181188724538337</v>
      </c>
      <c r="G84" s="25">
        <v>43.901705453634285</v>
      </c>
      <c r="H84" s="25">
        <v>149.82467251941975</v>
      </c>
      <c r="I84" s="25">
        <v>114.7984248924478</v>
      </c>
      <c r="J84" s="25">
        <v>21.270716173050147</v>
      </c>
      <c r="K84" s="25">
        <v>343.6518176971768</v>
      </c>
      <c r="L84" s="25">
        <v>12.276110377484112</v>
      </c>
      <c r="M84" s="25">
        <v>474.52055408453691</v>
      </c>
      <c r="N84" s="25">
        <v>656.8898340220245</v>
      </c>
      <c r="O84" s="25">
        <v>224.92679182890205</v>
      </c>
      <c r="P84" s="25">
        <v>64.127689373573077</v>
      </c>
      <c r="Q84" s="25">
        <v>91.499561829108899</v>
      </c>
      <c r="R84" s="25">
        <v>95.836040895310902</v>
      </c>
      <c r="S84" s="25">
        <v>103.98039365843857</v>
      </c>
      <c r="T84" s="25">
        <v>264.2554887403565</v>
      </c>
      <c r="U84" s="25">
        <v>70.396164985640212</v>
      </c>
      <c r="V84" s="25">
        <v>98.002875591595981</v>
      </c>
      <c r="W84" s="25">
        <v>2.0001427389419466</v>
      </c>
      <c r="X84" s="25">
        <v>4.118616559391124E-3</v>
      </c>
      <c r="Y84" s="25">
        <v>10.183700947707981</v>
      </c>
      <c r="Z84" s="25">
        <v>85.35280224175537</v>
      </c>
      <c r="AA84" s="25">
        <v>111.77922427929352</v>
      </c>
      <c r="AB84" s="25">
        <v>205.3180552195744</v>
      </c>
      <c r="AC84" s="25">
        <v>57.33930864762295</v>
      </c>
      <c r="AD84" s="25">
        <v>488.98762243185865</v>
      </c>
      <c r="AE84" s="25">
        <v>148.60719008395736</v>
      </c>
      <c r="AF84" s="25">
        <v>123.62493206847709</v>
      </c>
      <c r="AG84" s="25">
        <v>62.221640369674041</v>
      </c>
      <c r="AH84" s="25">
        <v>343.11461475762917</v>
      </c>
      <c r="AI84" s="25">
        <v>1261.8140514706176</v>
      </c>
      <c r="AJ84" s="25">
        <v>422.20154660819315</v>
      </c>
      <c r="AK84" s="25">
        <v>506.16003131876982</v>
      </c>
      <c r="AL84" s="25">
        <v>1432.0627284274108</v>
      </c>
      <c r="AM84" s="25">
        <v>488.59847804129265</v>
      </c>
      <c r="AN84" s="25">
        <v>502.12281036155349</v>
      </c>
      <c r="AO84" s="25">
        <v>267.14321713383725</v>
      </c>
      <c r="AP84" s="25">
        <v>455.42620922154254</v>
      </c>
      <c r="AQ84" s="25">
        <v>200.78386459711459</v>
      </c>
      <c r="AR84" s="25">
        <v>32.798226691082796</v>
      </c>
      <c r="AS84" s="25">
        <v>23.498705492255262</v>
      </c>
      <c r="AT84" s="25">
        <v>27.310243431265217</v>
      </c>
      <c r="AU84" s="25">
        <v>42.842027024376002</v>
      </c>
      <c r="AV84" s="25">
        <v>1560.7762004231506</v>
      </c>
      <c r="AW84" s="25">
        <v>461.77680505452901</v>
      </c>
      <c r="AX84" s="25">
        <v>574.36489763732266</v>
      </c>
      <c r="AY84" s="40">
        <v>548.46865606115557</v>
      </c>
      <c r="AZ84" s="25">
        <v>6.2917490147068094</v>
      </c>
      <c r="BA84" s="25">
        <v>28.427618348575638</v>
      </c>
      <c r="BB84" s="25">
        <v>34.720319028402372</v>
      </c>
      <c r="BC84" s="25">
        <v>52.355074024910351</v>
      </c>
      <c r="BD84" s="25">
        <v>1985.9757673600261</v>
      </c>
      <c r="BE84" s="25">
        <v>26.799991230778058</v>
      </c>
      <c r="BF84" s="25">
        <v>40.444089313402522</v>
      </c>
      <c r="BG84" s="25">
        <v>47.213288510940458</v>
      </c>
      <c r="BH84" s="25">
        <v>192.2356538396364</v>
      </c>
      <c r="BI84" s="25">
        <v>87.1526619083821</v>
      </c>
      <c r="BJ84" s="25">
        <v>78.291817132989479</v>
      </c>
      <c r="BK84" s="25">
        <v>125.43699652402455</v>
      </c>
      <c r="BL84" s="25">
        <v>82.527069727413689</v>
      </c>
      <c r="BM84" s="25">
        <v>60.613207951095589</v>
      </c>
      <c r="BN84" s="25">
        <v>52.163486193697125</v>
      </c>
      <c r="BO84" s="25">
        <v>368.76158581667522</v>
      </c>
      <c r="BP84" s="25">
        <v>18.233672270157317</v>
      </c>
      <c r="BQ84" s="25">
        <v>160.10974932069229</v>
      </c>
      <c r="BR84" s="25">
        <v>131.3661384881637</v>
      </c>
      <c r="BS84" s="25">
        <v>33.137338247686159</v>
      </c>
      <c r="BT84" s="25">
        <v>133.81202701442498</v>
      </c>
      <c r="BU84" s="25">
        <v>479.39070855529644</v>
      </c>
      <c r="BV84" s="25">
        <v>25.764397759585883</v>
      </c>
      <c r="BW84" s="25">
        <v>246.34988303122404</v>
      </c>
      <c r="BX84" s="25">
        <v>0</v>
      </c>
      <c r="BY84" s="25">
        <v>17984.819843655434</v>
      </c>
      <c r="BZ84" s="25">
        <v>0</v>
      </c>
      <c r="CA84" s="25">
        <v>0</v>
      </c>
      <c r="CB84" s="25">
        <v>0</v>
      </c>
      <c r="CC84" s="25">
        <v>27535.433631192678</v>
      </c>
      <c r="CD84" s="25">
        <v>8464.7465251518934</v>
      </c>
      <c r="CE84" s="25">
        <v>0</v>
      </c>
      <c r="CF84" s="25">
        <v>36000.180156344562</v>
      </c>
      <c r="CG84" s="25">
        <v>53985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</row>
    <row r="85" spans="1:99" s="5" customFormat="1" x14ac:dyDescent="0.3">
      <c r="A85" s="28"/>
      <c r="B85" s="12" t="s">
        <v>170</v>
      </c>
      <c r="C85" s="5">
        <v>80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5">
        <v>0</v>
      </c>
      <c r="M85" s="25">
        <v>0</v>
      </c>
      <c r="N85" s="25">
        <v>0</v>
      </c>
      <c r="O85" s="25">
        <v>0</v>
      </c>
      <c r="P85" s="25">
        <v>0</v>
      </c>
      <c r="Q85" s="25">
        <v>0</v>
      </c>
      <c r="R85" s="25">
        <v>0</v>
      </c>
      <c r="S85" s="25">
        <v>0</v>
      </c>
      <c r="T85" s="25">
        <v>0</v>
      </c>
      <c r="U85" s="25">
        <v>0</v>
      </c>
      <c r="V85" s="25">
        <v>0</v>
      </c>
      <c r="W85" s="25">
        <v>0</v>
      </c>
      <c r="X85" s="25">
        <v>0</v>
      </c>
      <c r="Y85" s="25">
        <v>0</v>
      </c>
      <c r="Z85" s="25">
        <v>0</v>
      </c>
      <c r="AA85" s="25">
        <v>0</v>
      </c>
      <c r="AB85" s="25">
        <v>0</v>
      </c>
      <c r="AC85" s="25">
        <v>0</v>
      </c>
      <c r="AD85" s="25">
        <v>0</v>
      </c>
      <c r="AE85" s="25">
        <v>0</v>
      </c>
      <c r="AF85" s="25">
        <v>0</v>
      </c>
      <c r="AG85" s="25">
        <v>0</v>
      </c>
      <c r="AH85" s="25">
        <v>0</v>
      </c>
      <c r="AI85" s="25">
        <v>0</v>
      </c>
      <c r="AJ85" s="25">
        <v>0</v>
      </c>
      <c r="AK85" s="25">
        <v>0</v>
      </c>
      <c r="AL85" s="25">
        <v>0</v>
      </c>
      <c r="AM85" s="25">
        <v>0</v>
      </c>
      <c r="AN85" s="25">
        <v>0</v>
      </c>
      <c r="AO85" s="25">
        <v>0</v>
      </c>
      <c r="AP85" s="25">
        <v>0</v>
      </c>
      <c r="AQ85" s="25">
        <v>0</v>
      </c>
      <c r="AR85" s="25">
        <v>0</v>
      </c>
      <c r="AS85" s="25">
        <v>0</v>
      </c>
      <c r="AT85" s="25">
        <v>0</v>
      </c>
      <c r="AU85" s="25">
        <v>0</v>
      </c>
      <c r="AV85" s="25">
        <v>0</v>
      </c>
      <c r="AW85" s="25">
        <v>0</v>
      </c>
      <c r="AX85" s="25">
        <v>0</v>
      </c>
      <c r="AY85" s="40">
        <v>0</v>
      </c>
      <c r="AZ85" s="25">
        <v>0</v>
      </c>
      <c r="BA85" s="25">
        <v>0</v>
      </c>
      <c r="BB85" s="25">
        <v>0</v>
      </c>
      <c r="BC85" s="25">
        <v>0</v>
      </c>
      <c r="BD85" s="25">
        <v>0</v>
      </c>
      <c r="BE85" s="25">
        <v>0</v>
      </c>
      <c r="BF85" s="25">
        <v>0</v>
      </c>
      <c r="BG85" s="25">
        <v>0</v>
      </c>
      <c r="BH85" s="25">
        <v>0</v>
      </c>
      <c r="BI85" s="25">
        <v>0</v>
      </c>
      <c r="BJ85" s="25">
        <v>0</v>
      </c>
      <c r="BK85" s="25">
        <v>0</v>
      </c>
      <c r="BL85" s="25">
        <v>0</v>
      </c>
      <c r="BM85" s="25">
        <v>0</v>
      </c>
      <c r="BN85" s="25">
        <v>0</v>
      </c>
      <c r="BO85" s="25">
        <v>0</v>
      </c>
      <c r="BP85" s="25">
        <v>0</v>
      </c>
      <c r="BQ85" s="25">
        <v>0</v>
      </c>
      <c r="BR85" s="25">
        <v>0</v>
      </c>
      <c r="BS85" s="25">
        <v>0</v>
      </c>
      <c r="BT85" s="25">
        <v>0</v>
      </c>
      <c r="BU85" s="25">
        <v>0</v>
      </c>
      <c r="BV85" s="25">
        <v>0</v>
      </c>
      <c r="BW85" s="25">
        <v>0</v>
      </c>
      <c r="BX85" s="25">
        <v>0</v>
      </c>
      <c r="BY85" s="25">
        <v>0</v>
      </c>
      <c r="BZ85" s="25">
        <v>0</v>
      </c>
      <c r="CA85" s="25">
        <v>0</v>
      </c>
      <c r="CB85" s="25">
        <v>0</v>
      </c>
      <c r="CC85" s="25">
        <v>0</v>
      </c>
      <c r="CD85" s="25">
        <v>0</v>
      </c>
      <c r="CE85" s="25">
        <v>0</v>
      </c>
      <c r="CF85" s="25">
        <v>0</v>
      </c>
      <c r="CG85" s="25">
        <v>0</v>
      </c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</row>
    <row r="86" spans="1:99" s="5" customFormat="1" x14ac:dyDescent="0.3">
      <c r="A86" s="28"/>
      <c r="B86" s="12" t="s">
        <v>172</v>
      </c>
      <c r="C86" s="5">
        <v>81</v>
      </c>
      <c r="D86" s="25">
        <v>6042.8386586782008</v>
      </c>
      <c r="E86" s="25">
        <v>1976.1746233988374</v>
      </c>
      <c r="F86" s="25">
        <v>280.58837260591815</v>
      </c>
      <c r="G86" s="25">
        <v>542.17692706870685</v>
      </c>
      <c r="H86" s="25">
        <v>7778.1809373585975</v>
      </c>
      <c r="I86" s="25">
        <v>1919.6540204655096</v>
      </c>
      <c r="J86" s="25">
        <v>507.53471056489735</v>
      </c>
      <c r="K86" s="25">
        <v>5782.6908854236535</v>
      </c>
      <c r="L86" s="25">
        <v>1324.3403322584791</v>
      </c>
      <c r="M86" s="25">
        <v>5357.8041957679843</v>
      </c>
      <c r="N86" s="25">
        <v>2360.7513423031783</v>
      </c>
      <c r="O86" s="25">
        <v>196.4420098710809</v>
      </c>
      <c r="P86" s="25">
        <v>1196.7163336274623</v>
      </c>
      <c r="Q86" s="25">
        <v>1126.9177960267789</v>
      </c>
      <c r="R86" s="25">
        <v>813.60704267367396</v>
      </c>
      <c r="S86" s="25">
        <v>614.08995308018802</v>
      </c>
      <c r="T86" s="25">
        <v>3188.7908302814558</v>
      </c>
      <c r="U86" s="25">
        <v>386.25785146450971</v>
      </c>
      <c r="V86" s="25">
        <v>41050.979226357034</v>
      </c>
      <c r="W86" s="25">
        <v>837.81029414095758</v>
      </c>
      <c r="X86" s="25">
        <v>1.7251865498872525</v>
      </c>
      <c r="Y86" s="25">
        <v>1189.4109506259256</v>
      </c>
      <c r="Z86" s="25">
        <v>7474.2133507743129</v>
      </c>
      <c r="AA86" s="25">
        <v>3009.4653257028858</v>
      </c>
      <c r="AB86" s="25">
        <v>1473.2558746225345</v>
      </c>
      <c r="AC86" s="25">
        <v>1482.2181309531509</v>
      </c>
      <c r="AD86" s="25">
        <v>3363.0311421067336</v>
      </c>
      <c r="AE86" s="25">
        <v>2491.3685485728683</v>
      </c>
      <c r="AF86" s="25">
        <v>4071.2766520045138</v>
      </c>
      <c r="AG86" s="25">
        <v>2442.9109971601406</v>
      </c>
      <c r="AH86" s="25">
        <v>2290.4333751530626</v>
      </c>
      <c r="AI86" s="25">
        <v>3419.249315516377</v>
      </c>
      <c r="AJ86" s="25">
        <v>2196.5566506018281</v>
      </c>
      <c r="AK86" s="25">
        <v>3229.285592262077</v>
      </c>
      <c r="AL86" s="25">
        <v>5950.1222334326676</v>
      </c>
      <c r="AM86" s="25">
        <v>2615.7467781891364</v>
      </c>
      <c r="AN86" s="25">
        <v>872.2517804766469</v>
      </c>
      <c r="AO86" s="25">
        <v>1270.2224329061228</v>
      </c>
      <c r="AP86" s="25">
        <v>1720.7273607191914</v>
      </c>
      <c r="AQ86" s="25">
        <v>4884.6490691239387</v>
      </c>
      <c r="AR86" s="25">
        <v>797.91186307216731</v>
      </c>
      <c r="AS86" s="25">
        <v>571.67407420253312</v>
      </c>
      <c r="AT86" s="25">
        <v>664.40077454308982</v>
      </c>
      <c r="AU86" s="25">
        <v>1439.0873371289645</v>
      </c>
      <c r="AV86" s="25">
        <v>10882.295358708589</v>
      </c>
      <c r="AW86" s="25">
        <v>2927.3386266457446</v>
      </c>
      <c r="AX86" s="25">
        <v>18595.729336426732</v>
      </c>
      <c r="AY86" s="40">
        <v>6896.9237454285467</v>
      </c>
      <c r="AZ86" s="25">
        <v>1024.1055418067967</v>
      </c>
      <c r="BA86" s="25">
        <v>3522.7471692204122</v>
      </c>
      <c r="BB86" s="25">
        <v>2896.9146759394262</v>
      </c>
      <c r="BC86" s="25">
        <v>440.49755783425439</v>
      </c>
      <c r="BD86" s="25">
        <v>5506.2819301990967</v>
      </c>
      <c r="BE86" s="25">
        <v>380.87397135546854</v>
      </c>
      <c r="BF86" s="25">
        <v>1598.8233931434081</v>
      </c>
      <c r="BG86" s="25">
        <v>4872.6352480885917</v>
      </c>
      <c r="BH86" s="25">
        <v>2867.2902296639122</v>
      </c>
      <c r="BI86" s="25">
        <v>16130.831733803298</v>
      </c>
      <c r="BJ86" s="25">
        <v>3723.3740595588961</v>
      </c>
      <c r="BK86" s="25">
        <v>3130.7842822199132</v>
      </c>
      <c r="BL86" s="25">
        <v>1098.7025302112652</v>
      </c>
      <c r="BM86" s="25">
        <v>2497.4509040688718</v>
      </c>
      <c r="BN86" s="25">
        <v>903.35184667207886</v>
      </c>
      <c r="BO86" s="25">
        <v>3371.2998674713058</v>
      </c>
      <c r="BP86" s="25">
        <v>393.39569508869766</v>
      </c>
      <c r="BQ86" s="25">
        <v>14569.03006852967</v>
      </c>
      <c r="BR86" s="25">
        <v>2067.2088942815594</v>
      </c>
      <c r="BS86" s="25">
        <v>1689.5277851295245</v>
      </c>
      <c r="BT86" s="25">
        <v>2196.0871894237357</v>
      </c>
      <c r="BU86" s="25">
        <v>3526.8893925384168</v>
      </c>
      <c r="BV86" s="25">
        <v>760.87382284217074</v>
      </c>
      <c r="BW86" s="25">
        <v>3517.7722891175258</v>
      </c>
      <c r="BX86" s="25">
        <v>0</v>
      </c>
      <c r="BY86" s="25">
        <v>264194.5782852358</v>
      </c>
      <c r="BZ86" s="25">
        <v>0</v>
      </c>
      <c r="CA86" s="25">
        <v>0</v>
      </c>
      <c r="CB86" s="25">
        <v>0</v>
      </c>
      <c r="CC86" s="25">
        <v>116537.23732239142</v>
      </c>
      <c r="CD86" s="25">
        <v>38389.184392372823</v>
      </c>
      <c r="CE86" s="25">
        <v>0</v>
      </c>
      <c r="CF86" s="25">
        <v>154926.4217147642</v>
      </c>
      <c r="CG86" s="25">
        <v>419121</v>
      </c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</row>
    <row r="87" spans="1:99" s="5" customFormat="1" x14ac:dyDescent="0.3">
      <c r="A87" s="28"/>
      <c r="B87" s="12" t="s">
        <v>170</v>
      </c>
      <c r="C87" s="5">
        <v>82</v>
      </c>
      <c r="D87" s="25">
        <v>0</v>
      </c>
      <c r="E87" s="25">
        <v>0</v>
      </c>
      <c r="F87" s="25">
        <v>0</v>
      </c>
      <c r="G87" s="25">
        <v>0</v>
      </c>
      <c r="H87" s="25">
        <v>0</v>
      </c>
      <c r="I87" s="25">
        <v>0</v>
      </c>
      <c r="J87" s="25">
        <v>0</v>
      </c>
      <c r="K87" s="25">
        <v>0</v>
      </c>
      <c r="L87" s="25">
        <v>0</v>
      </c>
      <c r="M87" s="25">
        <v>0</v>
      </c>
      <c r="N87" s="25">
        <v>0</v>
      </c>
      <c r="O87" s="25">
        <v>0</v>
      </c>
      <c r="P87" s="25">
        <v>0</v>
      </c>
      <c r="Q87" s="25">
        <v>0</v>
      </c>
      <c r="R87" s="25">
        <v>0</v>
      </c>
      <c r="S87" s="25">
        <v>0</v>
      </c>
      <c r="T87" s="25">
        <v>0</v>
      </c>
      <c r="U87" s="25">
        <v>0</v>
      </c>
      <c r="V87" s="25">
        <v>0</v>
      </c>
      <c r="W87" s="25">
        <v>0</v>
      </c>
      <c r="X87" s="25">
        <v>0</v>
      </c>
      <c r="Y87" s="25">
        <v>0</v>
      </c>
      <c r="Z87" s="25">
        <v>0</v>
      </c>
      <c r="AA87" s="25">
        <v>0</v>
      </c>
      <c r="AB87" s="25">
        <v>0</v>
      </c>
      <c r="AC87" s="25">
        <v>0</v>
      </c>
      <c r="AD87" s="25">
        <v>0</v>
      </c>
      <c r="AE87" s="25">
        <v>0</v>
      </c>
      <c r="AF87" s="25">
        <v>0</v>
      </c>
      <c r="AG87" s="25">
        <v>0</v>
      </c>
      <c r="AH87" s="25">
        <v>0</v>
      </c>
      <c r="AI87" s="25">
        <v>0</v>
      </c>
      <c r="AJ87" s="25">
        <v>0</v>
      </c>
      <c r="AK87" s="25">
        <v>0</v>
      </c>
      <c r="AL87" s="25">
        <v>0</v>
      </c>
      <c r="AM87" s="25">
        <v>0</v>
      </c>
      <c r="AN87" s="25">
        <v>0</v>
      </c>
      <c r="AO87" s="25">
        <v>0</v>
      </c>
      <c r="AP87" s="25">
        <v>0</v>
      </c>
      <c r="AQ87" s="25">
        <v>0</v>
      </c>
      <c r="AR87" s="25">
        <v>0</v>
      </c>
      <c r="AS87" s="25">
        <v>0</v>
      </c>
      <c r="AT87" s="25">
        <v>0</v>
      </c>
      <c r="AU87" s="25">
        <v>0</v>
      </c>
      <c r="AV87" s="25">
        <v>0</v>
      </c>
      <c r="AW87" s="25">
        <v>0</v>
      </c>
      <c r="AX87" s="25">
        <v>0</v>
      </c>
      <c r="AY87" s="40">
        <v>0</v>
      </c>
      <c r="AZ87" s="25">
        <v>0</v>
      </c>
      <c r="BA87" s="25">
        <v>0</v>
      </c>
      <c r="BB87" s="25">
        <v>0</v>
      </c>
      <c r="BC87" s="25">
        <v>0</v>
      </c>
      <c r="BD87" s="25">
        <v>0</v>
      </c>
      <c r="BE87" s="25">
        <v>0</v>
      </c>
      <c r="BF87" s="25">
        <v>0</v>
      </c>
      <c r="BG87" s="25">
        <v>0</v>
      </c>
      <c r="BH87" s="25">
        <v>0</v>
      </c>
      <c r="BI87" s="25">
        <v>0</v>
      </c>
      <c r="BJ87" s="25">
        <v>0</v>
      </c>
      <c r="BK87" s="25">
        <v>0</v>
      </c>
      <c r="BL87" s="25">
        <v>0</v>
      </c>
      <c r="BM87" s="25">
        <v>0</v>
      </c>
      <c r="BN87" s="25">
        <v>0</v>
      </c>
      <c r="BO87" s="25">
        <v>0</v>
      </c>
      <c r="BP87" s="25">
        <v>0</v>
      </c>
      <c r="BQ87" s="25">
        <v>0</v>
      </c>
      <c r="BR87" s="25">
        <v>0</v>
      </c>
      <c r="BS87" s="25">
        <v>0</v>
      </c>
      <c r="BT87" s="25">
        <v>0</v>
      </c>
      <c r="BU87" s="25">
        <v>0</v>
      </c>
      <c r="BV87" s="25">
        <v>0</v>
      </c>
      <c r="BW87" s="25">
        <v>0</v>
      </c>
      <c r="BX87" s="25">
        <v>0</v>
      </c>
      <c r="BY87" s="25">
        <v>0</v>
      </c>
      <c r="BZ87" s="25">
        <v>0</v>
      </c>
      <c r="CA87" s="25">
        <v>0</v>
      </c>
      <c r="CB87" s="25">
        <v>0</v>
      </c>
      <c r="CC87" s="25">
        <v>0</v>
      </c>
      <c r="CD87" s="25">
        <v>0</v>
      </c>
      <c r="CE87" s="25">
        <v>0</v>
      </c>
      <c r="CF87" s="25">
        <v>0</v>
      </c>
      <c r="CG87" s="25">
        <v>0</v>
      </c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</row>
    <row r="88" spans="1:99" s="5" customFormat="1" x14ac:dyDescent="0.3">
      <c r="A88" s="28"/>
      <c r="B88" s="67" t="s">
        <v>173</v>
      </c>
      <c r="C88" s="5">
        <v>83</v>
      </c>
      <c r="D88" s="25">
        <v>188525.99999999997</v>
      </c>
      <c r="E88" s="25">
        <v>80267</v>
      </c>
      <c r="F88" s="25">
        <v>9462</v>
      </c>
      <c r="G88" s="25">
        <v>11859.999999999998</v>
      </c>
      <c r="H88" s="25">
        <v>125178</v>
      </c>
      <c r="I88" s="25">
        <v>47192.000000000015</v>
      </c>
      <c r="J88" s="25">
        <v>11249.000000000002</v>
      </c>
      <c r="K88" s="25">
        <v>246575.00000000003</v>
      </c>
      <c r="L88" s="25">
        <v>43131.000000000007</v>
      </c>
      <c r="M88" s="25">
        <v>258915.00000000003</v>
      </c>
      <c r="N88" s="25">
        <v>56464</v>
      </c>
      <c r="O88" s="25">
        <v>12112.000000000002</v>
      </c>
      <c r="P88" s="25">
        <v>38745.999999999993</v>
      </c>
      <c r="Q88" s="25">
        <v>38028</v>
      </c>
      <c r="R88" s="25">
        <v>28278</v>
      </c>
      <c r="S88" s="25">
        <v>20928.000000000004</v>
      </c>
      <c r="T88" s="25">
        <v>77815</v>
      </c>
      <c r="U88" s="25">
        <v>11073</v>
      </c>
      <c r="V88" s="25">
        <v>392642.86272642564</v>
      </c>
      <c r="W88" s="25">
        <v>9333.4371287651647</v>
      </c>
      <c r="X88" s="25">
        <v>3188.7001448092037</v>
      </c>
      <c r="Y88" s="25">
        <v>43112.999999999993</v>
      </c>
      <c r="Z88" s="25">
        <v>152809.99999999997</v>
      </c>
      <c r="AA88" s="25">
        <v>73055.999999999985</v>
      </c>
      <c r="AB88" s="25">
        <v>39256</v>
      </c>
      <c r="AC88" s="25">
        <v>41455</v>
      </c>
      <c r="AD88" s="25">
        <v>91572.000000000015</v>
      </c>
      <c r="AE88" s="25">
        <v>59131</v>
      </c>
      <c r="AF88" s="25">
        <v>115887.99999999999</v>
      </c>
      <c r="AG88" s="25">
        <v>57302</v>
      </c>
      <c r="AH88" s="25">
        <v>68611.000000000015</v>
      </c>
      <c r="AI88" s="25">
        <v>87944</v>
      </c>
      <c r="AJ88" s="25">
        <v>59911.000000000007</v>
      </c>
      <c r="AK88" s="25">
        <v>91770</v>
      </c>
      <c r="AL88" s="25">
        <v>164701.99999999997</v>
      </c>
      <c r="AM88" s="25">
        <v>75925.999999999985</v>
      </c>
      <c r="AN88" s="25">
        <v>31134</v>
      </c>
      <c r="AO88" s="25">
        <v>42507</v>
      </c>
      <c r="AP88" s="25">
        <v>51452.999999999993</v>
      </c>
      <c r="AQ88" s="25">
        <v>154436.31770694946</v>
      </c>
      <c r="AR88" s="25">
        <v>22531.896291233497</v>
      </c>
      <c r="AS88" s="25">
        <v>7774.2588205266729</v>
      </c>
      <c r="AT88" s="25">
        <v>17302.527181290381</v>
      </c>
      <c r="AU88" s="25">
        <v>31880.999999999996</v>
      </c>
      <c r="AV88" s="25">
        <v>308792.99999999994</v>
      </c>
      <c r="AW88" s="25">
        <v>77215</v>
      </c>
      <c r="AX88" s="25">
        <v>435410</v>
      </c>
      <c r="AY88" s="41">
        <f>SUM(AY79:AY87)</f>
        <v>233598.00000000012</v>
      </c>
      <c r="AZ88" s="25">
        <v>12967</v>
      </c>
      <c r="BA88" s="25">
        <v>34852.999999999993</v>
      </c>
      <c r="BB88" s="25">
        <v>59424.000000000015</v>
      </c>
      <c r="BC88" s="25">
        <v>12965</v>
      </c>
      <c r="BD88" s="25">
        <v>146427</v>
      </c>
      <c r="BE88" s="25">
        <v>9291</v>
      </c>
      <c r="BF88" s="25">
        <v>26885.999999999996</v>
      </c>
      <c r="BG88" s="25">
        <v>96935.000000000015</v>
      </c>
      <c r="BH88" s="25">
        <v>56861.000000000007</v>
      </c>
      <c r="BI88" s="25">
        <v>226346.99999999997</v>
      </c>
      <c r="BJ88" s="25">
        <v>51716</v>
      </c>
      <c r="BK88" s="25">
        <v>71737.999999999985</v>
      </c>
      <c r="BL88" s="25">
        <v>23892</v>
      </c>
      <c r="BM88" s="25">
        <v>66006</v>
      </c>
      <c r="BN88" s="25">
        <v>18328.000000000004</v>
      </c>
      <c r="BO88" s="25">
        <v>85055.999999999985</v>
      </c>
      <c r="BP88" s="25">
        <v>7980.9999999999982</v>
      </c>
      <c r="BQ88" s="25">
        <v>242741.00000000003</v>
      </c>
      <c r="BR88" s="25">
        <v>55962.000000000007</v>
      </c>
      <c r="BS88" s="25">
        <v>40553</v>
      </c>
      <c r="BT88" s="25">
        <v>68487</v>
      </c>
      <c r="BU88" s="25">
        <v>133095</v>
      </c>
      <c r="BV88" s="25">
        <v>17382.000000000004</v>
      </c>
      <c r="BW88" s="25">
        <v>85520</v>
      </c>
      <c r="BX88" s="25">
        <v>0</v>
      </c>
      <c r="BY88" s="25">
        <v>5998860.0000000009</v>
      </c>
      <c r="BZ88" s="25">
        <v>1025056</v>
      </c>
      <c r="CA88" s="25">
        <v>1393480</v>
      </c>
      <c r="CB88" s="25">
        <v>102253</v>
      </c>
      <c r="CC88" s="25">
        <v>4423548</v>
      </c>
      <c r="CD88" s="25">
        <v>1057409</v>
      </c>
      <c r="CE88" s="25">
        <v>-131</v>
      </c>
      <c r="CF88" s="25">
        <v>8001615</v>
      </c>
      <c r="CG88" s="25">
        <v>14000475</v>
      </c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</row>
    <row r="89" spans="1:99" s="5" customFormat="1" x14ac:dyDescent="0.3">
      <c r="A89" s="66" t="s">
        <v>174</v>
      </c>
      <c r="B89" s="67" t="s">
        <v>175</v>
      </c>
      <c r="C89" s="5">
        <v>84</v>
      </c>
      <c r="D89" s="46">
        <v>34356</v>
      </c>
      <c r="E89" s="46">
        <v>22217</v>
      </c>
      <c r="F89" s="46">
        <v>2255</v>
      </c>
      <c r="G89" s="46">
        <v>4126</v>
      </c>
      <c r="H89" s="46">
        <v>16917</v>
      </c>
      <c r="I89" s="46">
        <v>4502</v>
      </c>
      <c r="J89" s="46">
        <v>2607</v>
      </c>
      <c r="K89" s="46">
        <v>30117</v>
      </c>
      <c r="L89" s="46">
        <v>8690</v>
      </c>
      <c r="M89" s="46">
        <v>35422</v>
      </c>
      <c r="N89" s="46">
        <v>9953</v>
      </c>
      <c r="O89" s="46">
        <v>1711</v>
      </c>
      <c r="P89" s="46">
        <v>11262</v>
      </c>
      <c r="Q89" s="46">
        <v>18543</v>
      </c>
      <c r="R89" s="46">
        <v>11048</v>
      </c>
      <c r="S89" s="46">
        <v>6644</v>
      </c>
      <c r="T89" s="46">
        <v>14028</v>
      </c>
      <c r="U89" s="46">
        <v>5664</v>
      </c>
      <c r="V89" s="25">
        <v>8644.8181295614868</v>
      </c>
      <c r="W89" s="25">
        <v>222.30000000000032</v>
      </c>
      <c r="X89" s="25">
        <v>24.88187043851331</v>
      </c>
      <c r="Y89" s="46">
        <v>7013</v>
      </c>
      <c r="Z89" s="46">
        <v>12903</v>
      </c>
      <c r="AA89" s="46">
        <v>9380</v>
      </c>
      <c r="AB89" s="46">
        <v>6854</v>
      </c>
      <c r="AC89" s="46">
        <v>12695</v>
      </c>
      <c r="AD89" s="46">
        <v>22917</v>
      </c>
      <c r="AE89" s="46">
        <v>19150</v>
      </c>
      <c r="AF89" s="46">
        <v>13401</v>
      </c>
      <c r="AG89" s="46">
        <v>6247</v>
      </c>
      <c r="AH89" s="46">
        <v>22042</v>
      </c>
      <c r="AI89" s="46">
        <v>9775</v>
      </c>
      <c r="AJ89" s="46">
        <v>14631</v>
      </c>
      <c r="AK89" s="46">
        <v>27620</v>
      </c>
      <c r="AL89" s="46">
        <v>20483</v>
      </c>
      <c r="AM89" s="46">
        <v>20855</v>
      </c>
      <c r="AN89" s="46">
        <v>8257</v>
      </c>
      <c r="AO89" s="46">
        <v>16648</v>
      </c>
      <c r="AP89" s="46">
        <v>13057</v>
      </c>
      <c r="AQ89" s="25">
        <v>14489.444041966393</v>
      </c>
      <c r="AR89" s="25">
        <v>1691.8721627726568</v>
      </c>
      <c r="AS89" s="25">
        <v>1627.8644560257585</v>
      </c>
      <c r="AT89" s="25">
        <v>3685.8193392351923</v>
      </c>
      <c r="AU89" s="46">
        <v>22993</v>
      </c>
      <c r="AV89" s="46">
        <v>104570</v>
      </c>
      <c r="AW89" s="46">
        <v>49181</v>
      </c>
      <c r="AX89" s="46">
        <v>352528</v>
      </c>
      <c r="AY89" s="48">
        <f>AY90+AY91+AY94</f>
        <v>87877</v>
      </c>
      <c r="AZ89" s="46">
        <v>5137</v>
      </c>
      <c r="BA89" s="46">
        <v>7492</v>
      </c>
      <c r="BB89" s="46">
        <v>44037</v>
      </c>
      <c r="BC89" s="46">
        <v>11307</v>
      </c>
      <c r="BD89" s="46">
        <v>60116</v>
      </c>
      <c r="BE89" s="46">
        <v>6798</v>
      </c>
      <c r="BF89" s="46">
        <v>11678</v>
      </c>
      <c r="BG89" s="46">
        <v>19212</v>
      </c>
      <c r="BH89" s="46">
        <v>57187</v>
      </c>
      <c r="BI89" s="46">
        <v>165217</v>
      </c>
      <c r="BJ89" s="46">
        <v>7923</v>
      </c>
      <c r="BK89" s="46">
        <v>61939</v>
      </c>
      <c r="BL89" s="46">
        <v>18585</v>
      </c>
      <c r="BM89" s="46">
        <v>15429</v>
      </c>
      <c r="BN89" s="46">
        <v>11344</v>
      </c>
      <c r="BO89" s="46">
        <v>118404</v>
      </c>
      <c r="BP89" s="46">
        <v>31074</v>
      </c>
      <c r="BQ89" s="46">
        <v>528703</v>
      </c>
      <c r="BR89" s="46">
        <v>282090</v>
      </c>
      <c r="BS89" s="46">
        <v>89933</v>
      </c>
      <c r="BT89" s="46">
        <v>127700</v>
      </c>
      <c r="BU89" s="46">
        <v>89831</v>
      </c>
      <c r="BV89" s="46">
        <v>13265</v>
      </c>
      <c r="BW89" s="46">
        <v>45395</v>
      </c>
      <c r="BX89" s="46">
        <v>74451</v>
      </c>
      <c r="BY89" s="25">
        <v>3055773</v>
      </c>
      <c r="BZ89" s="25">
        <v>0</v>
      </c>
      <c r="CA89" s="25">
        <v>0</v>
      </c>
      <c r="CB89" s="25">
        <v>0</v>
      </c>
      <c r="CC89" s="25">
        <v>0</v>
      </c>
      <c r="CD89" s="25">
        <v>0</v>
      </c>
      <c r="CE89" s="25">
        <v>0</v>
      </c>
      <c r="CF89" s="25">
        <v>0</v>
      </c>
      <c r="CG89" s="25">
        <v>3055773</v>
      </c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</row>
    <row r="90" spans="1:99" s="5" customFormat="1" x14ac:dyDescent="0.3">
      <c r="A90" s="28" t="s">
        <v>176</v>
      </c>
      <c r="B90" s="14" t="s">
        <v>177</v>
      </c>
      <c r="C90" s="5">
        <v>85</v>
      </c>
      <c r="D90" s="46">
        <v>29230</v>
      </c>
      <c r="E90" s="46">
        <v>19506</v>
      </c>
      <c r="F90" s="46">
        <v>1981</v>
      </c>
      <c r="G90" s="46">
        <v>3307</v>
      </c>
      <c r="H90" s="46">
        <v>12359</v>
      </c>
      <c r="I90" s="46">
        <v>3581</v>
      </c>
      <c r="J90" s="46">
        <v>2011</v>
      </c>
      <c r="K90" s="46">
        <v>23432</v>
      </c>
      <c r="L90" s="46">
        <v>6252</v>
      </c>
      <c r="M90" s="46">
        <v>27911</v>
      </c>
      <c r="N90" s="46">
        <v>7718</v>
      </c>
      <c r="O90" s="46">
        <v>1309</v>
      </c>
      <c r="P90" s="46">
        <v>9222</v>
      </c>
      <c r="Q90" s="46">
        <v>14743</v>
      </c>
      <c r="R90" s="46">
        <v>9151</v>
      </c>
      <c r="S90" s="46">
        <v>5395</v>
      </c>
      <c r="T90" s="46">
        <v>11059</v>
      </c>
      <c r="U90" s="46">
        <v>4600</v>
      </c>
      <c r="V90" s="25">
        <v>6069.455643595632</v>
      </c>
      <c r="W90" s="25">
        <v>156.07500000000022</v>
      </c>
      <c r="X90" s="25">
        <v>17.469356404367815</v>
      </c>
      <c r="Y90" s="46">
        <v>5622</v>
      </c>
      <c r="Z90" s="46">
        <v>9758</v>
      </c>
      <c r="AA90" s="46">
        <v>7225</v>
      </c>
      <c r="AB90" s="46">
        <v>5400</v>
      </c>
      <c r="AC90" s="46">
        <v>9702</v>
      </c>
      <c r="AD90" s="46">
        <v>17824</v>
      </c>
      <c r="AE90" s="46">
        <v>15527</v>
      </c>
      <c r="AF90" s="46">
        <v>10413</v>
      </c>
      <c r="AG90" s="46">
        <v>5015</v>
      </c>
      <c r="AH90" s="46">
        <v>17453</v>
      </c>
      <c r="AI90" s="46">
        <v>7775</v>
      </c>
      <c r="AJ90" s="46">
        <v>11477</v>
      </c>
      <c r="AK90" s="46">
        <v>21904</v>
      </c>
      <c r="AL90" s="46">
        <v>15859</v>
      </c>
      <c r="AM90" s="46">
        <v>17465</v>
      </c>
      <c r="AN90" s="46">
        <v>6659</v>
      </c>
      <c r="AO90" s="46">
        <v>13658</v>
      </c>
      <c r="AP90" s="46">
        <v>10523</v>
      </c>
      <c r="AQ90" s="25">
        <v>10400.44810995578</v>
      </c>
      <c r="AR90" s="25">
        <v>1214.4171016245323</v>
      </c>
      <c r="AS90" s="25">
        <v>1168.4727002568704</v>
      </c>
      <c r="AT90" s="25">
        <v>2645.6620881628182</v>
      </c>
      <c r="AU90" s="46">
        <v>17320</v>
      </c>
      <c r="AV90" s="46">
        <v>85935</v>
      </c>
      <c r="AW90" s="46">
        <v>40106</v>
      </c>
      <c r="AX90" s="46">
        <v>279452</v>
      </c>
      <c r="AY90" s="47">
        <v>71610</v>
      </c>
      <c r="AZ90" s="46">
        <v>4217</v>
      </c>
      <c r="BA90" s="46">
        <v>6119</v>
      </c>
      <c r="BB90" s="46">
        <v>34067</v>
      </c>
      <c r="BC90" s="46">
        <v>9520</v>
      </c>
      <c r="BD90" s="46">
        <v>50603</v>
      </c>
      <c r="BE90" s="46">
        <v>5563</v>
      </c>
      <c r="BF90" s="46">
        <v>9857</v>
      </c>
      <c r="BG90" s="46">
        <v>14372</v>
      </c>
      <c r="BH90" s="46">
        <v>45370</v>
      </c>
      <c r="BI90" s="46">
        <v>127124</v>
      </c>
      <c r="BJ90" s="46">
        <v>6253</v>
      </c>
      <c r="BK90" s="46">
        <v>50719</v>
      </c>
      <c r="BL90" s="46">
        <v>14886</v>
      </c>
      <c r="BM90" s="46">
        <v>12362</v>
      </c>
      <c r="BN90" s="46">
        <v>8992</v>
      </c>
      <c r="BO90" s="46">
        <v>95075</v>
      </c>
      <c r="BP90" s="46">
        <v>24376</v>
      </c>
      <c r="BQ90" s="46">
        <v>381003</v>
      </c>
      <c r="BR90" s="46">
        <v>227721</v>
      </c>
      <c r="BS90" s="46">
        <v>74374</v>
      </c>
      <c r="BT90" s="46">
        <v>102765</v>
      </c>
      <c r="BU90" s="46">
        <v>77743</v>
      </c>
      <c r="BV90" s="46">
        <v>11518</v>
      </c>
      <c r="BW90" s="46">
        <v>38820</v>
      </c>
      <c r="BX90" s="46">
        <v>70758</v>
      </c>
      <c r="BY90" s="25">
        <v>2422298</v>
      </c>
      <c r="BZ90" s="25">
        <v>0</v>
      </c>
      <c r="CA90" s="25">
        <v>0</v>
      </c>
      <c r="CB90" s="25">
        <v>0</v>
      </c>
      <c r="CC90" s="25">
        <v>0</v>
      </c>
      <c r="CD90" s="25">
        <v>0</v>
      </c>
      <c r="CE90" s="25">
        <v>0</v>
      </c>
      <c r="CF90" s="25">
        <v>0</v>
      </c>
      <c r="CG90" s="25">
        <v>2422298</v>
      </c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</row>
    <row r="91" spans="1:99" s="5" customFormat="1" x14ac:dyDescent="0.3">
      <c r="A91" s="28" t="s">
        <v>178</v>
      </c>
      <c r="B91" s="14" t="s">
        <v>179</v>
      </c>
      <c r="C91" s="5">
        <v>86</v>
      </c>
      <c r="D91" s="46">
        <v>5126</v>
      </c>
      <c r="E91" s="46">
        <v>2711</v>
      </c>
      <c r="F91" s="46">
        <v>274</v>
      </c>
      <c r="G91" s="46">
        <v>819</v>
      </c>
      <c r="H91" s="46">
        <v>4558</v>
      </c>
      <c r="I91" s="46">
        <v>921</v>
      </c>
      <c r="J91" s="46">
        <v>596</v>
      </c>
      <c r="K91" s="46">
        <v>6685</v>
      </c>
      <c r="L91" s="46">
        <v>2438</v>
      </c>
      <c r="M91" s="46">
        <v>7511</v>
      </c>
      <c r="N91" s="46">
        <v>2235</v>
      </c>
      <c r="O91" s="46">
        <v>402</v>
      </c>
      <c r="P91" s="46">
        <v>2040</v>
      </c>
      <c r="Q91" s="46">
        <v>3800</v>
      </c>
      <c r="R91" s="46">
        <v>1897</v>
      </c>
      <c r="S91" s="46">
        <v>1249</v>
      </c>
      <c r="T91" s="46">
        <v>2969</v>
      </c>
      <c r="U91" s="46">
        <v>1064</v>
      </c>
      <c r="V91" s="25">
        <v>2575.3624859658544</v>
      </c>
      <c r="W91" s="25">
        <v>66.225000000000094</v>
      </c>
      <c r="X91" s="25">
        <v>7.4125140341454969</v>
      </c>
      <c r="Y91" s="46">
        <v>1391</v>
      </c>
      <c r="Z91" s="46">
        <v>3145</v>
      </c>
      <c r="AA91" s="46">
        <v>2155</v>
      </c>
      <c r="AB91" s="46">
        <v>1454</v>
      </c>
      <c r="AC91" s="46">
        <v>2993</v>
      </c>
      <c r="AD91" s="46">
        <v>5093</v>
      </c>
      <c r="AE91" s="46">
        <v>3623</v>
      </c>
      <c r="AF91" s="46">
        <v>2988</v>
      </c>
      <c r="AG91" s="46">
        <v>1232</v>
      </c>
      <c r="AH91" s="46">
        <v>4589</v>
      </c>
      <c r="AI91" s="46">
        <v>2000</v>
      </c>
      <c r="AJ91" s="46">
        <v>3154</v>
      </c>
      <c r="AK91" s="46">
        <v>5716</v>
      </c>
      <c r="AL91" s="46">
        <v>4624</v>
      </c>
      <c r="AM91" s="46">
        <v>3390</v>
      </c>
      <c r="AN91" s="46">
        <v>1598</v>
      </c>
      <c r="AO91" s="46">
        <v>2990</v>
      </c>
      <c r="AP91" s="46">
        <v>2534</v>
      </c>
      <c r="AQ91" s="25">
        <v>4088.9959320106136</v>
      </c>
      <c r="AR91" s="25">
        <v>477.45506114812451</v>
      </c>
      <c r="AS91" s="25">
        <v>459.39175576888817</v>
      </c>
      <c r="AT91" s="25">
        <v>1040.1572510723738</v>
      </c>
      <c r="AU91" s="46">
        <v>5673</v>
      </c>
      <c r="AV91" s="46">
        <v>18635</v>
      </c>
      <c r="AW91" s="46">
        <v>9075</v>
      </c>
      <c r="AX91" s="46">
        <v>73076</v>
      </c>
      <c r="AY91" s="47">
        <f>AY92+AY93</f>
        <v>16267</v>
      </c>
      <c r="AZ91" s="46">
        <v>920</v>
      </c>
      <c r="BA91" s="46">
        <v>1373</v>
      </c>
      <c r="BB91" s="46">
        <v>9970</v>
      </c>
      <c r="BC91" s="46">
        <v>1787</v>
      </c>
      <c r="BD91" s="46">
        <v>9513</v>
      </c>
      <c r="BE91" s="46">
        <v>1235</v>
      </c>
      <c r="BF91" s="46">
        <v>1821</v>
      </c>
      <c r="BG91" s="46">
        <v>4840</v>
      </c>
      <c r="BH91" s="46">
        <v>11817</v>
      </c>
      <c r="BI91" s="46">
        <v>38093</v>
      </c>
      <c r="BJ91" s="46">
        <v>1670</v>
      </c>
      <c r="BK91" s="46">
        <v>11220</v>
      </c>
      <c r="BL91" s="46">
        <v>3699</v>
      </c>
      <c r="BM91" s="46">
        <v>3067</v>
      </c>
      <c r="BN91" s="46">
        <v>2352</v>
      </c>
      <c r="BO91" s="46">
        <v>23329</v>
      </c>
      <c r="BP91" s="46">
        <v>6698</v>
      </c>
      <c r="BQ91" s="46">
        <v>64857</v>
      </c>
      <c r="BR91" s="46">
        <v>47663</v>
      </c>
      <c r="BS91" s="46">
        <v>15559</v>
      </c>
      <c r="BT91" s="46">
        <v>17672</v>
      </c>
      <c r="BU91" s="46">
        <v>12088</v>
      </c>
      <c r="BV91" s="46">
        <v>1747</v>
      </c>
      <c r="BW91" s="46">
        <v>6575</v>
      </c>
      <c r="BX91" s="46">
        <v>3693</v>
      </c>
      <c r="BY91" s="25">
        <v>536663</v>
      </c>
      <c r="BZ91" s="25">
        <v>0</v>
      </c>
      <c r="CA91" s="25">
        <v>0</v>
      </c>
      <c r="CB91" s="25">
        <v>0</v>
      </c>
      <c r="CC91" s="25">
        <v>0</v>
      </c>
      <c r="CD91" s="25">
        <v>0</v>
      </c>
      <c r="CE91" s="25">
        <v>0</v>
      </c>
      <c r="CF91" s="25">
        <v>0</v>
      </c>
      <c r="CG91" s="25">
        <v>536663</v>
      </c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</row>
    <row r="92" spans="1:99" s="5" customFormat="1" x14ac:dyDescent="0.3">
      <c r="A92" s="28"/>
      <c r="B92" s="18" t="s">
        <v>180</v>
      </c>
      <c r="C92" s="5">
        <v>87</v>
      </c>
      <c r="D92" s="46">
        <v>5123</v>
      </c>
      <c r="E92" s="46">
        <v>2698</v>
      </c>
      <c r="F92" s="46">
        <v>272</v>
      </c>
      <c r="G92" s="46">
        <v>806</v>
      </c>
      <c r="H92" s="46">
        <v>3536</v>
      </c>
      <c r="I92" s="46">
        <v>884</v>
      </c>
      <c r="J92" s="46">
        <v>566</v>
      </c>
      <c r="K92" s="46">
        <v>6513</v>
      </c>
      <c r="L92" s="46">
        <v>2394</v>
      </c>
      <c r="M92" s="46">
        <v>7273</v>
      </c>
      <c r="N92" s="46">
        <v>2148</v>
      </c>
      <c r="O92" s="46">
        <v>367</v>
      </c>
      <c r="P92" s="46">
        <v>1996</v>
      </c>
      <c r="Q92" s="46">
        <v>3739</v>
      </c>
      <c r="R92" s="46">
        <v>1856</v>
      </c>
      <c r="S92" s="46">
        <v>1182</v>
      </c>
      <c r="T92" s="46">
        <v>2686</v>
      </c>
      <c r="U92" s="46">
        <v>1025</v>
      </c>
      <c r="V92" s="25">
        <v>1824.8227203314104</v>
      </c>
      <c r="W92" s="25">
        <v>46.925000000000907</v>
      </c>
      <c r="X92" s="25">
        <v>5.252279668588554</v>
      </c>
      <c r="Y92" s="46">
        <v>1350</v>
      </c>
      <c r="Z92" s="46">
        <v>2868</v>
      </c>
      <c r="AA92" s="46">
        <v>1980</v>
      </c>
      <c r="AB92" s="46">
        <v>1412</v>
      </c>
      <c r="AC92" s="46">
        <v>2814</v>
      </c>
      <c r="AD92" s="46">
        <v>4943</v>
      </c>
      <c r="AE92" s="46">
        <v>3466</v>
      </c>
      <c r="AF92" s="46">
        <v>2727</v>
      </c>
      <c r="AG92" s="46">
        <v>1168</v>
      </c>
      <c r="AH92" s="46">
        <v>4470</v>
      </c>
      <c r="AI92" s="46">
        <v>1937</v>
      </c>
      <c r="AJ92" s="46">
        <v>3036</v>
      </c>
      <c r="AK92" s="46">
        <v>5460</v>
      </c>
      <c r="AL92" s="46">
        <v>4407</v>
      </c>
      <c r="AM92" s="46">
        <v>3257</v>
      </c>
      <c r="AN92" s="46">
        <v>1477</v>
      </c>
      <c r="AO92" s="46">
        <v>2905</v>
      </c>
      <c r="AP92" s="46">
        <v>2436</v>
      </c>
      <c r="AQ92" s="25">
        <v>3142.581443295991</v>
      </c>
      <c r="AR92" s="25">
        <v>366.9461745915853</v>
      </c>
      <c r="AS92" s="25">
        <v>353.06369360279535</v>
      </c>
      <c r="AT92" s="25">
        <v>799.40868850962852</v>
      </c>
      <c r="AU92" s="46">
        <v>5109</v>
      </c>
      <c r="AV92" s="46">
        <v>18183</v>
      </c>
      <c r="AW92" s="46">
        <v>8959</v>
      </c>
      <c r="AX92" s="46">
        <v>71753</v>
      </c>
      <c r="AY92" s="47">
        <v>15650</v>
      </c>
      <c r="AZ92" s="46">
        <v>881</v>
      </c>
      <c r="BA92" s="46">
        <v>1333</v>
      </c>
      <c r="BB92" s="46">
        <v>8842</v>
      </c>
      <c r="BC92" s="46">
        <v>1736</v>
      </c>
      <c r="BD92" s="46">
        <v>9380</v>
      </c>
      <c r="BE92" s="46">
        <v>1198</v>
      </c>
      <c r="BF92" s="46">
        <v>1745</v>
      </c>
      <c r="BG92" s="46">
        <v>3960</v>
      </c>
      <c r="BH92" s="46">
        <v>11081</v>
      </c>
      <c r="BI92" s="46">
        <v>32184</v>
      </c>
      <c r="BJ92" s="46">
        <v>1614</v>
      </c>
      <c r="BK92" s="46">
        <v>10153</v>
      </c>
      <c r="BL92" s="46">
        <v>3565</v>
      </c>
      <c r="BM92" s="46">
        <v>3015</v>
      </c>
      <c r="BN92" s="46">
        <v>2297</v>
      </c>
      <c r="BO92" s="46">
        <v>22948</v>
      </c>
      <c r="BP92" s="46">
        <v>6601</v>
      </c>
      <c r="BQ92" s="46">
        <v>64134</v>
      </c>
      <c r="BR92" s="46">
        <v>47469</v>
      </c>
      <c r="BS92" s="46">
        <v>15429</v>
      </c>
      <c r="BT92" s="46">
        <v>17649</v>
      </c>
      <c r="BU92" s="46">
        <v>11939</v>
      </c>
      <c r="BV92" s="46">
        <v>1701</v>
      </c>
      <c r="BW92" s="46">
        <v>6456</v>
      </c>
      <c r="BX92" s="46">
        <v>3693</v>
      </c>
      <c r="BY92" s="25">
        <v>514373</v>
      </c>
      <c r="BZ92" s="25">
        <v>0</v>
      </c>
      <c r="CA92" s="25">
        <v>0</v>
      </c>
      <c r="CB92" s="25">
        <v>0</v>
      </c>
      <c r="CC92" s="25">
        <v>0</v>
      </c>
      <c r="CD92" s="25">
        <v>0</v>
      </c>
      <c r="CE92" s="25">
        <v>0</v>
      </c>
      <c r="CF92" s="25">
        <v>0</v>
      </c>
      <c r="CG92" s="25">
        <v>514373</v>
      </c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</row>
    <row r="93" spans="1:99" s="5" customFormat="1" x14ac:dyDescent="0.3">
      <c r="A93" s="28"/>
      <c r="B93" s="14" t="s">
        <v>181</v>
      </c>
      <c r="C93" s="5">
        <v>88</v>
      </c>
      <c r="D93" s="46">
        <v>3</v>
      </c>
      <c r="E93" s="46">
        <v>13</v>
      </c>
      <c r="F93" s="46">
        <v>2</v>
      </c>
      <c r="G93" s="46">
        <v>13</v>
      </c>
      <c r="H93" s="46">
        <v>1022</v>
      </c>
      <c r="I93" s="46">
        <v>37</v>
      </c>
      <c r="J93" s="46">
        <v>30</v>
      </c>
      <c r="K93" s="46">
        <v>172</v>
      </c>
      <c r="L93" s="46">
        <v>44</v>
      </c>
      <c r="M93" s="46">
        <v>238</v>
      </c>
      <c r="N93" s="46">
        <v>87</v>
      </c>
      <c r="O93" s="46">
        <v>35</v>
      </c>
      <c r="P93" s="46">
        <v>44</v>
      </c>
      <c r="Q93" s="46">
        <v>61</v>
      </c>
      <c r="R93" s="46">
        <v>41</v>
      </c>
      <c r="S93" s="46">
        <v>67</v>
      </c>
      <c r="T93" s="46">
        <v>283</v>
      </c>
      <c r="U93" s="46">
        <v>39</v>
      </c>
      <c r="V93" s="25">
        <v>750.53976563444269</v>
      </c>
      <c r="W93" s="25">
        <v>19.300000000000029</v>
      </c>
      <c r="X93" s="25">
        <v>2.1602343655569332</v>
      </c>
      <c r="Y93" s="46">
        <v>41</v>
      </c>
      <c r="Z93" s="46">
        <v>277</v>
      </c>
      <c r="AA93" s="46">
        <v>175</v>
      </c>
      <c r="AB93" s="46">
        <v>42</v>
      </c>
      <c r="AC93" s="46">
        <v>179</v>
      </c>
      <c r="AD93" s="46">
        <v>150</v>
      </c>
      <c r="AE93" s="46">
        <v>157</v>
      </c>
      <c r="AF93" s="46">
        <v>261</v>
      </c>
      <c r="AG93" s="46">
        <v>64</v>
      </c>
      <c r="AH93" s="46">
        <v>119</v>
      </c>
      <c r="AI93" s="46">
        <v>63</v>
      </c>
      <c r="AJ93" s="46">
        <v>118</v>
      </c>
      <c r="AK93" s="46">
        <v>256</v>
      </c>
      <c r="AL93" s="46">
        <v>217</v>
      </c>
      <c r="AM93" s="46">
        <v>133</v>
      </c>
      <c r="AN93" s="46">
        <v>121</v>
      </c>
      <c r="AO93" s="46">
        <v>85</v>
      </c>
      <c r="AP93" s="46">
        <v>98</v>
      </c>
      <c r="AQ93" s="25">
        <v>946.41448871462273</v>
      </c>
      <c r="AR93" s="25">
        <v>110.50888655653921</v>
      </c>
      <c r="AS93" s="25">
        <v>106.32806216609282</v>
      </c>
      <c r="AT93" s="25">
        <v>240.74856256274529</v>
      </c>
      <c r="AU93" s="46">
        <v>564</v>
      </c>
      <c r="AV93" s="46">
        <v>452</v>
      </c>
      <c r="AW93" s="46">
        <v>116</v>
      </c>
      <c r="AX93" s="46">
        <v>1323</v>
      </c>
      <c r="AY93" s="47">
        <v>617</v>
      </c>
      <c r="AZ93" s="46">
        <v>39</v>
      </c>
      <c r="BA93" s="46">
        <v>40</v>
      </c>
      <c r="BB93" s="46">
        <v>1128</v>
      </c>
      <c r="BC93" s="46">
        <v>51</v>
      </c>
      <c r="BD93" s="46">
        <v>133</v>
      </c>
      <c r="BE93" s="46">
        <v>37</v>
      </c>
      <c r="BF93" s="46">
        <v>76</v>
      </c>
      <c r="BG93" s="46">
        <v>880</v>
      </c>
      <c r="BH93" s="46">
        <v>736</v>
      </c>
      <c r="BI93" s="46">
        <v>5909</v>
      </c>
      <c r="BJ93" s="46">
        <v>56</v>
      </c>
      <c r="BK93" s="46">
        <v>1067</v>
      </c>
      <c r="BL93" s="46">
        <v>134</v>
      </c>
      <c r="BM93" s="46">
        <v>52</v>
      </c>
      <c r="BN93" s="46">
        <v>55</v>
      </c>
      <c r="BO93" s="46">
        <v>381</v>
      </c>
      <c r="BP93" s="46">
        <v>97</v>
      </c>
      <c r="BQ93" s="46">
        <v>723</v>
      </c>
      <c r="BR93" s="46">
        <v>194</v>
      </c>
      <c r="BS93" s="46">
        <v>130</v>
      </c>
      <c r="BT93" s="46">
        <v>23</v>
      </c>
      <c r="BU93" s="46">
        <v>149</v>
      </c>
      <c r="BV93" s="46">
        <v>46</v>
      </c>
      <c r="BW93" s="46">
        <v>119</v>
      </c>
      <c r="BX93" s="46">
        <v>0</v>
      </c>
      <c r="BY93" s="25">
        <v>22290</v>
      </c>
      <c r="BZ93" s="25">
        <v>0</v>
      </c>
      <c r="CA93" s="25">
        <v>0</v>
      </c>
      <c r="CB93" s="25">
        <v>0</v>
      </c>
      <c r="CC93" s="25">
        <v>0</v>
      </c>
      <c r="CD93" s="25">
        <v>0</v>
      </c>
      <c r="CE93" s="25">
        <v>0</v>
      </c>
      <c r="CF93" s="25">
        <v>0</v>
      </c>
      <c r="CG93" s="25">
        <v>22290</v>
      </c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</row>
    <row r="94" spans="1:99" s="5" customFormat="1" x14ac:dyDescent="0.3">
      <c r="A94" s="28" t="s">
        <v>182</v>
      </c>
      <c r="B94" s="14" t="s">
        <v>183</v>
      </c>
      <c r="C94" s="5">
        <v>89</v>
      </c>
      <c r="D94" s="46">
        <v>0</v>
      </c>
      <c r="E94" s="46">
        <v>0</v>
      </c>
      <c r="F94" s="46">
        <v>0</v>
      </c>
      <c r="G94" s="46">
        <v>0</v>
      </c>
      <c r="H94" s="46">
        <v>0</v>
      </c>
      <c r="I94" s="46">
        <v>0</v>
      </c>
      <c r="J94" s="46">
        <v>0</v>
      </c>
      <c r="K94" s="46">
        <v>0</v>
      </c>
      <c r="L94" s="46">
        <v>0</v>
      </c>
      <c r="M94" s="46">
        <v>0</v>
      </c>
      <c r="N94" s="46">
        <v>0</v>
      </c>
      <c r="O94" s="46">
        <v>0</v>
      </c>
      <c r="P94" s="46">
        <v>0</v>
      </c>
      <c r="Q94" s="46">
        <v>0</v>
      </c>
      <c r="R94" s="46">
        <v>0</v>
      </c>
      <c r="S94" s="46">
        <v>0</v>
      </c>
      <c r="T94" s="46">
        <v>0</v>
      </c>
      <c r="U94" s="46">
        <v>0</v>
      </c>
      <c r="V94" s="25">
        <v>0</v>
      </c>
      <c r="W94" s="25">
        <v>0</v>
      </c>
      <c r="X94" s="25">
        <v>0</v>
      </c>
      <c r="Y94" s="46">
        <v>0</v>
      </c>
      <c r="Z94" s="46">
        <v>0</v>
      </c>
      <c r="AA94" s="46">
        <v>0</v>
      </c>
      <c r="AB94" s="46">
        <v>0</v>
      </c>
      <c r="AC94" s="46">
        <v>0</v>
      </c>
      <c r="AD94" s="46">
        <v>0</v>
      </c>
      <c r="AE94" s="46">
        <v>0</v>
      </c>
      <c r="AF94" s="46">
        <v>0</v>
      </c>
      <c r="AG94" s="46">
        <v>0</v>
      </c>
      <c r="AH94" s="46">
        <v>0</v>
      </c>
      <c r="AI94" s="46">
        <v>0</v>
      </c>
      <c r="AJ94" s="46">
        <v>0</v>
      </c>
      <c r="AK94" s="46">
        <v>0</v>
      </c>
      <c r="AL94" s="46">
        <v>0</v>
      </c>
      <c r="AM94" s="46">
        <v>0</v>
      </c>
      <c r="AN94" s="46">
        <v>0</v>
      </c>
      <c r="AO94" s="46">
        <v>0</v>
      </c>
      <c r="AP94" s="46">
        <v>0</v>
      </c>
      <c r="AQ94" s="25">
        <v>0</v>
      </c>
      <c r="AR94" s="25">
        <v>0</v>
      </c>
      <c r="AS94" s="25">
        <v>0</v>
      </c>
      <c r="AT94" s="25">
        <v>0</v>
      </c>
      <c r="AU94" s="46">
        <v>0</v>
      </c>
      <c r="AV94" s="46">
        <v>0</v>
      </c>
      <c r="AW94" s="46">
        <v>0</v>
      </c>
      <c r="AX94" s="46">
        <v>0</v>
      </c>
      <c r="AY94" s="47">
        <v>0</v>
      </c>
      <c r="AZ94" s="46">
        <v>0</v>
      </c>
      <c r="BA94" s="46">
        <v>0</v>
      </c>
      <c r="BB94" s="46">
        <v>0</v>
      </c>
      <c r="BC94" s="46">
        <v>0</v>
      </c>
      <c r="BD94" s="46">
        <v>0</v>
      </c>
      <c r="BE94" s="46">
        <v>0</v>
      </c>
      <c r="BF94" s="46">
        <v>0</v>
      </c>
      <c r="BG94" s="46">
        <v>0</v>
      </c>
      <c r="BH94" s="46">
        <v>0</v>
      </c>
      <c r="BI94" s="46">
        <v>0</v>
      </c>
      <c r="BJ94" s="46">
        <v>0</v>
      </c>
      <c r="BK94" s="46">
        <v>0</v>
      </c>
      <c r="BL94" s="46">
        <v>0</v>
      </c>
      <c r="BM94" s="46">
        <v>0</v>
      </c>
      <c r="BN94" s="46">
        <v>0</v>
      </c>
      <c r="BO94" s="46">
        <v>0</v>
      </c>
      <c r="BP94" s="46">
        <v>0</v>
      </c>
      <c r="BQ94" s="46">
        <v>82843</v>
      </c>
      <c r="BR94" s="46">
        <v>6706</v>
      </c>
      <c r="BS94" s="46">
        <v>0</v>
      </c>
      <c r="BT94" s="46">
        <v>7263</v>
      </c>
      <c r="BU94" s="46">
        <v>0</v>
      </c>
      <c r="BV94" s="46">
        <v>0</v>
      </c>
      <c r="BW94" s="46">
        <v>0</v>
      </c>
      <c r="BX94" s="46">
        <v>0</v>
      </c>
      <c r="BY94" s="25">
        <v>96812</v>
      </c>
      <c r="BZ94" s="25">
        <v>0</v>
      </c>
      <c r="CA94" s="25">
        <v>0</v>
      </c>
      <c r="CB94" s="25">
        <v>0</v>
      </c>
      <c r="CC94" s="25">
        <v>0</v>
      </c>
      <c r="CD94" s="25">
        <v>0</v>
      </c>
      <c r="CE94" s="25">
        <v>0</v>
      </c>
      <c r="CF94" s="25">
        <v>0</v>
      </c>
      <c r="CG94" s="25">
        <v>96812</v>
      </c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</row>
    <row r="95" spans="1:99" s="5" customFormat="1" x14ac:dyDescent="0.3">
      <c r="A95" s="66" t="s">
        <v>184</v>
      </c>
      <c r="B95" s="67" t="s">
        <v>185</v>
      </c>
      <c r="C95" s="5">
        <v>90</v>
      </c>
      <c r="D95" s="46">
        <v>182575</v>
      </c>
      <c r="E95" s="46">
        <v>48953</v>
      </c>
      <c r="F95" s="46">
        <v>26039</v>
      </c>
      <c r="G95" s="46">
        <v>3887</v>
      </c>
      <c r="H95" s="46">
        <v>82275</v>
      </c>
      <c r="I95" s="46">
        <v>40026</v>
      </c>
      <c r="J95" s="46">
        <v>4247</v>
      </c>
      <c r="K95" s="46">
        <v>13233</v>
      </c>
      <c r="L95" s="46">
        <v>-927</v>
      </c>
      <c r="M95" s="46">
        <v>27501</v>
      </c>
      <c r="N95" s="46">
        <v>11221</v>
      </c>
      <c r="O95" s="46">
        <v>1741</v>
      </c>
      <c r="P95" s="46">
        <v>4276</v>
      </c>
      <c r="Q95" s="46">
        <v>9211</v>
      </c>
      <c r="R95" s="46">
        <v>4032</v>
      </c>
      <c r="S95" s="46">
        <v>4783</v>
      </c>
      <c r="T95" s="46">
        <v>16893</v>
      </c>
      <c r="U95" s="46">
        <v>4315</v>
      </c>
      <c r="V95" s="25">
        <v>31352.534847079216</v>
      </c>
      <c r="W95" s="25">
        <v>806.22500000000116</v>
      </c>
      <c r="X95" s="25">
        <v>90.240152920784496</v>
      </c>
      <c r="Y95" s="46">
        <v>4134</v>
      </c>
      <c r="Z95" s="46">
        <v>12505</v>
      </c>
      <c r="AA95" s="46">
        <v>5167</v>
      </c>
      <c r="AB95" s="46">
        <v>3587</v>
      </c>
      <c r="AC95" s="46">
        <v>21406</v>
      </c>
      <c r="AD95" s="46">
        <v>5651</v>
      </c>
      <c r="AE95" s="46">
        <v>4831</v>
      </c>
      <c r="AF95" s="46">
        <v>19673</v>
      </c>
      <c r="AG95" s="46">
        <v>9072</v>
      </c>
      <c r="AH95" s="46">
        <v>10310</v>
      </c>
      <c r="AI95" s="46">
        <v>4751</v>
      </c>
      <c r="AJ95" s="46">
        <v>4693</v>
      </c>
      <c r="AK95" s="46">
        <v>8755</v>
      </c>
      <c r="AL95" s="46">
        <v>1419</v>
      </c>
      <c r="AM95" s="46">
        <v>8283</v>
      </c>
      <c r="AN95" s="46">
        <v>2054</v>
      </c>
      <c r="AO95" s="46">
        <v>15383</v>
      </c>
      <c r="AP95" s="46">
        <v>14972</v>
      </c>
      <c r="AQ95" s="25">
        <v>60670.726369437907</v>
      </c>
      <c r="AR95" s="25">
        <v>9910.61827089703</v>
      </c>
      <c r="AS95" s="25">
        <v>7100.5881564106267</v>
      </c>
      <c r="AT95" s="25">
        <v>18879.067203254435</v>
      </c>
      <c r="AU95" s="46">
        <v>26426</v>
      </c>
      <c r="AV95" s="46">
        <v>135690</v>
      </c>
      <c r="AW95" s="46">
        <v>47260</v>
      </c>
      <c r="AX95" s="46">
        <v>320736</v>
      </c>
      <c r="AY95" s="48">
        <f>AY96+AY97</f>
        <v>75354</v>
      </c>
      <c r="AZ95" s="46">
        <v>4521</v>
      </c>
      <c r="BA95" s="46">
        <v>1775</v>
      </c>
      <c r="BB95" s="46">
        <v>33698</v>
      </c>
      <c r="BC95" s="46">
        <v>3121</v>
      </c>
      <c r="BD95" s="46">
        <v>68654</v>
      </c>
      <c r="BE95" s="46">
        <v>1586</v>
      </c>
      <c r="BF95" s="46">
        <v>3948</v>
      </c>
      <c r="BG95" s="46">
        <v>43825</v>
      </c>
      <c r="BH95" s="46">
        <v>51289</v>
      </c>
      <c r="BI95" s="46">
        <v>249222</v>
      </c>
      <c r="BJ95" s="46">
        <v>579640</v>
      </c>
      <c r="BK95" s="46">
        <v>92276</v>
      </c>
      <c r="BL95" s="46">
        <v>20171</v>
      </c>
      <c r="BM95" s="46">
        <v>22865</v>
      </c>
      <c r="BN95" s="46">
        <v>18437</v>
      </c>
      <c r="BO95" s="46">
        <v>54852</v>
      </c>
      <c r="BP95" s="46">
        <v>2998</v>
      </c>
      <c r="BQ95" s="46">
        <v>87157</v>
      </c>
      <c r="BR95" s="46">
        <v>13026</v>
      </c>
      <c r="BS95" s="46">
        <v>10137</v>
      </c>
      <c r="BT95" s="46">
        <v>6529</v>
      </c>
      <c r="BU95" s="46">
        <v>77062</v>
      </c>
      <c r="BV95" s="46">
        <v>9413</v>
      </c>
      <c r="BW95" s="46">
        <v>39805</v>
      </c>
      <c r="BX95" s="46">
        <v>0</v>
      </c>
      <c r="BY95" s="25">
        <v>2871210</v>
      </c>
      <c r="BZ95" s="25">
        <v>0</v>
      </c>
      <c r="CA95" s="25">
        <v>0</v>
      </c>
      <c r="CB95" s="25">
        <v>0</v>
      </c>
      <c r="CC95" s="25">
        <v>0</v>
      </c>
      <c r="CD95" s="25">
        <v>0</v>
      </c>
      <c r="CE95" s="25">
        <v>0</v>
      </c>
      <c r="CF95" s="25">
        <v>0</v>
      </c>
      <c r="CG95" s="25">
        <v>2871210</v>
      </c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</row>
    <row r="96" spans="1:99" s="5" customFormat="1" x14ac:dyDescent="0.3">
      <c r="A96" s="28"/>
      <c r="B96" s="14" t="s">
        <v>186</v>
      </c>
      <c r="C96" s="5">
        <v>91</v>
      </c>
      <c r="D96" s="46">
        <v>97228</v>
      </c>
      <c r="E96" s="46">
        <v>38269</v>
      </c>
      <c r="F96" s="46">
        <v>12179</v>
      </c>
      <c r="G96" s="46">
        <v>254</v>
      </c>
      <c r="H96" s="46">
        <v>0</v>
      </c>
      <c r="I96" s="46">
        <v>0</v>
      </c>
      <c r="J96" s="46">
        <v>0</v>
      </c>
      <c r="K96" s="46">
        <v>365</v>
      </c>
      <c r="L96" s="46">
        <v>0</v>
      </c>
      <c r="M96" s="46">
        <v>4151</v>
      </c>
      <c r="N96" s="46">
        <v>23</v>
      </c>
      <c r="O96" s="46">
        <v>0</v>
      </c>
      <c r="P96" s="46">
        <v>1228</v>
      </c>
      <c r="Q96" s="46">
        <v>6429</v>
      </c>
      <c r="R96" s="46">
        <v>625</v>
      </c>
      <c r="S96" s="46">
        <v>1625</v>
      </c>
      <c r="T96" s="46">
        <v>296</v>
      </c>
      <c r="U96" s="46">
        <v>460</v>
      </c>
      <c r="V96" s="25">
        <v>0</v>
      </c>
      <c r="W96" s="25">
        <v>0</v>
      </c>
      <c r="X96" s="25">
        <v>0</v>
      </c>
      <c r="Y96" s="46">
        <v>0</v>
      </c>
      <c r="Z96" s="46">
        <v>0</v>
      </c>
      <c r="AA96" s="46">
        <v>0</v>
      </c>
      <c r="AB96" s="46">
        <v>585</v>
      </c>
      <c r="AC96" s="46">
        <v>0</v>
      </c>
      <c r="AD96" s="46">
        <v>373</v>
      </c>
      <c r="AE96" s="46">
        <v>799</v>
      </c>
      <c r="AF96" s="46">
        <v>0</v>
      </c>
      <c r="AG96" s="46">
        <v>-18</v>
      </c>
      <c r="AH96" s="46">
        <v>2385</v>
      </c>
      <c r="AI96" s="46">
        <v>0</v>
      </c>
      <c r="AJ96" s="46">
        <v>0</v>
      </c>
      <c r="AK96" s="46">
        <v>0</v>
      </c>
      <c r="AL96" s="46">
        <v>0</v>
      </c>
      <c r="AM96" s="46">
        <v>28</v>
      </c>
      <c r="AN96" s="46">
        <v>0</v>
      </c>
      <c r="AO96" s="46">
        <v>1333</v>
      </c>
      <c r="AP96" s="46">
        <v>5023</v>
      </c>
      <c r="AQ96" s="25">
        <v>0</v>
      </c>
      <c r="AR96" s="25">
        <v>0</v>
      </c>
      <c r="AS96" s="25">
        <v>0</v>
      </c>
      <c r="AT96" s="25">
        <v>0</v>
      </c>
      <c r="AU96" s="46">
        <v>1734</v>
      </c>
      <c r="AV96" s="46">
        <v>68569</v>
      </c>
      <c r="AW96" s="46">
        <v>22740</v>
      </c>
      <c r="AX96" s="46">
        <v>58881</v>
      </c>
      <c r="AY96" s="47">
        <v>25394</v>
      </c>
      <c r="AZ96" s="46">
        <v>430</v>
      </c>
      <c r="BA96" s="46">
        <v>0</v>
      </c>
      <c r="BB96" s="46">
        <v>1273</v>
      </c>
      <c r="BC96" s="46">
        <v>1302</v>
      </c>
      <c r="BD96" s="46">
        <v>48476</v>
      </c>
      <c r="BE96" s="46">
        <v>56</v>
      </c>
      <c r="BF96" s="46">
        <v>853</v>
      </c>
      <c r="BG96" s="46">
        <v>253</v>
      </c>
      <c r="BH96" s="46">
        <v>9240</v>
      </c>
      <c r="BI96" s="46">
        <v>2638</v>
      </c>
      <c r="BJ96" s="46">
        <v>4300</v>
      </c>
      <c r="BK96" s="46">
        <v>39398</v>
      </c>
      <c r="BL96" s="46">
        <v>11034</v>
      </c>
      <c r="BM96" s="46">
        <v>6368</v>
      </c>
      <c r="BN96" s="46">
        <v>793</v>
      </c>
      <c r="BO96" s="46">
        <v>7868</v>
      </c>
      <c r="BP96" s="46">
        <v>1175</v>
      </c>
      <c r="BQ96" s="46">
        <v>0</v>
      </c>
      <c r="BR96" s="46">
        <v>0</v>
      </c>
      <c r="BS96" s="46">
        <v>7947</v>
      </c>
      <c r="BT96" s="46">
        <v>0</v>
      </c>
      <c r="BU96" s="46">
        <v>50020</v>
      </c>
      <c r="BV96" s="46">
        <v>6325</v>
      </c>
      <c r="BW96" s="46">
        <v>32861</v>
      </c>
      <c r="BX96" s="46">
        <v>0</v>
      </c>
      <c r="BY96" s="25">
        <v>583568</v>
      </c>
      <c r="BZ96" s="25">
        <v>0</v>
      </c>
      <c r="CA96" s="25">
        <v>0</v>
      </c>
      <c r="CB96" s="25">
        <v>0</v>
      </c>
      <c r="CC96" s="25">
        <v>0</v>
      </c>
      <c r="CD96" s="25">
        <v>0</v>
      </c>
      <c r="CE96" s="25">
        <v>0</v>
      </c>
      <c r="CF96" s="25">
        <v>0</v>
      </c>
      <c r="CG96" s="25">
        <v>583568</v>
      </c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</row>
    <row r="97" spans="1:99" s="5" customFormat="1" x14ac:dyDescent="0.3">
      <c r="A97" s="28"/>
      <c r="B97" s="14" t="s">
        <v>187</v>
      </c>
      <c r="C97" s="5">
        <v>92</v>
      </c>
      <c r="D97" s="46">
        <v>85347</v>
      </c>
      <c r="E97" s="46">
        <v>10684</v>
      </c>
      <c r="F97" s="46">
        <v>13860</v>
      </c>
      <c r="G97" s="46">
        <v>3633</v>
      </c>
      <c r="H97" s="46">
        <v>82275</v>
      </c>
      <c r="I97" s="46">
        <v>40026</v>
      </c>
      <c r="J97" s="46">
        <v>4247</v>
      </c>
      <c r="K97" s="46">
        <v>12868</v>
      </c>
      <c r="L97" s="46">
        <v>-927</v>
      </c>
      <c r="M97" s="46">
        <v>23350</v>
      </c>
      <c r="N97" s="46">
        <v>11198</v>
      </c>
      <c r="O97" s="46">
        <v>1741</v>
      </c>
      <c r="P97" s="46">
        <v>3048</v>
      </c>
      <c r="Q97" s="46">
        <v>2782</v>
      </c>
      <c r="R97" s="46">
        <v>3407</v>
      </c>
      <c r="S97" s="46">
        <v>3158</v>
      </c>
      <c r="T97" s="46">
        <v>16597</v>
      </c>
      <c r="U97" s="46">
        <v>3855</v>
      </c>
      <c r="V97" s="25">
        <v>31352.534847079216</v>
      </c>
      <c r="W97" s="25">
        <v>806.22500000000116</v>
      </c>
      <c r="X97" s="25">
        <v>90.240152920784496</v>
      </c>
      <c r="Y97" s="46">
        <v>4134</v>
      </c>
      <c r="Z97" s="46">
        <v>12505</v>
      </c>
      <c r="AA97" s="46">
        <v>5167</v>
      </c>
      <c r="AB97" s="46">
        <v>3002</v>
      </c>
      <c r="AC97" s="46">
        <v>21406</v>
      </c>
      <c r="AD97" s="46">
        <v>5278</v>
      </c>
      <c r="AE97" s="46">
        <v>4032</v>
      </c>
      <c r="AF97" s="46">
        <v>19673</v>
      </c>
      <c r="AG97" s="46">
        <v>9090</v>
      </c>
      <c r="AH97" s="46">
        <v>7925</v>
      </c>
      <c r="AI97" s="46">
        <v>4751</v>
      </c>
      <c r="AJ97" s="46">
        <v>4693</v>
      </c>
      <c r="AK97" s="46">
        <v>8755</v>
      </c>
      <c r="AL97" s="46">
        <v>1419</v>
      </c>
      <c r="AM97" s="46">
        <v>8255</v>
      </c>
      <c r="AN97" s="46">
        <v>2054</v>
      </c>
      <c r="AO97" s="46">
        <v>14050</v>
      </c>
      <c r="AP97" s="46">
        <v>9949</v>
      </c>
      <c r="AQ97" s="25">
        <v>60670.726369437907</v>
      </c>
      <c r="AR97" s="25">
        <v>9910.61827089703</v>
      </c>
      <c r="AS97" s="25">
        <v>7100.5881564106267</v>
      </c>
      <c r="AT97" s="25">
        <v>18879.067203254435</v>
      </c>
      <c r="AU97" s="46">
        <v>24692</v>
      </c>
      <c r="AV97" s="46">
        <v>67121</v>
      </c>
      <c r="AW97" s="46">
        <v>24520</v>
      </c>
      <c r="AX97" s="46">
        <v>261855</v>
      </c>
      <c r="AY97" s="47">
        <v>49960</v>
      </c>
      <c r="AZ97" s="46">
        <v>4091</v>
      </c>
      <c r="BA97" s="46">
        <v>1775</v>
      </c>
      <c r="BB97" s="46">
        <v>32425</v>
      </c>
      <c r="BC97" s="46">
        <v>1819</v>
      </c>
      <c r="BD97" s="46">
        <v>20178</v>
      </c>
      <c r="BE97" s="46">
        <v>1530</v>
      </c>
      <c r="BF97" s="46">
        <v>3095</v>
      </c>
      <c r="BG97" s="46">
        <v>43572</v>
      </c>
      <c r="BH97" s="46">
        <v>42049</v>
      </c>
      <c r="BI97" s="46">
        <v>246584</v>
      </c>
      <c r="BJ97" s="46">
        <v>575340</v>
      </c>
      <c r="BK97" s="46">
        <v>52878</v>
      </c>
      <c r="BL97" s="46">
        <v>9137</v>
      </c>
      <c r="BM97" s="46">
        <v>16497</v>
      </c>
      <c r="BN97" s="46">
        <v>17644</v>
      </c>
      <c r="BO97" s="46">
        <v>46984</v>
      </c>
      <c r="BP97" s="46">
        <v>1823</v>
      </c>
      <c r="BQ97" s="46">
        <v>87157</v>
      </c>
      <c r="BR97" s="46">
        <v>13026</v>
      </c>
      <c r="BS97" s="46">
        <v>2190</v>
      </c>
      <c r="BT97" s="46">
        <v>6529</v>
      </c>
      <c r="BU97" s="46">
        <v>27042</v>
      </c>
      <c r="BV97" s="46">
        <v>3088</v>
      </c>
      <c r="BW97" s="46">
        <v>6944</v>
      </c>
      <c r="BX97" s="46">
        <v>0</v>
      </c>
      <c r="BY97" s="25">
        <v>2287642</v>
      </c>
      <c r="BZ97" s="25">
        <v>0</v>
      </c>
      <c r="CA97" s="25">
        <v>0</v>
      </c>
      <c r="CB97" s="25">
        <v>0</v>
      </c>
      <c r="CC97" s="25">
        <v>0</v>
      </c>
      <c r="CD97" s="25">
        <v>0</v>
      </c>
      <c r="CE97" s="25">
        <v>0</v>
      </c>
      <c r="CF97" s="25">
        <v>0</v>
      </c>
      <c r="CG97" s="25">
        <v>2287642</v>
      </c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</row>
    <row r="98" spans="1:99" s="5" customFormat="1" x14ac:dyDescent="0.3">
      <c r="A98" s="66" t="s">
        <v>188</v>
      </c>
      <c r="B98" s="67" t="s">
        <v>189</v>
      </c>
      <c r="C98" s="5">
        <v>93</v>
      </c>
      <c r="D98" s="25">
        <v>216931</v>
      </c>
      <c r="E98" s="25">
        <v>71170</v>
      </c>
      <c r="F98" s="25">
        <v>28294</v>
      </c>
      <c r="G98" s="25">
        <v>8013</v>
      </c>
      <c r="H98" s="25">
        <v>99192</v>
      </c>
      <c r="I98" s="25">
        <v>44528</v>
      </c>
      <c r="J98" s="25">
        <v>6854</v>
      </c>
      <c r="K98" s="25">
        <v>43350</v>
      </c>
      <c r="L98" s="25">
        <v>7763</v>
      </c>
      <c r="M98" s="25">
        <v>62923</v>
      </c>
      <c r="N98" s="25">
        <v>21174</v>
      </c>
      <c r="O98" s="25">
        <v>3452</v>
      </c>
      <c r="P98" s="25">
        <v>15538</v>
      </c>
      <c r="Q98" s="25">
        <v>27754</v>
      </c>
      <c r="R98" s="25">
        <v>15080</v>
      </c>
      <c r="S98" s="25">
        <v>11427</v>
      </c>
      <c r="T98" s="25">
        <v>30921</v>
      </c>
      <c r="U98" s="25">
        <v>9979</v>
      </c>
      <c r="V98" s="25">
        <v>39997.352976640701</v>
      </c>
      <c r="W98" s="25">
        <v>1028.5250000000015</v>
      </c>
      <c r="X98" s="25">
        <v>115.1220233592978</v>
      </c>
      <c r="Y98" s="25">
        <v>11147</v>
      </c>
      <c r="Z98" s="25">
        <v>25408</v>
      </c>
      <c r="AA98" s="25">
        <v>14547</v>
      </c>
      <c r="AB98" s="25">
        <v>10441</v>
      </c>
      <c r="AC98" s="25">
        <v>34101</v>
      </c>
      <c r="AD98" s="25">
        <v>28568</v>
      </c>
      <c r="AE98" s="25">
        <v>23981</v>
      </c>
      <c r="AF98" s="25">
        <v>33074</v>
      </c>
      <c r="AG98" s="25">
        <v>15319</v>
      </c>
      <c r="AH98" s="25">
        <v>32352</v>
      </c>
      <c r="AI98" s="25">
        <v>14526</v>
      </c>
      <c r="AJ98" s="25">
        <v>19324</v>
      </c>
      <c r="AK98" s="25">
        <v>36375</v>
      </c>
      <c r="AL98" s="25">
        <v>21902</v>
      </c>
      <c r="AM98" s="25">
        <v>29138</v>
      </c>
      <c r="AN98" s="25">
        <v>10311</v>
      </c>
      <c r="AO98" s="25">
        <v>32031</v>
      </c>
      <c r="AP98" s="25">
        <v>28029</v>
      </c>
      <c r="AQ98" s="25">
        <v>75160.170411404295</v>
      </c>
      <c r="AR98" s="25">
        <v>11602.490433669687</v>
      </c>
      <c r="AS98" s="25">
        <v>8728.4526124363856</v>
      </c>
      <c r="AT98" s="25">
        <v>22564.886542489628</v>
      </c>
      <c r="AU98" s="25">
        <v>49419</v>
      </c>
      <c r="AV98" s="25">
        <v>240260</v>
      </c>
      <c r="AW98" s="25">
        <v>96441</v>
      </c>
      <c r="AX98" s="25">
        <v>673264</v>
      </c>
      <c r="AY98" s="41">
        <f>AY95+AY89</f>
        <v>163231</v>
      </c>
      <c r="AZ98" s="25">
        <v>9658</v>
      </c>
      <c r="BA98" s="25">
        <v>9267</v>
      </c>
      <c r="BB98" s="25">
        <v>77735</v>
      </c>
      <c r="BC98" s="25">
        <v>14428</v>
      </c>
      <c r="BD98" s="25">
        <v>128770</v>
      </c>
      <c r="BE98" s="25">
        <v>8384</v>
      </c>
      <c r="BF98" s="25">
        <v>15626</v>
      </c>
      <c r="BG98" s="25">
        <v>63037</v>
      </c>
      <c r="BH98" s="25">
        <v>108476</v>
      </c>
      <c r="BI98" s="25">
        <v>414439</v>
      </c>
      <c r="BJ98" s="25">
        <v>587563</v>
      </c>
      <c r="BK98" s="25">
        <v>154215</v>
      </c>
      <c r="BL98" s="25">
        <v>38756</v>
      </c>
      <c r="BM98" s="25">
        <v>38294</v>
      </c>
      <c r="BN98" s="25">
        <v>29781</v>
      </c>
      <c r="BO98" s="25">
        <v>173256</v>
      </c>
      <c r="BP98" s="25">
        <v>34072</v>
      </c>
      <c r="BQ98" s="25">
        <v>615860</v>
      </c>
      <c r="BR98" s="25">
        <v>295116</v>
      </c>
      <c r="BS98" s="25">
        <v>100070</v>
      </c>
      <c r="BT98" s="25">
        <v>134229</v>
      </c>
      <c r="BU98" s="25">
        <v>166893</v>
      </c>
      <c r="BV98" s="25">
        <v>22678</v>
      </c>
      <c r="BW98" s="25">
        <v>85200</v>
      </c>
      <c r="BX98" s="25">
        <v>74451</v>
      </c>
      <c r="BY98" s="25">
        <v>5926983</v>
      </c>
      <c r="BZ98" s="25">
        <v>0</v>
      </c>
      <c r="CA98" s="25">
        <v>0</v>
      </c>
      <c r="CB98" s="25">
        <v>0</v>
      </c>
      <c r="CC98" s="25">
        <v>0</v>
      </c>
      <c r="CD98" s="25">
        <v>0</v>
      </c>
      <c r="CE98" s="25">
        <v>0</v>
      </c>
      <c r="CF98" s="25">
        <v>0</v>
      </c>
      <c r="CG98" s="25">
        <v>5926983</v>
      </c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</row>
    <row r="99" spans="1:99" s="5" customFormat="1" x14ac:dyDescent="0.3">
      <c r="A99" s="28" t="s">
        <v>190</v>
      </c>
      <c r="B99" s="14" t="s">
        <v>191</v>
      </c>
      <c r="C99" s="5">
        <v>94</v>
      </c>
      <c r="D99" s="46">
        <v>1841</v>
      </c>
      <c r="E99" s="46">
        <v>641</v>
      </c>
      <c r="F99" s="46">
        <v>151</v>
      </c>
      <c r="G99" s="46">
        <v>199</v>
      </c>
      <c r="H99" s="46">
        <v>1568</v>
      </c>
      <c r="I99" s="46">
        <v>630</v>
      </c>
      <c r="J99" s="46">
        <v>170</v>
      </c>
      <c r="K99" s="46">
        <v>2563</v>
      </c>
      <c r="L99" s="46">
        <v>775</v>
      </c>
      <c r="M99" s="46">
        <v>3210</v>
      </c>
      <c r="N99" s="46">
        <v>938</v>
      </c>
      <c r="O99" s="46">
        <v>130</v>
      </c>
      <c r="P99" s="46">
        <v>530</v>
      </c>
      <c r="Q99" s="46">
        <v>650</v>
      </c>
      <c r="R99" s="46">
        <v>490</v>
      </c>
      <c r="S99" s="46">
        <v>363</v>
      </c>
      <c r="T99" s="46">
        <v>939</v>
      </c>
      <c r="U99" s="46">
        <v>281</v>
      </c>
      <c r="V99" s="25">
        <v>1318.044608560534</v>
      </c>
      <c r="W99" s="25">
        <v>26.900000000000002</v>
      </c>
      <c r="X99" s="25">
        <v>5.5391439466079474E-2</v>
      </c>
      <c r="Y99" s="46">
        <v>501</v>
      </c>
      <c r="Z99" s="46">
        <v>1318</v>
      </c>
      <c r="AA99" s="46">
        <v>705</v>
      </c>
      <c r="AB99" s="46">
        <v>479</v>
      </c>
      <c r="AC99" s="46">
        <v>709</v>
      </c>
      <c r="AD99" s="46">
        <v>1197</v>
      </c>
      <c r="AE99" s="46">
        <v>875</v>
      </c>
      <c r="AF99" s="46">
        <v>1156</v>
      </c>
      <c r="AG99" s="46">
        <v>555</v>
      </c>
      <c r="AH99" s="46">
        <v>1058</v>
      </c>
      <c r="AI99" s="46">
        <v>1074</v>
      </c>
      <c r="AJ99" s="46">
        <v>784</v>
      </c>
      <c r="AK99" s="46">
        <v>1363</v>
      </c>
      <c r="AL99" s="46">
        <v>1530</v>
      </c>
      <c r="AM99" s="46">
        <v>1108</v>
      </c>
      <c r="AN99" s="46">
        <v>419</v>
      </c>
      <c r="AO99" s="46">
        <v>725</v>
      </c>
      <c r="AP99" s="46">
        <v>486</v>
      </c>
      <c r="AQ99" s="25">
        <v>2228.8840747626796</v>
      </c>
      <c r="AR99" s="25">
        <v>364.09023852039769</v>
      </c>
      <c r="AS99" s="25">
        <v>260.85706913910423</v>
      </c>
      <c r="AT99" s="25">
        <v>303.16861757781845</v>
      </c>
      <c r="AU99" s="46">
        <v>951</v>
      </c>
      <c r="AV99" s="46">
        <v>3384</v>
      </c>
      <c r="AW99" s="46">
        <v>1466</v>
      </c>
      <c r="AX99" s="46">
        <v>12523</v>
      </c>
      <c r="AY99" s="47">
        <v>3613</v>
      </c>
      <c r="AZ99" s="46">
        <v>417</v>
      </c>
      <c r="BA99" s="46">
        <v>712</v>
      </c>
      <c r="BB99" s="46">
        <v>1734</v>
      </c>
      <c r="BC99" s="46">
        <v>394</v>
      </c>
      <c r="BD99" s="46">
        <v>1741</v>
      </c>
      <c r="BE99" s="46">
        <v>228</v>
      </c>
      <c r="BF99" s="46">
        <v>1362</v>
      </c>
      <c r="BG99" s="46">
        <v>6971</v>
      </c>
      <c r="BH99" s="46">
        <v>2073</v>
      </c>
      <c r="BI99" s="46">
        <v>8223</v>
      </c>
      <c r="BJ99" s="46">
        <v>473</v>
      </c>
      <c r="BK99" s="46">
        <v>2660</v>
      </c>
      <c r="BL99" s="46">
        <v>617</v>
      </c>
      <c r="BM99" s="46">
        <v>520</v>
      </c>
      <c r="BN99" s="46">
        <v>525</v>
      </c>
      <c r="BO99" s="46">
        <v>3452</v>
      </c>
      <c r="BP99" s="46">
        <v>1043</v>
      </c>
      <c r="BQ99" s="46">
        <v>163</v>
      </c>
      <c r="BR99" s="46">
        <v>17</v>
      </c>
      <c r="BS99" s="46">
        <v>2814</v>
      </c>
      <c r="BT99" s="46">
        <v>0</v>
      </c>
      <c r="BU99" s="46">
        <v>3006</v>
      </c>
      <c r="BV99" s="46">
        <v>306</v>
      </c>
      <c r="BW99" s="46">
        <v>1199</v>
      </c>
      <c r="BX99" s="46">
        <v>0</v>
      </c>
      <c r="BY99" s="25">
        <v>99200</v>
      </c>
      <c r="BZ99" s="25">
        <v>0</v>
      </c>
      <c r="CA99" s="25">
        <v>0</v>
      </c>
      <c r="CB99" s="25">
        <v>0</v>
      </c>
      <c r="CC99" s="25">
        <v>0</v>
      </c>
      <c r="CD99" s="25">
        <v>0</v>
      </c>
      <c r="CE99" s="25">
        <v>0</v>
      </c>
      <c r="CF99" s="25">
        <v>0</v>
      </c>
      <c r="CG99" s="25">
        <v>99200</v>
      </c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</row>
    <row r="100" spans="1:99" s="5" customFormat="1" x14ac:dyDescent="0.3">
      <c r="A100" s="28" t="s">
        <v>192</v>
      </c>
      <c r="B100" s="14" t="s">
        <v>193</v>
      </c>
      <c r="C100" s="5">
        <v>95</v>
      </c>
      <c r="D100" s="46">
        <v>-9261</v>
      </c>
      <c r="E100" s="46">
        <v>-119</v>
      </c>
      <c r="F100" s="46">
        <v>-37</v>
      </c>
      <c r="G100" s="46">
        <v>-61</v>
      </c>
      <c r="H100" s="46">
        <v>0</v>
      </c>
      <c r="I100" s="46">
        <v>-24</v>
      </c>
      <c r="J100" s="46">
        <v>0</v>
      </c>
      <c r="K100" s="46">
        <v>-82</v>
      </c>
      <c r="L100" s="46">
        <v>-114</v>
      </c>
      <c r="M100" s="46">
        <v>-105</v>
      </c>
      <c r="N100" s="46">
        <v>-32</v>
      </c>
      <c r="O100" s="46">
        <v>0</v>
      </c>
      <c r="P100" s="46">
        <v>-21</v>
      </c>
      <c r="Q100" s="46">
        <v>0</v>
      </c>
      <c r="R100" s="46">
        <v>0</v>
      </c>
      <c r="S100" s="46">
        <v>-31</v>
      </c>
      <c r="T100" s="46">
        <v>-80</v>
      </c>
      <c r="U100" s="46">
        <v>0</v>
      </c>
      <c r="V100" s="25">
        <v>-146.99382251604467</v>
      </c>
      <c r="W100" s="25">
        <v>-3</v>
      </c>
      <c r="X100" s="25">
        <v>-6.1774839553248488E-3</v>
      </c>
      <c r="Y100" s="46">
        <v>-124</v>
      </c>
      <c r="Z100" s="46">
        <v>-30</v>
      </c>
      <c r="AA100" s="46">
        <v>0</v>
      </c>
      <c r="AB100" s="46">
        <v>0</v>
      </c>
      <c r="AC100" s="46">
        <v>-21</v>
      </c>
      <c r="AD100" s="46">
        <v>-120</v>
      </c>
      <c r="AE100" s="46">
        <v>-99</v>
      </c>
      <c r="AF100" s="46">
        <v>-53</v>
      </c>
      <c r="AG100" s="46">
        <v>-28</v>
      </c>
      <c r="AH100" s="46">
        <v>-67</v>
      </c>
      <c r="AI100" s="46">
        <v>0</v>
      </c>
      <c r="AJ100" s="46">
        <v>-74</v>
      </c>
      <c r="AK100" s="46">
        <v>-195</v>
      </c>
      <c r="AL100" s="46">
        <v>-219</v>
      </c>
      <c r="AM100" s="46">
        <v>-180</v>
      </c>
      <c r="AN100" s="46">
        <v>-51</v>
      </c>
      <c r="AO100" s="46">
        <v>-28</v>
      </c>
      <c r="AP100" s="46">
        <v>0</v>
      </c>
      <c r="AQ100" s="25">
        <v>-84.01558596666419</v>
      </c>
      <c r="AR100" s="25">
        <v>-13.724022294560445</v>
      </c>
      <c r="AS100" s="25">
        <v>-9.8327498345116879</v>
      </c>
      <c r="AT100" s="25">
        <v>-11.427641904263668</v>
      </c>
      <c r="AU100" s="46">
        <v>-31</v>
      </c>
      <c r="AV100" s="46">
        <v>-364</v>
      </c>
      <c r="AW100" s="46">
        <v>-29</v>
      </c>
      <c r="AX100" s="46">
        <v>-618</v>
      </c>
      <c r="AY100" s="47">
        <v>-1629</v>
      </c>
      <c r="AZ100" s="46">
        <v>0</v>
      </c>
      <c r="BA100" s="46">
        <v>-25</v>
      </c>
      <c r="BB100" s="46">
        <v>-49</v>
      </c>
      <c r="BC100" s="46">
        <v>0</v>
      </c>
      <c r="BD100" s="46">
        <v>0</v>
      </c>
      <c r="BE100" s="46">
        <v>0</v>
      </c>
      <c r="BF100" s="46">
        <v>0</v>
      </c>
      <c r="BG100" s="46">
        <v>-64</v>
      </c>
      <c r="BH100" s="46">
        <v>0</v>
      </c>
      <c r="BI100" s="46">
        <v>0</v>
      </c>
      <c r="BJ100" s="46">
        <v>0</v>
      </c>
      <c r="BK100" s="46">
        <v>0</v>
      </c>
      <c r="BL100" s="46">
        <v>-374</v>
      </c>
      <c r="BM100" s="46">
        <v>0</v>
      </c>
      <c r="BN100" s="46">
        <v>-155</v>
      </c>
      <c r="BO100" s="46">
        <v>-49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-121</v>
      </c>
      <c r="BV100" s="46">
        <v>0</v>
      </c>
      <c r="BW100" s="46">
        <v>0</v>
      </c>
      <c r="BX100" s="46">
        <v>0</v>
      </c>
      <c r="BY100" s="25">
        <v>-15033</v>
      </c>
      <c r="BZ100" s="25">
        <v>0</v>
      </c>
      <c r="CA100" s="25">
        <v>0</v>
      </c>
      <c r="CB100" s="25">
        <v>0</v>
      </c>
      <c r="CC100" s="25">
        <v>0</v>
      </c>
      <c r="CD100" s="25">
        <v>0</v>
      </c>
      <c r="CE100" s="25">
        <v>0</v>
      </c>
      <c r="CF100" s="25">
        <v>0</v>
      </c>
      <c r="CG100" s="25">
        <v>-15033</v>
      </c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</row>
    <row r="101" spans="1:99" s="5" customFormat="1" x14ac:dyDescent="0.3">
      <c r="A101" s="66" t="s">
        <v>194</v>
      </c>
      <c r="B101" s="67" t="s">
        <v>195</v>
      </c>
      <c r="C101" s="5">
        <v>96</v>
      </c>
      <c r="D101" s="46">
        <v>209511</v>
      </c>
      <c r="E101" s="46">
        <v>71692</v>
      </c>
      <c r="F101" s="46">
        <v>28408</v>
      </c>
      <c r="G101" s="46">
        <v>8151</v>
      </c>
      <c r="H101" s="46">
        <v>100760</v>
      </c>
      <c r="I101" s="46">
        <v>45134</v>
      </c>
      <c r="J101" s="46">
        <v>7024</v>
      </c>
      <c r="K101" s="46">
        <v>45831</v>
      </c>
      <c r="L101" s="46">
        <v>8424</v>
      </c>
      <c r="M101" s="46">
        <v>66028</v>
      </c>
      <c r="N101" s="46">
        <v>22080</v>
      </c>
      <c r="O101" s="46">
        <v>3582</v>
      </c>
      <c r="P101" s="46">
        <v>16047</v>
      </c>
      <c r="Q101" s="46">
        <v>28404</v>
      </c>
      <c r="R101" s="46">
        <v>15570</v>
      </c>
      <c r="S101" s="46">
        <v>11759</v>
      </c>
      <c r="T101" s="46">
        <v>31780</v>
      </c>
      <c r="U101" s="46">
        <v>10260</v>
      </c>
      <c r="V101" s="25">
        <v>41168.403762685193</v>
      </c>
      <c r="W101" s="25">
        <v>1052.4250000000015</v>
      </c>
      <c r="X101" s="25">
        <v>115.17123731480855</v>
      </c>
      <c r="Y101" s="46">
        <v>11524</v>
      </c>
      <c r="Z101" s="46">
        <v>26696</v>
      </c>
      <c r="AA101" s="46">
        <v>15252</v>
      </c>
      <c r="AB101" s="46">
        <v>10920</v>
      </c>
      <c r="AC101" s="46">
        <v>34789</v>
      </c>
      <c r="AD101" s="46">
        <v>29645</v>
      </c>
      <c r="AE101" s="46">
        <v>24757</v>
      </c>
      <c r="AF101" s="46">
        <v>34177</v>
      </c>
      <c r="AG101" s="46">
        <v>15846</v>
      </c>
      <c r="AH101" s="46">
        <v>33343</v>
      </c>
      <c r="AI101" s="46">
        <v>15600</v>
      </c>
      <c r="AJ101" s="46">
        <v>20034</v>
      </c>
      <c r="AK101" s="46">
        <v>37543</v>
      </c>
      <c r="AL101" s="46">
        <v>23213</v>
      </c>
      <c r="AM101" s="46">
        <v>30066</v>
      </c>
      <c r="AN101" s="46">
        <v>10679</v>
      </c>
      <c r="AO101" s="46">
        <v>32728</v>
      </c>
      <c r="AP101" s="46">
        <v>28515</v>
      </c>
      <c r="AQ101" s="25">
        <v>77305.038900200307</v>
      </c>
      <c r="AR101" s="25">
        <v>11952.856649895524</v>
      </c>
      <c r="AS101" s="25">
        <v>8979.4769317409791</v>
      </c>
      <c r="AT101" s="25">
        <v>22856.627518163183</v>
      </c>
      <c r="AU101" s="46">
        <v>50339</v>
      </c>
      <c r="AV101" s="46">
        <v>243280</v>
      </c>
      <c r="AW101" s="46">
        <v>97878</v>
      </c>
      <c r="AX101" s="46">
        <v>685169</v>
      </c>
      <c r="AY101" s="48">
        <f>AY98+AY99+AY100</f>
        <v>165215</v>
      </c>
      <c r="AZ101" s="46">
        <v>10075</v>
      </c>
      <c r="BA101" s="46">
        <v>9954</v>
      </c>
      <c r="BB101" s="46">
        <v>79420</v>
      </c>
      <c r="BC101" s="46">
        <v>14822</v>
      </c>
      <c r="BD101" s="46">
        <v>130511</v>
      </c>
      <c r="BE101" s="46">
        <v>8612</v>
      </c>
      <c r="BF101" s="46">
        <v>16988</v>
      </c>
      <c r="BG101" s="46">
        <v>69944</v>
      </c>
      <c r="BH101" s="46">
        <v>110549</v>
      </c>
      <c r="BI101" s="46">
        <v>422662</v>
      </c>
      <c r="BJ101" s="46">
        <v>588036</v>
      </c>
      <c r="BK101" s="46">
        <v>156875</v>
      </c>
      <c r="BL101" s="46">
        <v>38999</v>
      </c>
      <c r="BM101" s="46">
        <v>38814</v>
      </c>
      <c r="BN101" s="46">
        <v>30151</v>
      </c>
      <c r="BO101" s="46">
        <v>176659</v>
      </c>
      <c r="BP101" s="46">
        <v>35115</v>
      </c>
      <c r="BQ101" s="46">
        <v>616023</v>
      </c>
      <c r="BR101" s="46">
        <v>295133</v>
      </c>
      <c r="BS101" s="46">
        <v>102884</v>
      </c>
      <c r="BT101" s="46">
        <v>134229</v>
      </c>
      <c r="BU101" s="46">
        <v>169778</v>
      </c>
      <c r="BV101" s="46">
        <v>22984</v>
      </c>
      <c r="BW101" s="46">
        <v>86399</v>
      </c>
      <c r="BX101" s="46">
        <v>74451</v>
      </c>
      <c r="BY101" s="25">
        <v>6011150</v>
      </c>
      <c r="BZ101" s="25">
        <v>0</v>
      </c>
      <c r="CA101" s="25">
        <v>0</v>
      </c>
      <c r="CB101" s="25">
        <v>0</v>
      </c>
      <c r="CC101" s="25">
        <v>0</v>
      </c>
      <c r="CD101" s="25">
        <v>0</v>
      </c>
      <c r="CE101" s="25">
        <v>0</v>
      </c>
      <c r="CF101" s="25">
        <v>0</v>
      </c>
      <c r="CG101" s="25">
        <v>6011150</v>
      </c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</row>
    <row r="102" spans="1:99" s="5" customFormat="1" x14ac:dyDescent="0.3">
      <c r="A102" s="28" t="s">
        <v>196</v>
      </c>
      <c r="B102" s="14" t="s">
        <v>197</v>
      </c>
      <c r="C102" s="5">
        <v>97</v>
      </c>
      <c r="D102" s="46">
        <v>398037</v>
      </c>
      <c r="E102" s="46">
        <v>151959</v>
      </c>
      <c r="F102" s="46">
        <v>37870</v>
      </c>
      <c r="G102" s="46">
        <v>20011</v>
      </c>
      <c r="H102" s="46">
        <v>225938</v>
      </c>
      <c r="I102" s="46">
        <v>92326</v>
      </c>
      <c r="J102" s="46">
        <v>18273</v>
      </c>
      <c r="K102" s="46">
        <v>292406</v>
      </c>
      <c r="L102" s="46">
        <v>51555</v>
      </c>
      <c r="M102" s="46">
        <v>324943</v>
      </c>
      <c r="N102" s="46">
        <v>78544</v>
      </c>
      <c r="O102" s="46">
        <v>15694</v>
      </c>
      <c r="P102" s="46">
        <v>54793</v>
      </c>
      <c r="Q102" s="46">
        <v>66432</v>
      </c>
      <c r="R102" s="46">
        <v>43848</v>
      </c>
      <c r="S102" s="46">
        <v>32687</v>
      </c>
      <c r="T102" s="46">
        <v>109595</v>
      </c>
      <c r="U102" s="46">
        <v>21333</v>
      </c>
      <c r="V102" s="25">
        <v>433811.26648911083</v>
      </c>
      <c r="W102" s="25">
        <v>10385.862128765166</v>
      </c>
      <c r="X102" s="25">
        <v>3303.8713821240121</v>
      </c>
      <c r="Y102" s="46">
        <v>54637</v>
      </c>
      <c r="Z102" s="46">
        <v>179506</v>
      </c>
      <c r="AA102" s="46">
        <v>88308</v>
      </c>
      <c r="AB102" s="46">
        <v>50176</v>
      </c>
      <c r="AC102" s="46">
        <v>76244</v>
      </c>
      <c r="AD102" s="46">
        <v>121217</v>
      </c>
      <c r="AE102" s="46">
        <v>83888</v>
      </c>
      <c r="AF102" s="46">
        <v>150065</v>
      </c>
      <c r="AG102" s="46">
        <v>73148</v>
      </c>
      <c r="AH102" s="46">
        <v>101954</v>
      </c>
      <c r="AI102" s="46">
        <v>103544</v>
      </c>
      <c r="AJ102" s="46">
        <v>79945</v>
      </c>
      <c r="AK102" s="46">
        <v>129313</v>
      </c>
      <c r="AL102" s="46">
        <v>187915</v>
      </c>
      <c r="AM102" s="46">
        <v>105992</v>
      </c>
      <c r="AN102" s="46">
        <v>41813</v>
      </c>
      <c r="AO102" s="46">
        <v>75235</v>
      </c>
      <c r="AP102" s="46">
        <v>79968</v>
      </c>
      <c r="AQ102" s="25">
        <v>231741.35660714976</v>
      </c>
      <c r="AR102" s="25">
        <v>34484.752941129023</v>
      </c>
      <c r="AS102" s="25">
        <v>16753.735752267654</v>
      </c>
      <c r="AT102" s="25">
        <v>40159.15469945356</v>
      </c>
      <c r="AU102" s="46">
        <v>82220</v>
      </c>
      <c r="AV102" s="46">
        <v>552073</v>
      </c>
      <c r="AW102" s="46">
        <v>175093</v>
      </c>
      <c r="AX102" s="46">
        <v>1120579</v>
      </c>
      <c r="AY102" s="48">
        <f>AY101+AY88</f>
        <v>398813.00000000012</v>
      </c>
      <c r="AZ102" s="46">
        <v>23042</v>
      </c>
      <c r="BA102" s="46">
        <v>44807</v>
      </c>
      <c r="BB102" s="46">
        <v>138844</v>
      </c>
      <c r="BC102" s="46">
        <v>27787</v>
      </c>
      <c r="BD102" s="46">
        <v>276938</v>
      </c>
      <c r="BE102" s="46">
        <v>17903</v>
      </c>
      <c r="BF102" s="46">
        <v>43874</v>
      </c>
      <c r="BG102" s="46">
        <v>166879</v>
      </c>
      <c r="BH102" s="46">
        <v>167410</v>
      </c>
      <c r="BI102" s="46">
        <v>649009</v>
      </c>
      <c r="BJ102" s="46">
        <v>639752</v>
      </c>
      <c r="BK102" s="46">
        <v>228613</v>
      </c>
      <c r="BL102" s="46">
        <v>62891</v>
      </c>
      <c r="BM102" s="46">
        <v>104820</v>
      </c>
      <c r="BN102" s="46">
        <v>48479</v>
      </c>
      <c r="BO102" s="46">
        <v>261715</v>
      </c>
      <c r="BP102" s="46">
        <v>43096</v>
      </c>
      <c r="BQ102" s="46">
        <v>858764</v>
      </c>
      <c r="BR102" s="46">
        <v>351095</v>
      </c>
      <c r="BS102" s="46">
        <v>143437</v>
      </c>
      <c r="BT102" s="46">
        <v>202716</v>
      </c>
      <c r="BU102" s="46">
        <v>302873</v>
      </c>
      <c r="BV102" s="46">
        <v>40366</v>
      </c>
      <c r="BW102" s="46">
        <v>171919</v>
      </c>
      <c r="BX102" s="46">
        <v>74451</v>
      </c>
      <c r="BY102" s="25">
        <v>12010010</v>
      </c>
      <c r="BZ102" s="25">
        <v>0</v>
      </c>
      <c r="CA102" s="25">
        <v>0</v>
      </c>
      <c r="CB102" s="25">
        <v>0</v>
      </c>
      <c r="CC102" s="25">
        <v>0</v>
      </c>
      <c r="CD102" s="25">
        <v>0</v>
      </c>
      <c r="CE102" s="25">
        <v>0</v>
      </c>
      <c r="CF102" s="25">
        <v>0</v>
      </c>
      <c r="CG102" s="25">
        <v>12010010</v>
      </c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</row>
    <row r="103" spans="1:99" s="5" customFormat="1" x14ac:dyDescent="0.3">
      <c r="A103" s="28"/>
      <c r="B103" s="14" t="s">
        <v>198</v>
      </c>
      <c r="C103" s="5">
        <v>98</v>
      </c>
      <c r="D103" s="25">
        <v>6687599</v>
      </c>
      <c r="E103" s="25">
        <v>5891326</v>
      </c>
      <c r="F103" s="46">
        <v>801096</v>
      </c>
      <c r="G103" s="25">
        <v>118276</v>
      </c>
      <c r="H103" s="25">
        <v>50144</v>
      </c>
      <c r="I103" s="25">
        <v>35440</v>
      </c>
      <c r="J103" s="25">
        <v>28949</v>
      </c>
      <c r="K103" s="25">
        <v>765202</v>
      </c>
      <c r="L103" s="25">
        <v>156442</v>
      </c>
      <c r="M103" s="25">
        <v>1285134</v>
      </c>
      <c r="N103" s="25">
        <v>190956</v>
      </c>
      <c r="O103" s="25">
        <v>17784</v>
      </c>
      <c r="P103" s="25">
        <v>632157</v>
      </c>
      <c r="Q103" s="25">
        <v>1676586</v>
      </c>
      <c r="R103" s="25">
        <v>468535</v>
      </c>
      <c r="S103" s="25">
        <v>376397</v>
      </c>
      <c r="T103" s="25">
        <v>201777</v>
      </c>
      <c r="U103" s="25">
        <v>180593</v>
      </c>
      <c r="V103" s="25">
        <v>18842.967500000002</v>
      </c>
      <c r="W103" s="25">
        <v>2617.3804999999988</v>
      </c>
      <c r="X103" s="25">
        <v>260.65199999999999</v>
      </c>
      <c r="Y103" s="25">
        <v>98255</v>
      </c>
      <c r="Z103" s="25">
        <v>92285</v>
      </c>
      <c r="AA103" s="25">
        <v>85311</v>
      </c>
      <c r="AB103" s="25">
        <v>137454</v>
      </c>
      <c r="AC103" s="25">
        <v>104114</v>
      </c>
      <c r="AD103" s="25">
        <v>444627</v>
      </c>
      <c r="AE103" s="25">
        <v>563545</v>
      </c>
      <c r="AF103" s="25">
        <v>122810</v>
      </c>
      <c r="AG103" s="25">
        <v>100208</v>
      </c>
      <c r="AH103" s="25">
        <v>669483</v>
      </c>
      <c r="AI103" s="25">
        <v>127233</v>
      </c>
      <c r="AJ103" s="25">
        <v>198332</v>
      </c>
      <c r="AK103" s="25">
        <v>378379</v>
      </c>
      <c r="AL103" s="25">
        <v>160623</v>
      </c>
      <c r="AM103" s="25">
        <v>305020</v>
      </c>
      <c r="AN103" s="25">
        <v>81338</v>
      </c>
      <c r="AO103" s="25">
        <v>744311</v>
      </c>
      <c r="AP103" s="25">
        <v>532601</v>
      </c>
      <c r="AQ103" s="25">
        <v>102497.99157891489</v>
      </c>
      <c r="AR103" s="25">
        <v>16271.463246158866</v>
      </c>
      <c r="AS103" s="25">
        <v>12467.511832466309</v>
      </c>
      <c r="AT103" s="25">
        <v>27161.033342459919</v>
      </c>
      <c r="AU103" s="25">
        <v>563905</v>
      </c>
      <c r="AV103" s="25">
        <v>7617875</v>
      </c>
      <c r="AW103" s="25">
        <v>2968849</v>
      </c>
      <c r="AX103" s="25">
        <v>16293655</v>
      </c>
      <c r="AY103" s="40">
        <v>4076625</v>
      </c>
      <c r="AZ103" s="25">
        <v>52733</v>
      </c>
      <c r="BA103" s="25">
        <v>60529</v>
      </c>
      <c r="BB103" s="25">
        <v>808476</v>
      </c>
      <c r="BC103" s="25">
        <v>438611</v>
      </c>
      <c r="BD103" s="25">
        <v>5622208</v>
      </c>
      <c r="BE103" s="25">
        <v>136112</v>
      </c>
      <c r="BF103" s="25">
        <v>166605</v>
      </c>
      <c r="BG103" s="25">
        <v>252106</v>
      </c>
      <c r="BH103" s="25">
        <v>752017</v>
      </c>
      <c r="BI103" s="25">
        <v>1241143</v>
      </c>
      <c r="BJ103" s="25">
        <v>466409</v>
      </c>
      <c r="BK103" s="25">
        <v>1887743</v>
      </c>
      <c r="BL103" s="25">
        <v>630552</v>
      </c>
      <c r="BM103" s="25">
        <v>613009</v>
      </c>
      <c r="BN103" s="25">
        <v>298455</v>
      </c>
      <c r="BO103" s="25">
        <v>4178701</v>
      </c>
      <c r="BP103" s="25">
        <v>781913</v>
      </c>
      <c r="BQ103" s="25">
        <v>4825230</v>
      </c>
      <c r="BR103" s="25">
        <v>4202039</v>
      </c>
      <c r="BS103" s="25">
        <v>2878667</v>
      </c>
      <c r="BT103" s="25">
        <v>2218572</v>
      </c>
      <c r="BU103" s="25">
        <v>3428002</v>
      </c>
      <c r="BV103" s="25">
        <v>1122849</v>
      </c>
      <c r="BW103" s="25">
        <v>4502808</v>
      </c>
      <c r="BX103" s="25">
        <v>6563436</v>
      </c>
      <c r="BY103" s="25">
        <v>104340275</v>
      </c>
      <c r="BZ103" s="25">
        <v>0</v>
      </c>
      <c r="CA103" s="25">
        <v>0</v>
      </c>
      <c r="CB103" s="25">
        <v>0</v>
      </c>
      <c r="CC103" s="25">
        <v>0</v>
      </c>
      <c r="CD103" s="25">
        <v>0</v>
      </c>
      <c r="CE103" s="25">
        <v>0</v>
      </c>
      <c r="CF103" s="25">
        <v>0</v>
      </c>
      <c r="CG103" s="25">
        <v>104340275</v>
      </c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</row>
    <row r="105" spans="1:99" x14ac:dyDescent="0.3">
      <c r="AY105" s="29">
        <f>AY101-AY102</f>
        <v>-233598.00000000012</v>
      </c>
    </row>
    <row r="107" spans="1:99" x14ac:dyDescent="0.3">
      <c r="AY107" s="29"/>
    </row>
  </sheetData>
  <mergeCells count="2">
    <mergeCell ref="A4:C4"/>
    <mergeCell ref="A3:C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9B5F2-06BF-47CF-9EA2-7AD336F1A266}">
  <sheetPr codeName="Planilha2"/>
  <dimension ref="A1:CU108"/>
  <sheetViews>
    <sheetView showGridLines="0" tabSelected="1" zoomScaleNormal="100" workbookViewId="0">
      <pane xSplit="2" ySplit="4" topLeftCell="AM33" activePane="bottomRight" state="frozen"/>
      <selection pane="topRight" activeCell="C1" sqref="C1"/>
      <selection pane="bottomLeft" activeCell="A7" sqref="A7"/>
      <selection pane="bottomRight" activeCell="AY46" sqref="AY46"/>
    </sheetView>
  </sheetViews>
  <sheetFormatPr defaultRowHeight="14.4" x14ac:dyDescent="0.3"/>
  <cols>
    <col min="1" max="1" width="9.44140625" style="33" customWidth="1"/>
    <col min="2" max="2" width="32.77734375" customWidth="1"/>
    <col min="4" max="5" width="11.6640625" bestFit="1" customWidth="1"/>
    <col min="6" max="8" width="10.109375" bestFit="1" customWidth="1"/>
    <col min="9" max="10" width="9.109375" bestFit="1" customWidth="1"/>
    <col min="11" max="12" width="10.109375" bestFit="1" customWidth="1"/>
    <col min="13" max="13" width="11.6640625" bestFit="1" customWidth="1"/>
    <col min="14" max="14" width="10.109375" bestFit="1" customWidth="1"/>
    <col min="15" max="15" width="9.109375" bestFit="1" customWidth="1"/>
    <col min="16" max="16" width="10.109375" bestFit="1" customWidth="1"/>
    <col min="17" max="17" width="11.6640625" bestFit="1" customWidth="1"/>
    <col min="18" max="22" width="10.109375" bestFit="1" customWidth="1"/>
    <col min="23" max="23" width="9.109375" bestFit="1" customWidth="1"/>
    <col min="24" max="24" width="9" bestFit="1" customWidth="1"/>
    <col min="25" max="25" width="9.109375" bestFit="1" customWidth="1"/>
    <col min="26" max="26" width="10.109375" bestFit="1" customWidth="1"/>
    <col min="27" max="27" width="9.109375" bestFit="1" customWidth="1"/>
    <col min="28" max="39" width="10.109375" bestFit="1" customWidth="1"/>
    <col min="40" max="40" width="9.109375" bestFit="1" customWidth="1"/>
    <col min="41" max="43" width="10.109375" bestFit="1" customWidth="1"/>
    <col min="44" max="46" width="9.109375" bestFit="1" customWidth="1"/>
    <col min="47" max="47" width="10.109375" bestFit="1" customWidth="1"/>
    <col min="48" max="49" width="11.6640625" bestFit="1" customWidth="1"/>
    <col min="50" max="50" width="12.6640625" bestFit="1" customWidth="1"/>
    <col min="51" max="51" width="11.6640625" bestFit="1" customWidth="1"/>
    <col min="52" max="53" width="9.109375" bestFit="1" customWidth="1"/>
    <col min="54" max="55" width="10.109375" bestFit="1" customWidth="1"/>
    <col min="56" max="56" width="11.6640625" bestFit="1" customWidth="1"/>
    <col min="57" max="60" width="10.109375" bestFit="1" customWidth="1"/>
    <col min="61" max="61" width="11.6640625" bestFit="1" customWidth="1"/>
    <col min="62" max="62" width="10.109375" bestFit="1" customWidth="1"/>
    <col min="63" max="63" width="11.6640625" bestFit="1" customWidth="1"/>
    <col min="64" max="66" width="10.109375" bestFit="1" customWidth="1"/>
    <col min="67" max="67" width="11.6640625" bestFit="1" customWidth="1"/>
    <col min="68" max="68" width="10.109375" bestFit="1" customWidth="1"/>
    <col min="69" max="76" width="11.6640625" bestFit="1" customWidth="1"/>
    <col min="77" max="77" width="13.77734375" bestFit="1" customWidth="1"/>
    <col min="78" max="79" width="11.6640625" bestFit="1" customWidth="1"/>
    <col min="80" max="80" width="10.109375" bestFit="1" customWidth="1"/>
    <col min="81" max="82" width="11.6640625" bestFit="1" customWidth="1"/>
    <col min="83" max="83" width="9.77734375" bestFit="1" customWidth="1"/>
    <col min="84" max="84" width="11.6640625" bestFit="1" customWidth="1"/>
    <col min="85" max="85" width="13.77734375" bestFit="1" customWidth="1"/>
    <col min="87" max="87" width="16.33203125" customWidth="1"/>
  </cols>
  <sheetData>
    <row r="1" spans="1:99" x14ac:dyDescent="0.3">
      <c r="A1" s="33" t="s">
        <v>0</v>
      </c>
    </row>
    <row r="3" spans="1:99" s="5" customFormat="1" x14ac:dyDescent="0.3">
      <c r="A3" s="75" t="s">
        <v>83</v>
      </c>
      <c r="B3" s="75"/>
      <c r="C3" s="75"/>
      <c r="D3" s="6" t="s">
        <v>10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  <c r="J3" s="6" t="s">
        <v>16</v>
      </c>
      <c r="K3" s="6" t="s">
        <v>17</v>
      </c>
      <c r="L3" s="6" t="s">
        <v>18</v>
      </c>
      <c r="M3" s="6" t="s">
        <v>19</v>
      </c>
      <c r="N3" s="6" t="s">
        <v>20</v>
      </c>
      <c r="O3" s="6" t="s">
        <v>21</v>
      </c>
      <c r="P3" s="6" t="s">
        <v>22</v>
      </c>
      <c r="Q3" s="6" t="s">
        <v>23</v>
      </c>
      <c r="R3" s="6" t="s">
        <v>24</v>
      </c>
      <c r="S3" s="6" t="s">
        <v>25</v>
      </c>
      <c r="T3" s="6" t="s">
        <v>26</v>
      </c>
      <c r="U3" s="6" t="s">
        <v>27</v>
      </c>
      <c r="V3" s="6" t="s">
        <v>28</v>
      </c>
      <c r="W3" s="6" t="s">
        <v>29</v>
      </c>
      <c r="X3" s="6" t="s">
        <v>30</v>
      </c>
      <c r="Y3" s="6" t="s">
        <v>31</v>
      </c>
      <c r="Z3" s="6" t="s">
        <v>32</v>
      </c>
      <c r="AA3" s="6" t="s">
        <v>33</v>
      </c>
      <c r="AB3" s="6" t="s">
        <v>34</v>
      </c>
      <c r="AC3" s="6" t="s">
        <v>35</v>
      </c>
      <c r="AD3" s="6" t="s">
        <v>36</v>
      </c>
      <c r="AE3" s="6" t="s">
        <v>37</v>
      </c>
      <c r="AF3" s="6" t="s">
        <v>38</v>
      </c>
      <c r="AG3" s="6" t="s">
        <v>39</v>
      </c>
      <c r="AH3" s="6" t="s">
        <v>40</v>
      </c>
      <c r="AI3" s="6" t="s">
        <v>41</v>
      </c>
      <c r="AJ3" s="6" t="s">
        <v>42</v>
      </c>
      <c r="AK3" s="6" t="s">
        <v>43</v>
      </c>
      <c r="AL3" s="6" t="s">
        <v>44</v>
      </c>
      <c r="AM3" s="6" t="s">
        <v>45</v>
      </c>
      <c r="AN3" s="6" t="s">
        <v>46</v>
      </c>
      <c r="AO3" s="6" t="s">
        <v>47</v>
      </c>
      <c r="AP3" s="6" t="s">
        <v>48</v>
      </c>
      <c r="AQ3" s="6" t="s">
        <v>49</v>
      </c>
      <c r="AR3" s="6" t="s">
        <v>50</v>
      </c>
      <c r="AS3" s="6" t="s">
        <v>51</v>
      </c>
      <c r="AT3" s="6" t="s">
        <v>52</v>
      </c>
      <c r="AU3" s="6" t="s">
        <v>53</v>
      </c>
      <c r="AV3" s="6" t="s">
        <v>54</v>
      </c>
      <c r="AW3" s="6" t="s">
        <v>55</v>
      </c>
      <c r="AX3" s="6" t="s">
        <v>56</v>
      </c>
      <c r="AY3" s="38" t="s">
        <v>57</v>
      </c>
      <c r="AZ3" s="6" t="s">
        <v>58</v>
      </c>
      <c r="BA3" s="6" t="s">
        <v>59</v>
      </c>
      <c r="BB3" s="6" t="s">
        <v>60</v>
      </c>
      <c r="BC3" s="6" t="s">
        <v>61</v>
      </c>
      <c r="BD3" s="6" t="s">
        <v>62</v>
      </c>
      <c r="BE3" s="6" t="s">
        <v>63</v>
      </c>
      <c r="BF3" s="6" t="s">
        <v>64</v>
      </c>
      <c r="BG3" s="6" t="s">
        <v>65</v>
      </c>
      <c r="BH3" s="6" t="s">
        <v>66</v>
      </c>
      <c r="BI3" s="6" t="s">
        <v>67</v>
      </c>
      <c r="BJ3" s="6" t="s">
        <v>68</v>
      </c>
      <c r="BK3" s="6" t="s">
        <v>69</v>
      </c>
      <c r="BL3" s="6" t="s">
        <v>70</v>
      </c>
      <c r="BM3" s="6" t="s">
        <v>71</v>
      </c>
      <c r="BN3" s="6" t="s">
        <v>72</v>
      </c>
      <c r="BO3" s="6" t="s">
        <v>73</v>
      </c>
      <c r="BP3" s="6" t="s">
        <v>74</v>
      </c>
      <c r="BQ3" s="6" t="s">
        <v>75</v>
      </c>
      <c r="BR3" s="6" t="s">
        <v>76</v>
      </c>
      <c r="BS3" s="6" t="s">
        <v>77</v>
      </c>
      <c r="BT3" s="6" t="s">
        <v>78</v>
      </c>
      <c r="BU3" s="6" t="s">
        <v>79</v>
      </c>
      <c r="BV3" s="6" t="s">
        <v>80</v>
      </c>
      <c r="BW3" s="6" t="s">
        <v>81</v>
      </c>
      <c r="BX3" s="6" t="s">
        <v>82</v>
      </c>
      <c r="BY3" s="3"/>
      <c r="BZ3" s="4"/>
      <c r="CA3" s="4"/>
      <c r="CB3" s="7"/>
      <c r="CC3" s="3"/>
      <c r="CD3" s="3"/>
      <c r="CE3" s="8"/>
      <c r="CF3" s="3"/>
      <c r="CG3" s="3"/>
      <c r="CH3"/>
      <c r="CI3"/>
      <c r="CJ3"/>
      <c r="CK3"/>
      <c r="CL3"/>
      <c r="CM3"/>
      <c r="CN3"/>
      <c r="CO3"/>
      <c r="CP3"/>
      <c r="CQ3"/>
      <c r="CR3"/>
      <c r="CS3"/>
      <c r="CT3"/>
      <c r="CU3"/>
    </row>
    <row r="4" spans="1:99" s="18" customFormat="1" ht="36.75" customHeight="1" x14ac:dyDescent="0.3">
      <c r="A4" s="73" t="s">
        <v>199</v>
      </c>
      <c r="B4" s="73"/>
      <c r="C4" s="74"/>
      <c r="D4" s="10" t="s">
        <v>84</v>
      </c>
      <c r="E4" s="10" t="s">
        <v>85</v>
      </c>
      <c r="F4" s="10" t="s">
        <v>86</v>
      </c>
      <c r="G4" s="10" t="s">
        <v>87</v>
      </c>
      <c r="H4" s="21" t="s">
        <v>88</v>
      </c>
      <c r="I4" s="10" t="s">
        <v>89</v>
      </c>
      <c r="J4" s="10" t="s">
        <v>90</v>
      </c>
      <c r="K4" s="10" t="s">
        <v>91</v>
      </c>
      <c r="L4" s="10" t="s">
        <v>92</v>
      </c>
      <c r="M4" s="10" t="s">
        <v>93</v>
      </c>
      <c r="N4" s="10" t="s">
        <v>94</v>
      </c>
      <c r="O4" s="10" t="s">
        <v>95</v>
      </c>
      <c r="P4" s="10" t="s">
        <v>96</v>
      </c>
      <c r="Q4" s="10" t="s">
        <v>97</v>
      </c>
      <c r="R4" s="10" t="s">
        <v>98</v>
      </c>
      <c r="S4" s="10" t="s">
        <v>99</v>
      </c>
      <c r="T4" s="10" t="s">
        <v>100</v>
      </c>
      <c r="U4" s="10" t="s">
        <v>101</v>
      </c>
      <c r="V4" s="21" t="s">
        <v>102</v>
      </c>
      <c r="W4" s="21" t="s">
        <v>103</v>
      </c>
      <c r="X4" s="10" t="s">
        <v>104</v>
      </c>
      <c r="Y4" s="21" t="s">
        <v>105</v>
      </c>
      <c r="Z4" s="10" t="s">
        <v>106</v>
      </c>
      <c r="AA4" s="10" t="s">
        <v>107</v>
      </c>
      <c r="AB4" s="10" t="s">
        <v>108</v>
      </c>
      <c r="AC4" s="10" t="s">
        <v>109</v>
      </c>
      <c r="AD4" s="10" t="s">
        <v>110</v>
      </c>
      <c r="AE4" s="10" t="s">
        <v>111</v>
      </c>
      <c r="AF4" s="10" t="s">
        <v>112</v>
      </c>
      <c r="AG4" s="10" t="s">
        <v>113</v>
      </c>
      <c r="AH4" s="10" t="s">
        <v>114</v>
      </c>
      <c r="AI4" s="10" t="s">
        <v>115</v>
      </c>
      <c r="AJ4" s="10" t="s">
        <v>116</v>
      </c>
      <c r="AK4" s="10" t="s">
        <v>117</v>
      </c>
      <c r="AL4" s="10" t="s">
        <v>118</v>
      </c>
      <c r="AM4" s="10" t="s">
        <v>119</v>
      </c>
      <c r="AN4" s="10" t="s">
        <v>120</v>
      </c>
      <c r="AO4" s="10" t="s">
        <v>121</v>
      </c>
      <c r="AP4" s="10" t="s">
        <v>122</v>
      </c>
      <c r="AQ4" s="21" t="s">
        <v>123</v>
      </c>
      <c r="AR4" s="21" t="s">
        <v>124</v>
      </c>
      <c r="AS4" s="21" t="s">
        <v>125</v>
      </c>
      <c r="AT4" s="21" t="s">
        <v>126</v>
      </c>
      <c r="AU4" s="10" t="s">
        <v>127</v>
      </c>
      <c r="AV4" s="10" t="s">
        <v>128</v>
      </c>
      <c r="AW4" s="10" t="s">
        <v>129</v>
      </c>
      <c r="AX4" s="10" t="s">
        <v>130</v>
      </c>
      <c r="AY4" s="32" t="s">
        <v>131</v>
      </c>
      <c r="AZ4" s="10" t="s">
        <v>132</v>
      </c>
      <c r="BA4" s="10" t="s">
        <v>133</v>
      </c>
      <c r="BB4" s="10" t="s">
        <v>134</v>
      </c>
      <c r="BC4" s="10" t="s">
        <v>135</v>
      </c>
      <c r="BD4" s="10" t="s">
        <v>136</v>
      </c>
      <c r="BE4" s="10" t="s">
        <v>137</v>
      </c>
      <c r="BF4" s="10" t="s">
        <v>138</v>
      </c>
      <c r="BG4" s="10" t="s">
        <v>139</v>
      </c>
      <c r="BH4" s="10" t="s">
        <v>140</v>
      </c>
      <c r="BI4" s="10" t="s">
        <v>141</v>
      </c>
      <c r="BJ4" s="10" t="s">
        <v>142</v>
      </c>
      <c r="BK4" s="10" t="s">
        <v>143</v>
      </c>
      <c r="BL4" s="10" t="s">
        <v>144</v>
      </c>
      <c r="BM4" s="10" t="s">
        <v>145</v>
      </c>
      <c r="BN4" s="10" t="s">
        <v>146</v>
      </c>
      <c r="BO4" s="10" t="s">
        <v>147</v>
      </c>
      <c r="BP4" s="10" t="s">
        <v>148</v>
      </c>
      <c r="BQ4" s="10" t="s">
        <v>149</v>
      </c>
      <c r="BR4" s="10" t="s">
        <v>150</v>
      </c>
      <c r="BS4" s="10" t="s">
        <v>151</v>
      </c>
      <c r="BT4" s="10" t="s">
        <v>152</v>
      </c>
      <c r="BU4" s="10" t="s">
        <v>153</v>
      </c>
      <c r="BV4" s="10" t="s">
        <v>154</v>
      </c>
      <c r="BW4" s="10" t="s">
        <v>155</v>
      </c>
      <c r="BX4" s="10" t="s">
        <v>156</v>
      </c>
      <c r="BY4" s="10" t="s">
        <v>157</v>
      </c>
      <c r="BZ4" s="10" t="s">
        <v>158</v>
      </c>
      <c r="CA4" s="10" t="s">
        <v>159</v>
      </c>
      <c r="CB4" s="10" t="s">
        <v>160</v>
      </c>
      <c r="CC4" s="10" t="s">
        <v>161</v>
      </c>
      <c r="CD4" s="10" t="s">
        <v>162</v>
      </c>
      <c r="CE4" s="10" t="s">
        <v>163</v>
      </c>
      <c r="CF4" s="10" t="s">
        <v>164</v>
      </c>
      <c r="CG4" s="22" t="s">
        <v>165</v>
      </c>
      <c r="CH4"/>
      <c r="CI4" s="23" t="s">
        <v>217</v>
      </c>
      <c r="CJ4"/>
      <c r="CK4"/>
      <c r="CL4"/>
      <c r="CM4"/>
      <c r="CN4"/>
      <c r="CO4"/>
      <c r="CP4"/>
      <c r="CQ4"/>
      <c r="CR4"/>
      <c r="CS4"/>
      <c r="CT4"/>
      <c r="CU4"/>
    </row>
    <row r="5" spans="1:99" s="5" customFormat="1" x14ac:dyDescent="0.3">
      <c r="A5" s="28"/>
      <c r="B5" s="5" t="s">
        <v>216</v>
      </c>
      <c r="C5" s="5">
        <v>0</v>
      </c>
      <c r="D5" s="25">
        <v>1</v>
      </c>
      <c r="E5" s="25">
        <v>2</v>
      </c>
      <c r="F5" s="25">
        <v>3</v>
      </c>
      <c r="G5" s="25">
        <v>4</v>
      </c>
      <c r="H5" s="25">
        <v>5</v>
      </c>
      <c r="I5" s="25">
        <v>6</v>
      </c>
      <c r="J5" s="25">
        <v>7</v>
      </c>
      <c r="K5" s="25">
        <v>8</v>
      </c>
      <c r="L5" s="25">
        <v>9</v>
      </c>
      <c r="M5" s="25">
        <v>10</v>
      </c>
      <c r="N5" s="25">
        <v>11</v>
      </c>
      <c r="O5" s="25">
        <v>12</v>
      </c>
      <c r="P5" s="25">
        <v>13</v>
      </c>
      <c r="Q5" s="25">
        <v>14</v>
      </c>
      <c r="R5" s="25">
        <v>15</v>
      </c>
      <c r="S5" s="25">
        <v>16</v>
      </c>
      <c r="T5" s="25">
        <v>17</v>
      </c>
      <c r="U5" s="25">
        <v>18</v>
      </c>
      <c r="V5" s="25">
        <v>19</v>
      </c>
      <c r="W5" s="25">
        <v>20</v>
      </c>
      <c r="X5" s="25">
        <v>21</v>
      </c>
      <c r="Y5" s="25">
        <v>22</v>
      </c>
      <c r="Z5" s="25">
        <v>23</v>
      </c>
      <c r="AA5" s="25">
        <v>24</v>
      </c>
      <c r="AB5" s="25">
        <v>25</v>
      </c>
      <c r="AC5" s="25">
        <v>26</v>
      </c>
      <c r="AD5" s="25">
        <v>27</v>
      </c>
      <c r="AE5" s="25">
        <v>28</v>
      </c>
      <c r="AF5" s="25">
        <v>29</v>
      </c>
      <c r="AG5" s="25">
        <v>30</v>
      </c>
      <c r="AH5" s="25">
        <v>31</v>
      </c>
      <c r="AI5" s="25">
        <v>32</v>
      </c>
      <c r="AJ5" s="25">
        <v>33</v>
      </c>
      <c r="AK5" s="25">
        <v>34</v>
      </c>
      <c r="AL5" s="25">
        <v>35</v>
      </c>
      <c r="AM5" s="25">
        <v>36</v>
      </c>
      <c r="AN5" s="25">
        <v>37</v>
      </c>
      <c r="AO5" s="25">
        <v>38</v>
      </c>
      <c r="AP5" s="25">
        <v>39</v>
      </c>
      <c r="AQ5" s="25">
        <v>40</v>
      </c>
      <c r="AR5" s="25">
        <v>41</v>
      </c>
      <c r="AS5" s="25">
        <v>42</v>
      </c>
      <c r="AT5" s="25">
        <v>43</v>
      </c>
      <c r="AU5" s="25">
        <v>44</v>
      </c>
      <c r="AV5" s="25">
        <v>45</v>
      </c>
      <c r="AW5" s="25">
        <v>46</v>
      </c>
      <c r="AX5" s="25">
        <v>47</v>
      </c>
      <c r="AY5" s="40">
        <v>48</v>
      </c>
      <c r="AZ5" s="25">
        <v>49</v>
      </c>
      <c r="BA5" s="25">
        <v>50</v>
      </c>
      <c r="BB5" s="25">
        <v>51</v>
      </c>
      <c r="BC5" s="25">
        <v>52</v>
      </c>
      <c r="BD5" s="25">
        <v>53</v>
      </c>
      <c r="BE5" s="25">
        <v>54</v>
      </c>
      <c r="BF5" s="25">
        <v>55</v>
      </c>
      <c r="BG5" s="25">
        <v>56</v>
      </c>
      <c r="BH5" s="25">
        <v>57</v>
      </c>
      <c r="BI5" s="25">
        <v>58</v>
      </c>
      <c r="BJ5" s="25">
        <v>59</v>
      </c>
      <c r="BK5" s="25">
        <v>60</v>
      </c>
      <c r="BL5" s="25">
        <v>61</v>
      </c>
      <c r="BM5" s="25">
        <v>62</v>
      </c>
      <c r="BN5" s="25">
        <v>63</v>
      </c>
      <c r="BO5" s="25">
        <v>64</v>
      </c>
      <c r="BP5" s="25">
        <v>65</v>
      </c>
      <c r="BQ5" s="25">
        <v>66</v>
      </c>
      <c r="BR5" s="25">
        <v>67</v>
      </c>
      <c r="BS5" s="25">
        <v>68</v>
      </c>
      <c r="BT5" s="25">
        <v>69</v>
      </c>
      <c r="BU5" s="25">
        <v>70</v>
      </c>
      <c r="BV5" s="25">
        <v>71</v>
      </c>
      <c r="BW5" s="25">
        <v>72</v>
      </c>
      <c r="BX5" s="25">
        <v>73</v>
      </c>
      <c r="BY5" s="25">
        <v>74</v>
      </c>
      <c r="BZ5" s="25">
        <v>75</v>
      </c>
      <c r="CA5" s="25">
        <v>76</v>
      </c>
      <c r="CB5" s="25">
        <v>77</v>
      </c>
      <c r="CC5" s="25">
        <v>78</v>
      </c>
      <c r="CD5" s="25">
        <v>79</v>
      </c>
      <c r="CE5" s="25">
        <v>80</v>
      </c>
      <c r="CF5" s="25">
        <v>81</v>
      </c>
      <c r="CG5" s="25">
        <v>82</v>
      </c>
      <c r="CH5"/>
      <c r="CI5"/>
      <c r="CJ5"/>
      <c r="CK5"/>
      <c r="CL5"/>
      <c r="CM5"/>
      <c r="CN5"/>
      <c r="CO5"/>
      <c r="CP5"/>
      <c r="CQ5"/>
      <c r="CR5"/>
      <c r="CS5"/>
      <c r="CT5"/>
      <c r="CU5"/>
    </row>
    <row r="6" spans="1:99" s="5" customFormat="1" x14ac:dyDescent="0.3">
      <c r="A6" s="35" t="s">
        <v>10</v>
      </c>
      <c r="B6" s="11" t="s">
        <v>84</v>
      </c>
      <c r="C6" s="5">
        <v>1</v>
      </c>
      <c r="D6" s="25">
        <v>8170.3585637550368</v>
      </c>
      <c r="E6" s="25">
        <v>5290.2246154753748</v>
      </c>
      <c r="F6" s="25">
        <v>156.75541627172311</v>
      </c>
      <c r="G6" s="25">
        <v>1.8265936654504866</v>
      </c>
      <c r="H6" s="25">
        <v>9.8692678733555947</v>
      </c>
      <c r="I6" s="25">
        <v>1.1434983751776158</v>
      </c>
      <c r="J6" s="25">
        <v>1.7841451108463606</v>
      </c>
      <c r="K6" s="25">
        <v>7264.3074217892336</v>
      </c>
      <c r="L6" s="25">
        <v>28021.779951859517</v>
      </c>
      <c r="M6" s="25">
        <v>76458.431982105394</v>
      </c>
      <c r="N6" s="25">
        <v>2089.301122965418</v>
      </c>
      <c r="O6" s="25">
        <v>4889.0334562745547</v>
      </c>
      <c r="P6" s="25">
        <v>5526.2619355557763</v>
      </c>
      <c r="Q6" s="25">
        <v>518.70182235905122</v>
      </c>
      <c r="R6" s="25">
        <v>6.6028531108425392</v>
      </c>
      <c r="S6" s="25">
        <v>90.994168979580451</v>
      </c>
      <c r="T6" s="25">
        <v>172.72947782361703</v>
      </c>
      <c r="U6" s="25">
        <v>0.25638422525185894</v>
      </c>
      <c r="V6" s="25">
        <v>8.6760448701173694</v>
      </c>
      <c r="W6" s="25">
        <v>5.1985351458124253E-2</v>
      </c>
      <c r="X6" s="25">
        <v>4.1880585965028361E-2</v>
      </c>
      <c r="Y6" s="25">
        <v>22484.789844317234</v>
      </c>
      <c r="Z6" s="25">
        <v>15.129223292162088</v>
      </c>
      <c r="AA6" s="25">
        <v>18.049511164446795</v>
      </c>
      <c r="AB6" s="25">
        <v>2.2091674518525384</v>
      </c>
      <c r="AC6" s="25">
        <v>13.484793956070876</v>
      </c>
      <c r="AD6" s="25">
        <v>38.146982219297641</v>
      </c>
      <c r="AE6" s="25">
        <v>14.41800402514575</v>
      </c>
      <c r="AF6" s="25">
        <v>42.241869048424284</v>
      </c>
      <c r="AG6" s="25">
        <v>26.216601753861756</v>
      </c>
      <c r="AH6" s="25">
        <v>2.7665426077325765</v>
      </c>
      <c r="AI6" s="25">
        <v>0.27528051354986038</v>
      </c>
      <c r="AJ6" s="25">
        <v>0.30007580998381012</v>
      </c>
      <c r="AK6" s="25">
        <v>0.76078595478699595</v>
      </c>
      <c r="AL6" s="25">
        <v>0.62121564876030877</v>
      </c>
      <c r="AM6" s="25">
        <v>0.40229090929930417</v>
      </c>
      <c r="AN6" s="25">
        <v>0.52416478719133319</v>
      </c>
      <c r="AO6" s="25">
        <v>10.450240451838136</v>
      </c>
      <c r="AP6" s="25">
        <v>6.5167124309798277E-2</v>
      </c>
      <c r="AQ6" s="25">
        <v>0.47598928642375304</v>
      </c>
      <c r="AR6" s="25">
        <v>7.775328236648224E-2</v>
      </c>
      <c r="AS6" s="25">
        <v>5.5707325295208235E-2</v>
      </c>
      <c r="AT6" s="25">
        <v>6.2671932577787817E-2</v>
      </c>
      <c r="AU6" s="25">
        <v>28.709259395886477</v>
      </c>
      <c r="AV6" s="25">
        <v>402.52784558732344</v>
      </c>
      <c r="AW6" s="25">
        <v>2.6558165118985206</v>
      </c>
      <c r="AX6" s="25">
        <v>12090.688466642019</v>
      </c>
      <c r="AY6" s="40">
        <v>0.96387780989135174</v>
      </c>
      <c r="AZ6" s="25">
        <v>2.8456625428414355E-2</v>
      </c>
      <c r="BA6" s="25">
        <v>0.29297864919859229</v>
      </c>
      <c r="BB6" s="25">
        <v>12.456639228872454</v>
      </c>
      <c r="BC6" s="25">
        <v>277.13534060042315</v>
      </c>
      <c r="BD6" s="25">
        <v>4385.9633781037455</v>
      </c>
      <c r="BE6" s="25">
        <v>8.8943907571197967E-2</v>
      </c>
      <c r="BF6" s="25">
        <v>0.61952656697168762</v>
      </c>
      <c r="BG6" s="25">
        <v>44.855834635168591</v>
      </c>
      <c r="BH6" s="25">
        <v>2.1532612042301911</v>
      </c>
      <c r="BI6" s="25">
        <v>14.762971379241696</v>
      </c>
      <c r="BJ6" s="25">
        <v>20.406510384138318</v>
      </c>
      <c r="BK6" s="25">
        <v>7.4743083771072696</v>
      </c>
      <c r="BL6" s="25">
        <v>12.024632225077942</v>
      </c>
      <c r="BM6" s="25">
        <v>0.80278957521532313</v>
      </c>
      <c r="BN6" s="25">
        <v>0.68757086229482445</v>
      </c>
      <c r="BO6" s="25">
        <v>133.6113996922229</v>
      </c>
      <c r="BP6" s="25">
        <v>0.22205855349642836</v>
      </c>
      <c r="BQ6" s="25">
        <v>947.5703167868362</v>
      </c>
      <c r="BR6" s="25">
        <v>357.35735790290295</v>
      </c>
      <c r="BS6" s="25">
        <v>43.808220731163033</v>
      </c>
      <c r="BT6" s="25">
        <v>354.48804759054798</v>
      </c>
      <c r="BU6" s="25">
        <v>180.63426154222449</v>
      </c>
      <c r="BV6" s="25">
        <v>2.8571215276014543</v>
      </c>
      <c r="BW6" s="25">
        <v>249.9117666841272</v>
      </c>
      <c r="BX6" s="25">
        <v>0</v>
      </c>
      <c r="BY6" s="25">
        <v>180926.41543052823</v>
      </c>
      <c r="BZ6" s="25">
        <v>150718.72070721895</v>
      </c>
      <c r="CA6" s="25">
        <v>48.304677811300436</v>
      </c>
      <c r="CB6" s="25">
        <v>0</v>
      </c>
      <c r="CC6" s="25">
        <v>71191.69865990871</v>
      </c>
      <c r="CD6" s="25">
        <v>3188.2578459532156</v>
      </c>
      <c r="CE6" s="25">
        <v>-8036.3973214191938</v>
      </c>
      <c r="CF6" s="25">
        <v>217110.58456947276</v>
      </c>
      <c r="CG6" s="25">
        <v>398037</v>
      </c>
      <c r="CH6"/>
      <c r="CI6">
        <f>CF6/CG6</f>
        <v>0.54545327336270943</v>
      </c>
      <c r="CJ6"/>
      <c r="CK6"/>
      <c r="CL6"/>
      <c r="CM6"/>
      <c r="CN6"/>
      <c r="CO6"/>
      <c r="CP6"/>
      <c r="CQ6"/>
      <c r="CR6"/>
      <c r="CS6"/>
      <c r="CT6"/>
      <c r="CU6"/>
    </row>
    <row r="7" spans="1:99" s="5" customFormat="1" x14ac:dyDescent="0.3">
      <c r="A7" s="35" t="s">
        <v>11</v>
      </c>
      <c r="B7" s="13" t="s">
        <v>85</v>
      </c>
      <c r="C7" s="5">
        <v>2</v>
      </c>
      <c r="D7" s="25">
        <v>1004.9599480586429</v>
      </c>
      <c r="E7" s="25">
        <v>6106.8110826632919</v>
      </c>
      <c r="F7" s="25">
        <v>183.36264177324406</v>
      </c>
      <c r="G7" s="25">
        <v>3.7251917417697502</v>
      </c>
      <c r="H7" s="25">
        <v>22.938999760799192</v>
      </c>
      <c r="I7" s="25">
        <v>1.9494383646877278</v>
      </c>
      <c r="J7" s="25">
        <v>3.2441343482799234</v>
      </c>
      <c r="K7" s="25">
        <v>84046.278778938227</v>
      </c>
      <c r="L7" s="25">
        <v>152.99908415771603</v>
      </c>
      <c r="M7" s="25">
        <v>4376.6754683023546</v>
      </c>
      <c r="N7" s="25">
        <v>64.457871783543212</v>
      </c>
      <c r="O7" s="25">
        <v>192.81142734628352</v>
      </c>
      <c r="P7" s="25">
        <v>250.24140175138066</v>
      </c>
      <c r="Q7" s="25">
        <v>190.38282124822351</v>
      </c>
      <c r="R7" s="25">
        <v>6.6377087169135978</v>
      </c>
      <c r="S7" s="25">
        <v>143.03866277632443</v>
      </c>
      <c r="T7" s="25">
        <v>239.09947093450924</v>
      </c>
      <c r="U7" s="25">
        <v>0.46679487836281836</v>
      </c>
      <c r="V7" s="25">
        <v>0.72657441686736923</v>
      </c>
      <c r="W7" s="25">
        <v>1.8633166065896906E-2</v>
      </c>
      <c r="X7" s="25">
        <v>1.1905970261005054E-4</v>
      </c>
      <c r="Y7" s="25">
        <v>178.77565097574035</v>
      </c>
      <c r="Z7" s="25">
        <v>46.126671784309423</v>
      </c>
      <c r="AA7" s="25">
        <v>7.8961204788321702</v>
      </c>
      <c r="AB7" s="25">
        <v>5.0532194762631137</v>
      </c>
      <c r="AC7" s="25">
        <v>5.4165196403264799</v>
      </c>
      <c r="AD7" s="25">
        <v>52.888428128073755</v>
      </c>
      <c r="AE7" s="25">
        <v>56.619523615988562</v>
      </c>
      <c r="AF7" s="25">
        <v>70.623100029612473</v>
      </c>
      <c r="AG7" s="25">
        <v>49.444453849785951</v>
      </c>
      <c r="AH7" s="25">
        <v>2.5281526123934794</v>
      </c>
      <c r="AI7" s="25">
        <v>0.71683903192758858</v>
      </c>
      <c r="AJ7" s="25">
        <v>0.95724033340132586</v>
      </c>
      <c r="AK7" s="25">
        <v>1.7317396507557885</v>
      </c>
      <c r="AL7" s="25">
        <v>1.2427439826314215</v>
      </c>
      <c r="AM7" s="25">
        <v>0.99247142732795113</v>
      </c>
      <c r="AN7" s="25">
        <v>0.87514562835797638</v>
      </c>
      <c r="AO7" s="25">
        <v>7.2734053036547248</v>
      </c>
      <c r="AP7" s="25">
        <v>0.23085892359978147</v>
      </c>
      <c r="AQ7" s="25">
        <v>0.79136221645248883</v>
      </c>
      <c r="AR7" s="25">
        <v>0.12926973699827596</v>
      </c>
      <c r="AS7" s="25">
        <v>9.2616942598596805E-2</v>
      </c>
      <c r="AT7" s="25">
        <v>0.16790002300394893</v>
      </c>
      <c r="AU7" s="25">
        <v>5.6993906819098523</v>
      </c>
      <c r="AV7" s="25">
        <v>751.86310402788058</v>
      </c>
      <c r="AW7" s="25">
        <v>3.5113748444759909</v>
      </c>
      <c r="AX7" s="25">
        <v>386.7819921050762</v>
      </c>
      <c r="AY7" s="40">
        <v>1.0736839243328027</v>
      </c>
      <c r="AZ7" s="25">
        <v>3.7829303623082386E-2</v>
      </c>
      <c r="BA7" s="25">
        <v>0.34145151276670077</v>
      </c>
      <c r="BB7" s="25">
        <v>22.136467538097708</v>
      </c>
      <c r="BC7" s="25">
        <v>331.24358668682538</v>
      </c>
      <c r="BD7" s="25">
        <v>1919.4590430805827</v>
      </c>
      <c r="BE7" s="25">
        <v>0.2161854615611089</v>
      </c>
      <c r="BF7" s="25">
        <v>1.1913409292001311</v>
      </c>
      <c r="BG7" s="25">
        <v>80.686602968630282</v>
      </c>
      <c r="BH7" s="25">
        <v>4.2899017804822597</v>
      </c>
      <c r="BI7" s="25">
        <v>25.488379421314729</v>
      </c>
      <c r="BJ7" s="25">
        <v>38.429739375891096</v>
      </c>
      <c r="BK7" s="25">
        <v>6.8296279889470402</v>
      </c>
      <c r="BL7" s="25">
        <v>14.525770311032861</v>
      </c>
      <c r="BM7" s="25">
        <v>6.4682791513961932</v>
      </c>
      <c r="BN7" s="25">
        <v>1.1312263065100876</v>
      </c>
      <c r="BO7" s="25">
        <v>36.689298254266326</v>
      </c>
      <c r="BP7" s="25">
        <v>0.34850965765194736</v>
      </c>
      <c r="BQ7" s="25">
        <v>301.7084388258184</v>
      </c>
      <c r="BR7" s="25">
        <v>120.20425464728527</v>
      </c>
      <c r="BS7" s="25">
        <v>17.20442615350531</v>
      </c>
      <c r="BT7" s="25">
        <v>110.89111706924955</v>
      </c>
      <c r="BU7" s="25">
        <v>110.42371512129856</v>
      </c>
      <c r="BV7" s="25">
        <v>3.3228891676786421</v>
      </c>
      <c r="BW7" s="25">
        <v>37.971526631359737</v>
      </c>
      <c r="BX7" s="25">
        <v>0</v>
      </c>
      <c r="BY7" s="25">
        <v>101821.56884090786</v>
      </c>
      <c r="BZ7" s="25">
        <v>7635.5156799557371</v>
      </c>
      <c r="CA7" s="25">
        <v>3.1875318976939022</v>
      </c>
      <c r="CB7" s="25">
        <v>0</v>
      </c>
      <c r="CC7" s="25">
        <v>27053.775013630471</v>
      </c>
      <c r="CD7" s="25">
        <v>16625.080155780848</v>
      </c>
      <c r="CE7" s="25">
        <v>-1180.127222172031</v>
      </c>
      <c r="CF7" s="25">
        <v>50137.431159092717</v>
      </c>
      <c r="CG7" s="25">
        <v>151959</v>
      </c>
      <c r="CH7"/>
      <c r="CI7">
        <f t="shared" ref="CI7:CI70" si="0">CF7/CG7</f>
        <v>0.32994051789688478</v>
      </c>
      <c r="CJ7"/>
      <c r="CK7"/>
      <c r="CL7"/>
      <c r="CM7"/>
      <c r="CN7"/>
      <c r="CO7"/>
      <c r="CP7"/>
      <c r="CQ7"/>
      <c r="CR7"/>
      <c r="CS7"/>
      <c r="CT7"/>
      <c r="CU7"/>
    </row>
    <row r="8" spans="1:99" s="5" customFormat="1" x14ac:dyDescent="0.3">
      <c r="A8" s="35" t="s">
        <v>12</v>
      </c>
      <c r="B8" s="11" t="s">
        <v>86</v>
      </c>
      <c r="C8" s="5">
        <v>3</v>
      </c>
      <c r="D8" s="25">
        <v>1414.9162471721204</v>
      </c>
      <c r="E8" s="25">
        <v>1437.2819167483406</v>
      </c>
      <c r="F8" s="25">
        <v>2063.4116713835965</v>
      </c>
      <c r="G8" s="25">
        <v>1.7907537375428697</v>
      </c>
      <c r="H8" s="25">
        <v>1.8236877020896338</v>
      </c>
      <c r="I8" s="25">
        <v>0.17010572661289142</v>
      </c>
      <c r="J8" s="25">
        <v>0.24112750829763532</v>
      </c>
      <c r="K8" s="25">
        <v>1830.0669762429854</v>
      </c>
      <c r="L8" s="25">
        <v>0.62916373472518561</v>
      </c>
      <c r="M8" s="25">
        <v>261.16769046085176</v>
      </c>
      <c r="N8" s="25">
        <v>13.874287846282671</v>
      </c>
      <c r="O8" s="25">
        <v>13.08516513910569</v>
      </c>
      <c r="P8" s="25">
        <v>25.024371787544709</v>
      </c>
      <c r="Q8" s="25">
        <v>8.2471144472668492</v>
      </c>
      <c r="R8" s="25">
        <v>6.7889500096319866</v>
      </c>
      <c r="S8" s="25">
        <v>1995.4594845151778</v>
      </c>
      <c r="T8" s="25">
        <v>3242.7460529296191</v>
      </c>
      <c r="U8" s="25">
        <v>3.5396002003790672E-2</v>
      </c>
      <c r="V8" s="25">
        <v>5.6630046727920477E-2</v>
      </c>
      <c r="W8" s="25">
        <v>1.4522904199549627E-3</v>
      </c>
      <c r="X8" s="25">
        <v>9.2796503230724744E-6</v>
      </c>
      <c r="Y8" s="25">
        <v>3.6633905640805215</v>
      </c>
      <c r="Z8" s="25">
        <v>162.13204369687799</v>
      </c>
      <c r="AA8" s="25">
        <v>2.8177034898405644</v>
      </c>
      <c r="AB8" s="25">
        <v>8.4317616603028514E-2</v>
      </c>
      <c r="AC8" s="25">
        <v>0.12671282335646378</v>
      </c>
      <c r="AD8" s="25">
        <v>713.86171172111449</v>
      </c>
      <c r="AE8" s="25">
        <v>59.563968889639597</v>
      </c>
      <c r="AF8" s="25">
        <v>910.44283339304809</v>
      </c>
      <c r="AG8" s="25">
        <v>3.7053404847024716</v>
      </c>
      <c r="AH8" s="25">
        <v>5.5140516538674165</v>
      </c>
      <c r="AI8" s="25">
        <v>6.9501985583974399E-2</v>
      </c>
      <c r="AJ8" s="25">
        <v>8.8522362408470917E-2</v>
      </c>
      <c r="AK8" s="25">
        <v>0.17941950541561633</v>
      </c>
      <c r="AL8" s="25">
        <v>0.11471484227311096</v>
      </c>
      <c r="AM8" s="25">
        <v>9.3657763570745303E-2</v>
      </c>
      <c r="AN8" s="25">
        <v>7.69524083446088E-2</v>
      </c>
      <c r="AO8" s="25">
        <v>2.7733870366838729</v>
      </c>
      <c r="AP8" s="25">
        <v>2.5223990108438052E-2</v>
      </c>
      <c r="AQ8" s="25">
        <v>9.4589682079335602E-2</v>
      </c>
      <c r="AR8" s="25">
        <v>1.5451310500973812E-2</v>
      </c>
      <c r="AS8" s="25">
        <v>1.1070287377167583E-2</v>
      </c>
      <c r="AT8" s="25">
        <v>1.9459657359411225E-2</v>
      </c>
      <c r="AU8" s="25">
        <v>0.42571360073375503</v>
      </c>
      <c r="AV8" s="25">
        <v>759.42361424331023</v>
      </c>
      <c r="AW8" s="25">
        <v>0.27333370517085248</v>
      </c>
      <c r="AX8" s="25">
        <v>161.92522609786855</v>
      </c>
      <c r="AY8" s="40">
        <v>9.9740227752357191E-2</v>
      </c>
      <c r="AZ8" s="25">
        <v>3.0144069070318692E-3</v>
      </c>
      <c r="BA8" s="25">
        <v>2.7363156919616407E-2</v>
      </c>
      <c r="BB8" s="25">
        <v>1.658527227286452</v>
      </c>
      <c r="BC8" s="25">
        <v>42.674553406755052</v>
      </c>
      <c r="BD8" s="25">
        <v>549.53667873059203</v>
      </c>
      <c r="BE8" s="25">
        <v>2.1951251293934292E-2</v>
      </c>
      <c r="BF8" s="25">
        <v>0.10959412749709906</v>
      </c>
      <c r="BG8" s="25">
        <v>5.9766223809669254</v>
      </c>
      <c r="BH8" s="25">
        <v>0.36575555478757793</v>
      </c>
      <c r="BI8" s="25">
        <v>1.9402982242055844</v>
      </c>
      <c r="BJ8" s="25">
        <v>2.9162218583507364</v>
      </c>
      <c r="BK8" s="25">
        <v>0.52073672703949758</v>
      </c>
      <c r="BL8" s="25">
        <v>3.7816157695125314</v>
      </c>
      <c r="BM8" s="25">
        <v>8.3967238846812273E-2</v>
      </c>
      <c r="BN8" s="25">
        <v>9.5237421802415026E-2</v>
      </c>
      <c r="BO8" s="25">
        <v>2.6303824415515304</v>
      </c>
      <c r="BP8" s="25">
        <v>2.9566698016518424E-2</v>
      </c>
      <c r="BQ8" s="25">
        <v>91.342913757021137</v>
      </c>
      <c r="BR8" s="25">
        <v>66.866054201546447</v>
      </c>
      <c r="BS8" s="25">
        <v>8.8889307885185183</v>
      </c>
      <c r="BT8" s="25">
        <v>63.403734529167671</v>
      </c>
      <c r="BU8" s="25">
        <v>19.813852317385631</v>
      </c>
      <c r="BV8" s="25">
        <v>0.24397311000560906</v>
      </c>
      <c r="BW8" s="25">
        <v>2.9434756273310647</v>
      </c>
      <c r="BX8" s="25">
        <v>0</v>
      </c>
      <c r="BY8" s="25">
        <v>15970.314928703579</v>
      </c>
      <c r="BZ8" s="25">
        <v>3068.1585803453418</v>
      </c>
      <c r="CA8" s="25">
        <v>2.4427055863110838</v>
      </c>
      <c r="CB8" s="25">
        <v>0</v>
      </c>
      <c r="CC8" s="25">
        <v>17611.770193053253</v>
      </c>
      <c r="CD8" s="25">
        <v>1054.0029907200783</v>
      </c>
      <c r="CE8" s="25">
        <v>163.31060159146062</v>
      </c>
      <c r="CF8" s="25">
        <v>21899.685071296459</v>
      </c>
      <c r="CG8" s="25">
        <v>37870</v>
      </c>
      <c r="CH8"/>
      <c r="CI8">
        <f t="shared" si="0"/>
        <v>0.57828584819900863</v>
      </c>
      <c r="CJ8"/>
      <c r="CK8"/>
      <c r="CL8"/>
      <c r="CM8"/>
      <c r="CN8"/>
      <c r="CO8"/>
      <c r="CP8"/>
      <c r="CQ8"/>
      <c r="CR8"/>
      <c r="CS8"/>
      <c r="CT8"/>
      <c r="CU8"/>
    </row>
    <row r="9" spans="1:99" s="5" customFormat="1" x14ac:dyDescent="0.3">
      <c r="A9" s="35" t="s">
        <v>13</v>
      </c>
      <c r="B9" s="11" t="s">
        <v>87</v>
      </c>
      <c r="C9" s="5">
        <v>4</v>
      </c>
      <c r="D9" s="25">
        <v>154.57131376529347</v>
      </c>
      <c r="E9" s="25">
        <v>418.65628402609394</v>
      </c>
      <c r="F9" s="25">
        <v>13.284636075544938</v>
      </c>
      <c r="G9" s="25">
        <v>255.38746246030166</v>
      </c>
      <c r="H9" s="25">
        <v>731.23871623221146</v>
      </c>
      <c r="I9" s="25">
        <v>0.30874707823958225</v>
      </c>
      <c r="J9" s="25">
        <v>1.3587157738685831</v>
      </c>
      <c r="K9" s="25">
        <v>53.244166376163598</v>
      </c>
      <c r="L9" s="25">
        <v>8.1587146912698358</v>
      </c>
      <c r="M9" s="25">
        <v>279.65589011728434</v>
      </c>
      <c r="N9" s="25">
        <v>16.421368346699659</v>
      </c>
      <c r="O9" s="25">
        <v>6.5622521024227554E-2</v>
      </c>
      <c r="P9" s="25">
        <v>0.97438319472738943</v>
      </c>
      <c r="Q9" s="25">
        <v>0.29823966512713124</v>
      </c>
      <c r="R9" s="25">
        <v>0.94713612624020704</v>
      </c>
      <c r="S9" s="25">
        <v>0.22325808785089243</v>
      </c>
      <c r="T9" s="25">
        <v>18.581952337523674</v>
      </c>
      <c r="U9" s="25">
        <v>0.14003745618907645</v>
      </c>
      <c r="V9" s="25">
        <v>6.1948654536750576</v>
      </c>
      <c r="W9" s="25">
        <v>0.158992803732706</v>
      </c>
      <c r="X9" s="25">
        <v>5.8538919004757833E-3</v>
      </c>
      <c r="Y9" s="25">
        <v>219.1058134802478</v>
      </c>
      <c r="Z9" s="25">
        <v>2854.8663427970951</v>
      </c>
      <c r="AA9" s="25">
        <v>68.70210082228671</v>
      </c>
      <c r="AB9" s="25">
        <v>8.0050702989689366</v>
      </c>
      <c r="AC9" s="25">
        <v>1.896008344817854</v>
      </c>
      <c r="AD9" s="25">
        <v>6.7281210803029419</v>
      </c>
      <c r="AE9" s="25">
        <v>4463.2487053152718</v>
      </c>
      <c r="AF9" s="25">
        <v>1496.0180009201461</v>
      </c>
      <c r="AG9" s="25">
        <v>337.50822352508135</v>
      </c>
      <c r="AH9" s="25">
        <v>3.5700793297345141</v>
      </c>
      <c r="AI9" s="25">
        <v>0.34796091611728114</v>
      </c>
      <c r="AJ9" s="25">
        <v>35.919486164414046</v>
      </c>
      <c r="AK9" s="25">
        <v>2.5200509016477124</v>
      </c>
      <c r="AL9" s="25">
        <v>18.623403632807602</v>
      </c>
      <c r="AM9" s="25">
        <v>34.401273191417253</v>
      </c>
      <c r="AN9" s="25">
        <v>1.7813221916018431</v>
      </c>
      <c r="AO9" s="25">
        <v>31.983518530124996</v>
      </c>
      <c r="AP9" s="25">
        <v>2.7992513774817689</v>
      </c>
      <c r="AQ9" s="25">
        <v>235.19415880813608</v>
      </c>
      <c r="AR9" s="25">
        <v>5.7714330882458826</v>
      </c>
      <c r="AS9" s="25">
        <v>1.1845960473087798</v>
      </c>
      <c r="AT9" s="25">
        <v>1.256351504422764</v>
      </c>
      <c r="AU9" s="25">
        <v>356.51608415843594</v>
      </c>
      <c r="AV9" s="25">
        <v>5769.2379564424718</v>
      </c>
      <c r="AW9" s="25">
        <v>2.9175715971672043</v>
      </c>
      <c r="AX9" s="25">
        <v>79.436082710535814</v>
      </c>
      <c r="AY9" s="40">
        <v>0.65802408997632589</v>
      </c>
      <c r="AZ9" s="25">
        <v>2.8112910422818906E-2</v>
      </c>
      <c r="BA9" s="25">
        <v>5.7457623439081819E-2</v>
      </c>
      <c r="BB9" s="25">
        <v>4.3639196286859692</v>
      </c>
      <c r="BC9" s="25">
        <v>2.438230238240485</v>
      </c>
      <c r="BD9" s="25">
        <v>15.584105920703134</v>
      </c>
      <c r="BE9" s="25">
        <v>8.7448574017034958E-2</v>
      </c>
      <c r="BF9" s="25">
        <v>0.16450929915036772</v>
      </c>
      <c r="BG9" s="25">
        <v>0.76492018421036334</v>
      </c>
      <c r="BH9" s="25">
        <v>0.61648427768988201</v>
      </c>
      <c r="BI9" s="25">
        <v>1.6296090751950834</v>
      </c>
      <c r="BJ9" s="25">
        <v>369.75981527196274</v>
      </c>
      <c r="BK9" s="25">
        <v>1.5956915528861471</v>
      </c>
      <c r="BL9" s="25">
        <v>1.1474393182785314</v>
      </c>
      <c r="BM9" s="25">
        <v>0.42774142421122563</v>
      </c>
      <c r="BN9" s="25">
        <v>0.35090323468008289</v>
      </c>
      <c r="BO9" s="25">
        <v>2.1063879786607207</v>
      </c>
      <c r="BP9" s="25">
        <v>8.6702236953693612E-2</v>
      </c>
      <c r="BQ9" s="25">
        <v>71.223802448817224</v>
      </c>
      <c r="BR9" s="25">
        <v>16.960068813518546</v>
      </c>
      <c r="BS9" s="25">
        <v>1.5619518298257609</v>
      </c>
      <c r="BT9" s="25">
        <v>6.8222988771079134</v>
      </c>
      <c r="BU9" s="25">
        <v>5.500218499872763</v>
      </c>
      <c r="BV9" s="25">
        <v>1.1191405236272542</v>
      </c>
      <c r="BW9" s="25">
        <v>4.3106319845372205</v>
      </c>
      <c r="BX9" s="25">
        <v>0</v>
      </c>
      <c r="BY9" s="25">
        <v>18508.780939473923</v>
      </c>
      <c r="BZ9" s="25">
        <v>1808.1263468965512</v>
      </c>
      <c r="CA9" s="25">
        <v>7.4826886493532085E-2</v>
      </c>
      <c r="CB9" s="25">
        <v>0</v>
      </c>
      <c r="CC9" s="25">
        <v>199.54564961426397</v>
      </c>
      <c r="CD9" s="25">
        <v>9.7663345531448016</v>
      </c>
      <c r="CE9" s="25">
        <v>-515.29409742372206</v>
      </c>
      <c r="CF9" s="25">
        <v>1502.219060526731</v>
      </c>
      <c r="CG9" s="25">
        <v>20011</v>
      </c>
      <c r="CH9"/>
      <c r="CI9">
        <f t="shared" si="0"/>
        <v>7.5069664710745637E-2</v>
      </c>
      <c r="CJ9"/>
      <c r="CK9"/>
      <c r="CL9"/>
      <c r="CM9"/>
      <c r="CN9"/>
      <c r="CO9"/>
      <c r="CP9"/>
      <c r="CQ9"/>
      <c r="CR9"/>
      <c r="CS9"/>
      <c r="CT9"/>
      <c r="CU9"/>
    </row>
    <row r="10" spans="1:99" s="18" customFormat="1" x14ac:dyDescent="0.3">
      <c r="A10" s="35" t="s">
        <v>14</v>
      </c>
      <c r="B10" s="4" t="s">
        <v>88</v>
      </c>
      <c r="C10" s="18">
        <v>5</v>
      </c>
      <c r="D10" s="46">
        <v>21.840529156148218</v>
      </c>
      <c r="E10" s="46">
        <v>15.400400614883161</v>
      </c>
      <c r="F10" s="46">
        <v>0.88883243232383691</v>
      </c>
      <c r="G10" s="46">
        <v>2.8557716462244058</v>
      </c>
      <c r="H10" s="46">
        <v>6630.1612088235315</v>
      </c>
      <c r="I10" s="46">
        <v>276.15336287009848</v>
      </c>
      <c r="J10" s="46">
        <v>28.805250505293394</v>
      </c>
      <c r="K10" s="46">
        <v>63.705838666513223</v>
      </c>
      <c r="L10" s="46">
        <v>0.44529788306225443</v>
      </c>
      <c r="M10" s="46">
        <v>591.27168210260413</v>
      </c>
      <c r="N10" s="46">
        <v>106.02011136393205</v>
      </c>
      <c r="O10" s="46">
        <v>0.12079150775006751</v>
      </c>
      <c r="P10" s="46">
        <v>91.397968424161249</v>
      </c>
      <c r="Q10" s="46">
        <v>0.9859828821998885</v>
      </c>
      <c r="R10" s="46">
        <v>1.5852200747158953</v>
      </c>
      <c r="S10" s="46">
        <v>39.944558328694711</v>
      </c>
      <c r="T10" s="46">
        <v>541.21669558565713</v>
      </c>
      <c r="U10" s="46">
        <v>0.14283781759447525</v>
      </c>
      <c r="V10" s="46">
        <v>106597.07169103523</v>
      </c>
      <c r="W10" s="46">
        <v>2746.859928965142</v>
      </c>
      <c r="X10" s="46">
        <v>590.10146142342774</v>
      </c>
      <c r="Y10" s="46">
        <v>1.2543755826208123</v>
      </c>
      <c r="Z10" s="46">
        <v>1369.8244545530101</v>
      </c>
      <c r="AA10" s="46">
        <v>67.887326730768507</v>
      </c>
      <c r="AB10" s="46">
        <v>24.388557536390959</v>
      </c>
      <c r="AC10" s="46">
        <v>28.616612248902094</v>
      </c>
      <c r="AD10" s="46">
        <v>80.815093895843745</v>
      </c>
      <c r="AE10" s="46">
        <v>444.9047330096729</v>
      </c>
      <c r="AF10" s="46">
        <v>358.13112480767455</v>
      </c>
      <c r="AG10" s="46">
        <v>243.10479667412577</v>
      </c>
      <c r="AH10" s="46">
        <v>282.12759953735406</v>
      </c>
      <c r="AI10" s="46">
        <v>1.1289920258050867</v>
      </c>
      <c r="AJ10" s="46">
        <v>26.624932580698125</v>
      </c>
      <c r="AK10" s="46">
        <v>19.39617063302661</v>
      </c>
      <c r="AL10" s="46">
        <v>62.055892692773291</v>
      </c>
      <c r="AM10" s="46">
        <v>126.58879315468714</v>
      </c>
      <c r="AN10" s="46">
        <v>1.6722904165548684</v>
      </c>
      <c r="AO10" s="46">
        <v>2.9946627049901835</v>
      </c>
      <c r="AP10" s="46">
        <v>6.2288933402661524</v>
      </c>
      <c r="AQ10" s="46">
        <v>3962.6267490105643</v>
      </c>
      <c r="AR10" s="46">
        <v>1.0026425015018887</v>
      </c>
      <c r="AS10" s="46">
        <v>0.71835593670119713</v>
      </c>
      <c r="AT10" s="46">
        <v>5204.7213082855596</v>
      </c>
      <c r="AU10" s="46">
        <v>522.87686453940887</v>
      </c>
      <c r="AV10" s="46">
        <v>571.58374784241619</v>
      </c>
      <c r="AW10" s="46">
        <v>9.6259107950591485</v>
      </c>
      <c r="AX10" s="46">
        <v>157.08908899541788</v>
      </c>
      <c r="AY10" s="47">
        <v>72.420509151887714</v>
      </c>
      <c r="AZ10" s="46">
        <v>0.79119726022833792</v>
      </c>
      <c r="BA10" s="46">
        <v>0.27180433402135079</v>
      </c>
      <c r="BB10" s="46">
        <v>47.629023225729306</v>
      </c>
      <c r="BC10" s="46">
        <v>3.4384093391053674</v>
      </c>
      <c r="BD10" s="46">
        <v>49.277023471172583</v>
      </c>
      <c r="BE10" s="46">
        <v>0.46020693542067409</v>
      </c>
      <c r="BF10" s="46">
        <v>1.2321138297038736</v>
      </c>
      <c r="BG10" s="46">
        <v>87.263751367838168</v>
      </c>
      <c r="BH10" s="46">
        <v>4.8051068332729354</v>
      </c>
      <c r="BI10" s="46">
        <v>13.42873287781198</v>
      </c>
      <c r="BJ10" s="46">
        <v>6.8459631171730635</v>
      </c>
      <c r="BK10" s="46">
        <v>13.309644485303563</v>
      </c>
      <c r="BL10" s="46">
        <v>55.84941687290231</v>
      </c>
      <c r="BM10" s="46">
        <v>3.1144653032179401</v>
      </c>
      <c r="BN10" s="46">
        <v>5.7667873410487926</v>
      </c>
      <c r="BO10" s="46">
        <v>9.2018492340023048</v>
      </c>
      <c r="BP10" s="46">
        <v>0.72124886305557712</v>
      </c>
      <c r="BQ10" s="46">
        <v>1045.7361704016769</v>
      </c>
      <c r="BR10" s="46">
        <v>8.0402547944220171</v>
      </c>
      <c r="BS10" s="46">
        <v>12.284844878600811</v>
      </c>
      <c r="BT10" s="46">
        <v>1.4955079432515803</v>
      </c>
      <c r="BU10" s="46">
        <v>7.5123371166669539</v>
      </c>
      <c r="BV10" s="46">
        <v>9.5743713507298249</v>
      </c>
      <c r="BW10" s="46">
        <v>21.701481886008551</v>
      </c>
      <c r="BX10" s="46">
        <v>0</v>
      </c>
      <c r="BY10" s="46">
        <v>133407.13761435516</v>
      </c>
      <c r="BZ10" s="46">
        <v>92727.090257778167</v>
      </c>
      <c r="CA10" s="46">
        <v>0</v>
      </c>
      <c r="CB10" s="46">
        <v>0</v>
      </c>
      <c r="CC10" s="46">
        <v>602.27835410534612</v>
      </c>
      <c r="CD10" s="46">
        <v>11369.449471675794</v>
      </c>
      <c r="CE10" s="46">
        <v>-12167.955697914464</v>
      </c>
      <c r="CF10" s="46">
        <v>92530.862385644839</v>
      </c>
      <c r="CG10" s="46">
        <v>225938</v>
      </c>
      <c r="CH10"/>
      <c r="CI10">
        <f t="shared" si="0"/>
        <v>0.4095409465678409</v>
      </c>
      <c r="CJ10"/>
      <c r="CK10"/>
      <c r="CL10"/>
      <c r="CM10"/>
      <c r="CN10"/>
      <c r="CO10"/>
      <c r="CP10"/>
      <c r="CQ10"/>
      <c r="CR10"/>
      <c r="CS10"/>
      <c r="CT10"/>
      <c r="CU10"/>
    </row>
    <row r="11" spans="1:99" s="5" customFormat="1" x14ac:dyDescent="0.3">
      <c r="A11" s="35" t="s">
        <v>15</v>
      </c>
      <c r="B11" s="11" t="s">
        <v>89</v>
      </c>
      <c r="C11" s="5">
        <v>6</v>
      </c>
      <c r="D11" s="25">
        <v>0.13674265992418938</v>
      </c>
      <c r="E11" s="25">
        <v>7.7076579237451356E-2</v>
      </c>
      <c r="F11" s="25">
        <v>7.9907095159552737E-3</v>
      </c>
      <c r="G11" s="25">
        <v>2.1964979988157055E-2</v>
      </c>
      <c r="H11" s="25">
        <v>2.3512302778406555</v>
      </c>
      <c r="I11" s="25">
        <v>1793.5446680277946</v>
      </c>
      <c r="J11" s="25">
        <v>45.052166072018551</v>
      </c>
      <c r="K11" s="25">
        <v>0.48557035056860143</v>
      </c>
      <c r="L11" s="25">
        <v>3.2457224077284408E-2</v>
      </c>
      <c r="M11" s="25">
        <v>0.34478481658447679</v>
      </c>
      <c r="N11" s="25">
        <v>0.27770406268595904</v>
      </c>
      <c r="O11" s="25">
        <v>6.3359672467056719E-2</v>
      </c>
      <c r="P11" s="25">
        <v>4.3394836605403636E-2</v>
      </c>
      <c r="Q11" s="25">
        <v>9.5809719255202166E-2</v>
      </c>
      <c r="R11" s="25">
        <v>0.10896932523635733</v>
      </c>
      <c r="S11" s="25">
        <v>7.4421837428328225E-2</v>
      </c>
      <c r="T11" s="25">
        <v>0.14841066512926848</v>
      </c>
      <c r="U11" s="25">
        <v>1.4610974710545475E-2</v>
      </c>
      <c r="V11" s="25">
        <v>0.14103174954363348</v>
      </c>
      <c r="W11" s="25">
        <v>3.616791272586468E-3</v>
      </c>
      <c r="X11" s="25">
        <v>2.3110087238738054E-5</v>
      </c>
      <c r="Y11" s="25">
        <v>1.758844896028158E-2</v>
      </c>
      <c r="Z11" s="25">
        <v>0.3441422741410653</v>
      </c>
      <c r="AA11" s="25">
        <v>0.11931617995440563</v>
      </c>
      <c r="AB11" s="25">
        <v>0.21383962892644981</v>
      </c>
      <c r="AC11" s="25">
        <v>0.70292247376864159</v>
      </c>
      <c r="AD11" s="25">
        <v>0.20161083267503888</v>
      </c>
      <c r="AE11" s="25">
        <v>106.29352494890139</v>
      </c>
      <c r="AF11" s="25">
        <v>16914.009290101829</v>
      </c>
      <c r="AG11" s="25">
        <v>123.08644919276587</v>
      </c>
      <c r="AH11" s="25">
        <v>9.6515193252221299E-2</v>
      </c>
      <c r="AI11" s="25">
        <v>0.2311133980093566</v>
      </c>
      <c r="AJ11" s="25">
        <v>0.55081086408176261</v>
      </c>
      <c r="AK11" s="25">
        <v>4.5165856691169601</v>
      </c>
      <c r="AL11" s="25">
        <v>1.1407708638242533</v>
      </c>
      <c r="AM11" s="25">
        <v>0.6648090811878542</v>
      </c>
      <c r="AN11" s="25">
        <v>0.23246827901084524</v>
      </c>
      <c r="AO11" s="25">
        <v>0.11436778901434212</v>
      </c>
      <c r="AP11" s="25">
        <v>2.6358291933710922</v>
      </c>
      <c r="AQ11" s="25">
        <v>0.28979804949630938</v>
      </c>
      <c r="AR11" s="25">
        <v>4.7338774662424629E-2</v>
      </c>
      <c r="AS11" s="25">
        <v>3.391646550388018E-2</v>
      </c>
      <c r="AT11" s="25">
        <v>1.988170756914235E-2</v>
      </c>
      <c r="AU11" s="25">
        <v>7.234069782709901E-2</v>
      </c>
      <c r="AV11" s="25">
        <v>1.2898289321037097</v>
      </c>
      <c r="AW11" s="25">
        <v>0.20090651102872664</v>
      </c>
      <c r="AX11" s="25">
        <v>1.887658810240807</v>
      </c>
      <c r="AY11" s="40">
        <v>0.11844738050404721</v>
      </c>
      <c r="AZ11" s="25">
        <v>4.2493869978530906E-2</v>
      </c>
      <c r="BA11" s="25">
        <v>9.9650457093768633E-3</v>
      </c>
      <c r="BB11" s="25">
        <v>0.14510724830900434</v>
      </c>
      <c r="BC11" s="25">
        <v>4.3813445033068006E-2</v>
      </c>
      <c r="BD11" s="25">
        <v>0.31459912276088531</v>
      </c>
      <c r="BE11" s="25">
        <v>2.0385269425681325E-2</v>
      </c>
      <c r="BF11" s="25">
        <v>2.0853742805391956E-2</v>
      </c>
      <c r="BG11" s="25">
        <v>0.29065393793936506</v>
      </c>
      <c r="BH11" s="25">
        <v>0.36060677130944191</v>
      </c>
      <c r="BI11" s="25">
        <v>0.19109174329379947</v>
      </c>
      <c r="BJ11" s="25">
        <v>7.4650669733284547E-2</v>
      </c>
      <c r="BK11" s="25">
        <v>0.16290205665120142</v>
      </c>
      <c r="BL11" s="25">
        <v>6.5571965664593153</v>
      </c>
      <c r="BM11" s="25">
        <v>5.3040757670002957E-2</v>
      </c>
      <c r="BN11" s="25">
        <v>0.12392834524204648</v>
      </c>
      <c r="BO11" s="25">
        <v>0.64194196661380931</v>
      </c>
      <c r="BP11" s="25">
        <v>1.0178673142548091E-2</v>
      </c>
      <c r="BQ11" s="25">
        <v>0.1429922842223047</v>
      </c>
      <c r="BR11" s="25">
        <v>5.2338502546912274E-2</v>
      </c>
      <c r="BS11" s="25">
        <v>0.14785892586383659</v>
      </c>
      <c r="BT11" s="25">
        <v>9.1322142724599098E-2</v>
      </c>
      <c r="BU11" s="25">
        <v>0.22754425096440167</v>
      </c>
      <c r="BV11" s="25">
        <v>0.11034237079522521</v>
      </c>
      <c r="BW11" s="25">
        <v>0.13327856122098622</v>
      </c>
      <c r="BX11" s="25">
        <v>0</v>
      </c>
      <c r="BY11" s="25">
        <v>19012.127162454108</v>
      </c>
      <c r="BZ11" s="25">
        <v>65510.696678506043</v>
      </c>
      <c r="CA11" s="25">
        <v>1.4070934149824032E-2</v>
      </c>
      <c r="CB11" s="25">
        <v>0</v>
      </c>
      <c r="CC11" s="25">
        <v>7.1161250435648888</v>
      </c>
      <c r="CD11" s="25">
        <v>145.98410861954713</v>
      </c>
      <c r="CE11" s="25">
        <v>7650.0618544429026</v>
      </c>
      <c r="CF11" s="25">
        <v>73313.872837546209</v>
      </c>
      <c r="CG11" s="25">
        <v>92326</v>
      </c>
      <c r="CH11"/>
      <c r="CI11">
        <f t="shared" si="0"/>
        <v>0.79407613064084015</v>
      </c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5" customFormat="1" x14ac:dyDescent="0.3">
      <c r="A12" s="35" t="s">
        <v>16</v>
      </c>
      <c r="B12" s="11" t="s">
        <v>90</v>
      </c>
      <c r="C12" s="5">
        <v>7</v>
      </c>
      <c r="D12" s="25">
        <v>4.6695014758879445</v>
      </c>
      <c r="E12" s="25">
        <v>2.6283039561679735</v>
      </c>
      <c r="F12" s="25">
        <v>0.12435657689505802</v>
      </c>
      <c r="G12" s="25">
        <v>1.2402922594017085</v>
      </c>
      <c r="H12" s="25">
        <v>68.177003420436364</v>
      </c>
      <c r="I12" s="25">
        <v>10.656377563750246</v>
      </c>
      <c r="J12" s="25">
        <v>810.56588004422406</v>
      </c>
      <c r="K12" s="25">
        <v>6.0089168764356895</v>
      </c>
      <c r="L12" s="25">
        <v>0.15093812670459369</v>
      </c>
      <c r="M12" s="25">
        <v>12.9722183949743</v>
      </c>
      <c r="N12" s="25">
        <v>1.4659626299990833</v>
      </c>
      <c r="O12" s="25">
        <v>3.0025646907243879E-3</v>
      </c>
      <c r="P12" s="25">
        <v>0.1647001896778941</v>
      </c>
      <c r="Q12" s="25">
        <v>3.7493815255573659E-2</v>
      </c>
      <c r="R12" s="25">
        <v>0.28587825633002129</v>
      </c>
      <c r="S12" s="25">
        <v>0.12078566972039449</v>
      </c>
      <c r="T12" s="25">
        <v>5.8959538641400995</v>
      </c>
      <c r="U12" s="25">
        <v>3.4978878823679715</v>
      </c>
      <c r="V12" s="25">
        <v>4.5892973046511618E-2</v>
      </c>
      <c r="W12" s="25">
        <v>1.1822535605055414E-3</v>
      </c>
      <c r="X12" s="25">
        <v>2.1491581320449266E-4</v>
      </c>
      <c r="Y12" s="25">
        <v>0.99308581171159349</v>
      </c>
      <c r="Z12" s="25">
        <v>30.317772802696538</v>
      </c>
      <c r="AA12" s="25">
        <v>5.2720189638343404</v>
      </c>
      <c r="AB12" s="25">
        <v>1.707652177148723</v>
      </c>
      <c r="AC12" s="25">
        <v>0.54015883269519149</v>
      </c>
      <c r="AD12" s="25">
        <v>7.8003983154097618</v>
      </c>
      <c r="AE12" s="25">
        <v>52.370365079400145</v>
      </c>
      <c r="AF12" s="25">
        <v>1602.2276965246788</v>
      </c>
      <c r="AG12" s="25">
        <v>5411.8108357352558</v>
      </c>
      <c r="AH12" s="25">
        <v>31.658928989281709</v>
      </c>
      <c r="AI12" s="25">
        <v>2.4799909024659503</v>
      </c>
      <c r="AJ12" s="25">
        <v>79.430200149974439</v>
      </c>
      <c r="AK12" s="25">
        <v>12.403471412807637</v>
      </c>
      <c r="AL12" s="25">
        <v>8.4362246418490709</v>
      </c>
      <c r="AM12" s="25">
        <v>49.25245291236304</v>
      </c>
      <c r="AN12" s="25">
        <v>12.922169743007423</v>
      </c>
      <c r="AO12" s="25">
        <v>30.016131454804242</v>
      </c>
      <c r="AP12" s="25">
        <v>5.5688268546337119</v>
      </c>
      <c r="AQ12" s="25">
        <v>0.38191835058480461</v>
      </c>
      <c r="AR12" s="25">
        <v>6.2386709535148889E-2</v>
      </c>
      <c r="AS12" s="25">
        <v>4.4697749296181193E-2</v>
      </c>
      <c r="AT12" s="25">
        <v>2.7479529782933219E-3</v>
      </c>
      <c r="AU12" s="25">
        <v>3.6386313509995625</v>
      </c>
      <c r="AV12" s="25">
        <v>59.821666220413704</v>
      </c>
      <c r="AW12" s="25">
        <v>0.56351330548292067</v>
      </c>
      <c r="AX12" s="25">
        <v>3.5850875870764098</v>
      </c>
      <c r="AY12" s="40">
        <v>0.16152433475438327</v>
      </c>
      <c r="AZ12" s="25">
        <v>0</v>
      </c>
      <c r="BA12" s="25">
        <v>3.6377032630939723E-3</v>
      </c>
      <c r="BB12" s="25">
        <v>7.3311620754241066E-2</v>
      </c>
      <c r="BC12" s="25">
        <v>4.6298041530286917E-3</v>
      </c>
      <c r="BD12" s="25">
        <v>0.25629272989980256</v>
      </c>
      <c r="BE12" s="25">
        <v>3.7532058634054849E-4</v>
      </c>
      <c r="BF12" s="25">
        <v>0</v>
      </c>
      <c r="BG12" s="25">
        <v>1.2010258762897552E-2</v>
      </c>
      <c r="BH12" s="25">
        <v>1.9382809620621597E-2</v>
      </c>
      <c r="BI12" s="25">
        <v>1.5203034511277993E-2</v>
      </c>
      <c r="BJ12" s="25">
        <v>2.003248905706124</v>
      </c>
      <c r="BK12" s="25">
        <v>0.23876561417762249</v>
      </c>
      <c r="BL12" s="25">
        <v>0.70972306863846413</v>
      </c>
      <c r="BM12" s="25">
        <v>1.6222906532518441E-3</v>
      </c>
      <c r="BN12" s="25">
        <v>5.442148501937953E-3</v>
      </c>
      <c r="BO12" s="25">
        <v>0.26001967374228785</v>
      </c>
      <c r="BP12" s="25">
        <v>0</v>
      </c>
      <c r="BQ12" s="25">
        <v>0.51230206414437374</v>
      </c>
      <c r="BR12" s="25">
        <v>0.19266821059269967</v>
      </c>
      <c r="BS12" s="25">
        <v>1.8766029317027425E-4</v>
      </c>
      <c r="BT12" s="25">
        <v>0.4111017478166531</v>
      </c>
      <c r="BU12" s="25">
        <v>0.71872298895310616</v>
      </c>
      <c r="BV12" s="25">
        <v>0</v>
      </c>
      <c r="BW12" s="25">
        <v>0.38814582574989026</v>
      </c>
      <c r="BX12" s="25">
        <v>0</v>
      </c>
      <c r="BY12" s="25">
        <v>8348.0100920551376</v>
      </c>
      <c r="BZ12" s="25">
        <v>11140.000522732968</v>
      </c>
      <c r="CA12" s="25">
        <v>0</v>
      </c>
      <c r="CB12" s="25">
        <v>0</v>
      </c>
      <c r="CC12" s="25">
        <v>7.4490403929319573</v>
      </c>
      <c r="CD12" s="25">
        <v>8.4306386705310778</v>
      </c>
      <c r="CE12" s="25">
        <v>-1230.8902938517319</v>
      </c>
      <c r="CF12" s="25">
        <v>9924.989907944695</v>
      </c>
      <c r="CG12" s="25">
        <v>18273</v>
      </c>
      <c r="CH12"/>
      <c r="CI12">
        <f t="shared" si="0"/>
        <v>0.54315054495401383</v>
      </c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5" customFormat="1" x14ac:dyDescent="0.3">
      <c r="A13" s="35" t="s">
        <v>17</v>
      </c>
      <c r="B13" s="13" t="s">
        <v>91</v>
      </c>
      <c r="C13" s="5">
        <v>8</v>
      </c>
      <c r="D13" s="25">
        <v>73.154869703102293</v>
      </c>
      <c r="E13" s="25">
        <v>2090.4666127383612</v>
      </c>
      <c r="F13" s="25">
        <v>38.303223606085048</v>
      </c>
      <c r="G13" s="25">
        <v>9.9476144270842912</v>
      </c>
      <c r="H13" s="25">
        <v>19.441015207789729</v>
      </c>
      <c r="I13" s="25">
        <v>17.034336759545571</v>
      </c>
      <c r="J13" s="25">
        <v>3.2840564241838339</v>
      </c>
      <c r="K13" s="25">
        <v>22154.159039236492</v>
      </c>
      <c r="L13" s="25">
        <v>1.082347910381634</v>
      </c>
      <c r="M13" s="25">
        <v>2486.5335612008021</v>
      </c>
      <c r="N13" s="25">
        <v>47.12680801295101</v>
      </c>
      <c r="O13" s="25">
        <v>2.4639671818900046</v>
      </c>
      <c r="P13" s="25">
        <v>7.060412577559898</v>
      </c>
      <c r="Q13" s="25">
        <v>8.6616937343683915</v>
      </c>
      <c r="R13" s="25">
        <v>1473.7108621562193</v>
      </c>
      <c r="S13" s="25">
        <v>5.5399254119356467</v>
      </c>
      <c r="T13" s="25">
        <v>15.727026465846638</v>
      </c>
      <c r="U13" s="25">
        <v>3.1952587031855946</v>
      </c>
      <c r="V13" s="25">
        <v>23.045816579540215</v>
      </c>
      <c r="W13" s="25">
        <v>0.59120438239645301</v>
      </c>
      <c r="X13" s="25">
        <v>1.1154333921446673E-2</v>
      </c>
      <c r="Y13" s="25">
        <v>737.52754758680226</v>
      </c>
      <c r="Z13" s="25">
        <v>29.649496648953853</v>
      </c>
      <c r="AA13" s="25">
        <v>44.06311680020827</v>
      </c>
      <c r="AB13" s="25">
        <v>1728.7212004490052</v>
      </c>
      <c r="AC13" s="25">
        <v>13.395568380291248</v>
      </c>
      <c r="AD13" s="25">
        <v>28.418666331113954</v>
      </c>
      <c r="AE13" s="25">
        <v>9.9546155048647833</v>
      </c>
      <c r="AF13" s="25">
        <v>10.27433090791676</v>
      </c>
      <c r="AG13" s="25">
        <v>5.7880679952824563</v>
      </c>
      <c r="AH13" s="25">
        <v>65.983484351678669</v>
      </c>
      <c r="AI13" s="25">
        <v>13.052513084827927</v>
      </c>
      <c r="AJ13" s="25">
        <v>11.427341327966367</v>
      </c>
      <c r="AK13" s="25">
        <v>65.885115946016057</v>
      </c>
      <c r="AL13" s="25">
        <v>13.947593713978753</v>
      </c>
      <c r="AM13" s="25">
        <v>8.0334682308256546</v>
      </c>
      <c r="AN13" s="25">
        <v>3.9970415496921299</v>
      </c>
      <c r="AO13" s="25">
        <v>12.233521469074882</v>
      </c>
      <c r="AP13" s="25">
        <v>40.66630068883353</v>
      </c>
      <c r="AQ13" s="25">
        <v>4.9078318601301127</v>
      </c>
      <c r="AR13" s="25">
        <v>0.80169879304424541</v>
      </c>
      <c r="AS13" s="25">
        <v>0.57438726821060582</v>
      </c>
      <c r="AT13" s="25">
        <v>0.39508867755127919</v>
      </c>
      <c r="AU13" s="25">
        <v>3.2880462758082873</v>
      </c>
      <c r="AV13" s="25">
        <v>58.979780993144523</v>
      </c>
      <c r="AW13" s="25">
        <v>7.2079814180050006</v>
      </c>
      <c r="AX13" s="25">
        <v>448.87840910454804</v>
      </c>
      <c r="AY13" s="40">
        <v>13.177597734156844</v>
      </c>
      <c r="AZ13" s="25">
        <v>0.87761198330752599</v>
      </c>
      <c r="BA13" s="25">
        <v>1.2127732024502407</v>
      </c>
      <c r="BB13" s="25">
        <v>4.6743078731159482</v>
      </c>
      <c r="BC13" s="25">
        <v>445.42571341750192</v>
      </c>
      <c r="BD13" s="25">
        <v>17469.214563864898</v>
      </c>
      <c r="BE13" s="25">
        <v>1.6282579133193542</v>
      </c>
      <c r="BF13" s="25">
        <v>1.6628425525433661</v>
      </c>
      <c r="BG13" s="25">
        <v>6.3279885834616953</v>
      </c>
      <c r="BH13" s="25">
        <v>4.6611580152642542</v>
      </c>
      <c r="BI13" s="25">
        <v>8.4847062924333017</v>
      </c>
      <c r="BJ13" s="25">
        <v>4.2251628748492873</v>
      </c>
      <c r="BK13" s="25">
        <v>7.7048874320347664</v>
      </c>
      <c r="BL13" s="25">
        <v>6.6234745742587275</v>
      </c>
      <c r="BM13" s="25">
        <v>5.7445293810847424</v>
      </c>
      <c r="BN13" s="25">
        <v>2.4002706741584565</v>
      </c>
      <c r="BO13" s="25">
        <v>15.89183431792314</v>
      </c>
      <c r="BP13" s="25">
        <v>0.73876872676470495</v>
      </c>
      <c r="BQ13" s="25">
        <v>2176.6448294629563</v>
      </c>
      <c r="BR13" s="25">
        <v>1294.0752073496703</v>
      </c>
      <c r="BS13" s="25">
        <v>207.92015422828754</v>
      </c>
      <c r="BT13" s="25">
        <v>1280.2889393214916</v>
      </c>
      <c r="BU13" s="25">
        <v>750.19254504153946</v>
      </c>
      <c r="BV13" s="25">
        <v>7.8726989669171097</v>
      </c>
      <c r="BW13" s="25">
        <v>194.08997714598203</v>
      </c>
      <c r="BX13" s="25">
        <v>0</v>
      </c>
      <c r="BY13" s="25">
        <v>55760.353823041805</v>
      </c>
      <c r="BZ13" s="25">
        <v>46170.634193654907</v>
      </c>
      <c r="CA13" s="25">
        <v>72.403106847664276</v>
      </c>
      <c r="CB13" s="25">
        <v>0</v>
      </c>
      <c r="CC13" s="25">
        <v>189902.00684124397</v>
      </c>
      <c r="CD13" s="25">
        <v>408.57985322996069</v>
      </c>
      <c r="CE13" s="25">
        <v>92.02218198479143</v>
      </c>
      <c r="CF13" s="25">
        <v>236645.64617696131</v>
      </c>
      <c r="CG13" s="25">
        <v>292406</v>
      </c>
      <c r="CH13"/>
      <c r="CI13">
        <f t="shared" si="0"/>
        <v>0.80930502854579356</v>
      </c>
      <c r="CJ13"/>
      <c r="CK13"/>
      <c r="CL13"/>
      <c r="CM13"/>
      <c r="CN13"/>
      <c r="CO13"/>
      <c r="CP13"/>
      <c r="CQ13"/>
      <c r="CR13"/>
      <c r="CS13"/>
      <c r="CT13"/>
      <c r="CU13"/>
    </row>
    <row r="14" spans="1:99" s="5" customFormat="1" x14ac:dyDescent="0.3">
      <c r="A14" s="35" t="s">
        <v>18</v>
      </c>
      <c r="B14" s="11" t="s">
        <v>92</v>
      </c>
      <c r="C14" s="5">
        <v>9</v>
      </c>
      <c r="D14" s="25">
        <v>53.525245661495106</v>
      </c>
      <c r="E14" s="25">
        <v>87.091629096935279</v>
      </c>
      <c r="F14" s="25">
        <v>2.3933686114067809</v>
      </c>
      <c r="G14" s="25">
        <v>1.6267936485293737</v>
      </c>
      <c r="H14" s="25">
        <v>330.37378178183957</v>
      </c>
      <c r="I14" s="25">
        <v>22.213349808506475</v>
      </c>
      <c r="J14" s="25">
        <v>3.8758144062349711</v>
      </c>
      <c r="K14" s="25">
        <v>291.48502026670752</v>
      </c>
      <c r="L14" s="25">
        <v>755.0705522263853</v>
      </c>
      <c r="M14" s="25">
        <v>3193.1450846768516</v>
      </c>
      <c r="N14" s="25">
        <v>671.87756873897501</v>
      </c>
      <c r="O14" s="25">
        <v>0.80970769237717621</v>
      </c>
      <c r="P14" s="25">
        <v>2.0182717111439166</v>
      </c>
      <c r="Q14" s="25">
        <v>2.6748804352580842</v>
      </c>
      <c r="R14" s="25">
        <v>2.0719631351791987</v>
      </c>
      <c r="S14" s="25">
        <v>14.517455004906177</v>
      </c>
      <c r="T14" s="25">
        <v>5.7074960129299406</v>
      </c>
      <c r="U14" s="25">
        <v>0.69458070858489607</v>
      </c>
      <c r="V14" s="25">
        <v>7507.7581622523867</v>
      </c>
      <c r="W14" s="25">
        <v>38.065828560668251</v>
      </c>
      <c r="X14" s="25">
        <v>37.884552806870992</v>
      </c>
      <c r="Y14" s="25">
        <v>641.94530772094413</v>
      </c>
      <c r="Z14" s="25">
        <v>141.833331788035</v>
      </c>
      <c r="AA14" s="25">
        <v>414.07002298252723</v>
      </c>
      <c r="AB14" s="25">
        <v>612.6548674591528</v>
      </c>
      <c r="AC14" s="25">
        <v>355.93828927093591</v>
      </c>
      <c r="AD14" s="25">
        <v>4.1415098105530657</v>
      </c>
      <c r="AE14" s="25">
        <v>3.0130158993046825</v>
      </c>
      <c r="AF14" s="25">
        <v>3.8189358232853383</v>
      </c>
      <c r="AG14" s="25">
        <v>2.1825390449694484</v>
      </c>
      <c r="AH14" s="25">
        <v>17.07074375611057</v>
      </c>
      <c r="AI14" s="25">
        <v>4.3963944431650885</v>
      </c>
      <c r="AJ14" s="25">
        <v>6.2673356968479901</v>
      </c>
      <c r="AK14" s="25">
        <v>94.892959214485501</v>
      </c>
      <c r="AL14" s="25">
        <v>16.375697215791359</v>
      </c>
      <c r="AM14" s="25">
        <v>2.8484953587445792</v>
      </c>
      <c r="AN14" s="25">
        <v>3.8857595632279263</v>
      </c>
      <c r="AO14" s="25">
        <v>3.4125173590272073</v>
      </c>
      <c r="AP14" s="25">
        <v>59.620441036581269</v>
      </c>
      <c r="AQ14" s="25">
        <v>4.5778112444269441</v>
      </c>
      <c r="AR14" s="25">
        <v>0.74778962565032936</v>
      </c>
      <c r="AS14" s="25">
        <v>0.53576336150205395</v>
      </c>
      <c r="AT14" s="25">
        <v>0.18604366840390935</v>
      </c>
      <c r="AU14" s="25">
        <v>10.534485195693792</v>
      </c>
      <c r="AV14" s="25">
        <v>172.49428311674274</v>
      </c>
      <c r="AW14" s="25">
        <v>139.72003194266006</v>
      </c>
      <c r="AX14" s="25">
        <v>273.44868017972459</v>
      </c>
      <c r="AY14" s="40">
        <v>351.8825270706414</v>
      </c>
      <c r="AZ14" s="25">
        <v>3.0478342772881142</v>
      </c>
      <c r="BA14" s="25">
        <v>9.5131123396482042</v>
      </c>
      <c r="BB14" s="25">
        <v>24.925261680434858</v>
      </c>
      <c r="BC14" s="25">
        <v>7.1586322599458212</v>
      </c>
      <c r="BD14" s="25">
        <v>795.99698416713557</v>
      </c>
      <c r="BE14" s="25">
        <v>2.2736975853333132</v>
      </c>
      <c r="BF14" s="25">
        <v>4.3632644457122938</v>
      </c>
      <c r="BG14" s="25">
        <v>12.172918758611727</v>
      </c>
      <c r="BH14" s="25">
        <v>17.104176004586161</v>
      </c>
      <c r="BI14" s="25">
        <v>62.695756696538133</v>
      </c>
      <c r="BJ14" s="25">
        <v>8.9417937468582913</v>
      </c>
      <c r="BK14" s="25">
        <v>62.340633001693277</v>
      </c>
      <c r="BL14" s="25">
        <v>49.822365940225048</v>
      </c>
      <c r="BM14" s="25">
        <v>19.535257662348876</v>
      </c>
      <c r="BN14" s="25">
        <v>47.389974559885005</v>
      </c>
      <c r="BO14" s="25">
        <v>66.91695313610424</v>
      </c>
      <c r="BP14" s="25">
        <v>31.905778702229004</v>
      </c>
      <c r="BQ14" s="25">
        <v>347.62689946182672</v>
      </c>
      <c r="BR14" s="25">
        <v>93.441802498041852</v>
      </c>
      <c r="BS14" s="25">
        <v>10.050684204698621</v>
      </c>
      <c r="BT14" s="25">
        <v>71.418104846656192</v>
      </c>
      <c r="BU14" s="25">
        <v>65.577576241430791</v>
      </c>
      <c r="BV14" s="25">
        <v>9.0821777582515093</v>
      </c>
      <c r="BW14" s="25">
        <v>75.349417288470065</v>
      </c>
      <c r="BX14" s="25">
        <v>0</v>
      </c>
      <c r="BY14" s="25">
        <v>18266.027743357266</v>
      </c>
      <c r="BZ14" s="25">
        <v>16586.094099334223</v>
      </c>
      <c r="CA14" s="25">
        <v>0.75832747333979078</v>
      </c>
      <c r="CB14" s="25">
        <v>0</v>
      </c>
      <c r="CC14" s="25">
        <v>16804.060038089898</v>
      </c>
      <c r="CD14" s="25">
        <v>332.26540144204876</v>
      </c>
      <c r="CE14" s="25">
        <v>-434.20560969345934</v>
      </c>
      <c r="CF14" s="25">
        <v>33288.972256646048</v>
      </c>
      <c r="CG14" s="25">
        <v>51555</v>
      </c>
      <c r="CH14"/>
      <c r="CI14">
        <f t="shared" si="0"/>
        <v>0.64569823017449424</v>
      </c>
      <c r="CJ14"/>
      <c r="CK14"/>
      <c r="CL14"/>
      <c r="CM14"/>
      <c r="CN14"/>
      <c r="CO14"/>
      <c r="CP14"/>
      <c r="CQ14"/>
      <c r="CR14"/>
      <c r="CS14"/>
      <c r="CT14"/>
      <c r="CU14"/>
    </row>
    <row r="15" spans="1:99" s="5" customFormat="1" x14ac:dyDescent="0.3">
      <c r="A15" s="35" t="s">
        <v>19</v>
      </c>
      <c r="B15" s="11" t="s">
        <v>93</v>
      </c>
      <c r="C15" s="5">
        <v>10</v>
      </c>
      <c r="D15" s="25">
        <v>1901.0054801064068</v>
      </c>
      <c r="E15" s="25">
        <v>13289.224940089322</v>
      </c>
      <c r="F15" s="25">
        <v>896.41032663354997</v>
      </c>
      <c r="G15" s="25">
        <v>153.24329869233779</v>
      </c>
      <c r="H15" s="25">
        <v>190.88614623268415</v>
      </c>
      <c r="I15" s="25">
        <v>51.948534499783051</v>
      </c>
      <c r="J15" s="25">
        <v>15.388238981782578</v>
      </c>
      <c r="K15" s="25">
        <v>23451.189481979363</v>
      </c>
      <c r="L15" s="25">
        <v>23.734989674378149</v>
      </c>
      <c r="M15" s="25">
        <v>28439.299882070107</v>
      </c>
      <c r="N15" s="25">
        <v>2077.0624840713945</v>
      </c>
      <c r="O15" s="25">
        <v>14.848455391706466</v>
      </c>
      <c r="P15" s="25">
        <v>56.298102691011167</v>
      </c>
      <c r="Q15" s="25">
        <v>48.649656419391995</v>
      </c>
      <c r="R15" s="25">
        <v>64.823663411944551</v>
      </c>
      <c r="S15" s="25">
        <v>57.154408794491836</v>
      </c>
      <c r="T15" s="25">
        <v>656.92771831569246</v>
      </c>
      <c r="U15" s="25">
        <v>23.745029528523716</v>
      </c>
      <c r="V15" s="25">
        <v>2090.5259077506907</v>
      </c>
      <c r="W15" s="25">
        <v>13.73414675388981</v>
      </c>
      <c r="X15" s="25">
        <v>9.9100745733107036</v>
      </c>
      <c r="Y15" s="25">
        <v>3052.5007492955879</v>
      </c>
      <c r="Z15" s="25">
        <v>488.08572102873586</v>
      </c>
      <c r="AA15" s="25">
        <v>802.79042948388508</v>
      </c>
      <c r="AB15" s="25">
        <v>1071.7383300275353</v>
      </c>
      <c r="AC15" s="25">
        <v>229.2972298924555</v>
      </c>
      <c r="AD15" s="25">
        <v>175.30799702257426</v>
      </c>
      <c r="AE15" s="25">
        <v>93.455962438569458</v>
      </c>
      <c r="AF15" s="25">
        <v>91.502096291676054</v>
      </c>
      <c r="AG15" s="25">
        <v>40.730425944808665</v>
      </c>
      <c r="AH15" s="25">
        <v>88.811442634074723</v>
      </c>
      <c r="AI15" s="25">
        <v>75.800275198075241</v>
      </c>
      <c r="AJ15" s="25">
        <v>60.469386724199659</v>
      </c>
      <c r="AK15" s="25">
        <v>109.61639448495571</v>
      </c>
      <c r="AL15" s="25">
        <v>56.823494247557683</v>
      </c>
      <c r="AM15" s="25">
        <v>43.043402590615294</v>
      </c>
      <c r="AN15" s="25">
        <v>18.514591250608341</v>
      </c>
      <c r="AO15" s="25">
        <v>81.249431479102569</v>
      </c>
      <c r="AP15" s="25">
        <v>72.461506322889448</v>
      </c>
      <c r="AQ15" s="25">
        <v>32.640494572908288</v>
      </c>
      <c r="AR15" s="25">
        <v>5.3318544418867022</v>
      </c>
      <c r="AS15" s="25">
        <v>3.8200747387215621</v>
      </c>
      <c r="AT15" s="25">
        <v>1.9974554253192676</v>
      </c>
      <c r="AU15" s="25">
        <v>32.438762555338485</v>
      </c>
      <c r="AV15" s="25">
        <v>362.30878240192641</v>
      </c>
      <c r="AW15" s="25">
        <v>131.80171804385978</v>
      </c>
      <c r="AX15" s="25">
        <v>3488.1785582675088</v>
      </c>
      <c r="AY15" s="40">
        <v>177.6154836162865</v>
      </c>
      <c r="AZ15" s="25">
        <v>2.5711517369963683</v>
      </c>
      <c r="BA15" s="25">
        <v>31.863843857922333</v>
      </c>
      <c r="BB15" s="25">
        <v>38.202177692526462</v>
      </c>
      <c r="BC15" s="25">
        <v>243.18734776607369</v>
      </c>
      <c r="BD15" s="25">
        <v>12354.485424699224</v>
      </c>
      <c r="BE15" s="25">
        <v>10.176693194556073</v>
      </c>
      <c r="BF15" s="25">
        <v>10.564222448678519</v>
      </c>
      <c r="BG15" s="25">
        <v>46.146674799237587</v>
      </c>
      <c r="BH15" s="25">
        <v>27.975880013120232</v>
      </c>
      <c r="BI15" s="25">
        <v>179.04353123604918</v>
      </c>
      <c r="BJ15" s="25">
        <v>39.398784795906302</v>
      </c>
      <c r="BK15" s="25">
        <v>74.566393195743473</v>
      </c>
      <c r="BL15" s="25">
        <v>36.341616639785727</v>
      </c>
      <c r="BM15" s="25">
        <v>66.425930366935887</v>
      </c>
      <c r="BN15" s="25">
        <v>23.287124561336029</v>
      </c>
      <c r="BO15" s="25">
        <v>77.880837953171621</v>
      </c>
      <c r="BP15" s="25">
        <v>12.251409229017842</v>
      </c>
      <c r="BQ15" s="25">
        <v>1527.9070113543858</v>
      </c>
      <c r="BR15" s="25">
        <v>1168.2631270201375</v>
      </c>
      <c r="BS15" s="25">
        <v>166.10330946360509</v>
      </c>
      <c r="BT15" s="25">
        <v>1598.3146954592717</v>
      </c>
      <c r="BU15" s="25">
        <v>711.43383081315847</v>
      </c>
      <c r="BV15" s="25">
        <v>52.378456412215172</v>
      </c>
      <c r="BW15" s="25">
        <v>738.01510177075443</v>
      </c>
      <c r="BX15" s="25">
        <v>0</v>
      </c>
      <c r="BY15" s="25">
        <v>103651.12759356326</v>
      </c>
      <c r="BZ15" s="25">
        <v>40248.489598205342</v>
      </c>
      <c r="CA15" s="25">
        <v>79.511138156412954</v>
      </c>
      <c r="CB15" s="25">
        <v>0</v>
      </c>
      <c r="CC15" s="25">
        <v>177717.30735024565</v>
      </c>
      <c r="CD15" s="25">
        <v>617.39769461445042</v>
      </c>
      <c r="CE15" s="25">
        <v>2629.1666252119085</v>
      </c>
      <c r="CF15" s="25">
        <v>221291.87240643374</v>
      </c>
      <c r="CG15" s="25">
        <v>324943</v>
      </c>
      <c r="CH15"/>
      <c r="CI15">
        <f t="shared" si="0"/>
        <v>0.68101750893674817</v>
      </c>
      <c r="CJ15"/>
      <c r="CK15"/>
      <c r="CL15"/>
      <c r="CM15"/>
      <c r="CN15"/>
      <c r="CO15"/>
      <c r="CP15"/>
      <c r="CQ15"/>
      <c r="CR15"/>
      <c r="CS15"/>
      <c r="CT15"/>
      <c r="CU15"/>
    </row>
    <row r="16" spans="1:99" s="5" customFormat="1" x14ac:dyDescent="0.3">
      <c r="A16" s="35" t="s">
        <v>20</v>
      </c>
      <c r="B16" s="11" t="s">
        <v>94</v>
      </c>
      <c r="C16" s="5">
        <v>11</v>
      </c>
      <c r="D16" s="25">
        <v>14.738989616009871</v>
      </c>
      <c r="E16" s="25">
        <v>9.3559628566249522</v>
      </c>
      <c r="F16" s="25">
        <v>0.76997093908372072</v>
      </c>
      <c r="G16" s="25">
        <v>5.2965240863765537</v>
      </c>
      <c r="H16" s="25">
        <v>13.258631367879314</v>
      </c>
      <c r="I16" s="25">
        <v>7.7752003622939307</v>
      </c>
      <c r="J16" s="25">
        <v>1.7552233619762363</v>
      </c>
      <c r="K16" s="25">
        <v>397.93740052882697</v>
      </c>
      <c r="L16" s="25">
        <v>1.2398412004481818</v>
      </c>
      <c r="M16" s="25">
        <v>99.164788907422874</v>
      </c>
      <c r="N16" s="25">
        <v>6639.8139459170734</v>
      </c>
      <c r="O16" s="25">
        <v>1.6073509897261555</v>
      </c>
      <c r="P16" s="25">
        <v>4.5283349087940703</v>
      </c>
      <c r="Q16" s="25">
        <v>5.5452055450162003</v>
      </c>
      <c r="R16" s="25">
        <v>4.332433091559972</v>
      </c>
      <c r="S16" s="25">
        <v>4.1709141399226111</v>
      </c>
      <c r="T16" s="25">
        <v>8.1110653190751663</v>
      </c>
      <c r="U16" s="25">
        <v>1.6440958479037435</v>
      </c>
      <c r="V16" s="25">
        <v>62.724309273939141</v>
      </c>
      <c r="W16" s="25">
        <v>0.63813413401866848</v>
      </c>
      <c r="X16" s="25">
        <v>0.24728806370822448</v>
      </c>
      <c r="Y16" s="25">
        <v>3.2332953034574743</v>
      </c>
      <c r="Z16" s="25">
        <v>10.807878362967745</v>
      </c>
      <c r="AA16" s="25">
        <v>13.785349231611255</v>
      </c>
      <c r="AB16" s="25">
        <v>11.28593901371301</v>
      </c>
      <c r="AC16" s="25">
        <v>8.4070269539693641</v>
      </c>
      <c r="AD16" s="25">
        <v>10.372939319485088</v>
      </c>
      <c r="AE16" s="25">
        <v>5.7335930661251897</v>
      </c>
      <c r="AF16" s="25">
        <v>10.690564754255435</v>
      </c>
      <c r="AG16" s="25">
        <v>3.6727053557939886</v>
      </c>
      <c r="AH16" s="25">
        <v>20.532547002031617</v>
      </c>
      <c r="AI16" s="25">
        <v>9.8421770671883415</v>
      </c>
      <c r="AJ16" s="25">
        <v>9.6817179914882701</v>
      </c>
      <c r="AK16" s="25">
        <v>31.591530962644072</v>
      </c>
      <c r="AL16" s="25">
        <v>12.546867209198936</v>
      </c>
      <c r="AM16" s="25">
        <v>8.0829596045852554</v>
      </c>
      <c r="AN16" s="25">
        <v>5.407992938744381</v>
      </c>
      <c r="AO16" s="25">
        <v>8.3460780589867074</v>
      </c>
      <c r="AP16" s="25">
        <v>19.980902844651798</v>
      </c>
      <c r="AQ16" s="25">
        <v>8.2460963667313756</v>
      </c>
      <c r="AR16" s="25">
        <v>1.3470073329610392</v>
      </c>
      <c r="AS16" s="25">
        <v>0.96508048777422217</v>
      </c>
      <c r="AT16" s="25">
        <v>0.45259474803304378</v>
      </c>
      <c r="AU16" s="25">
        <v>3.0293874354188697</v>
      </c>
      <c r="AV16" s="25">
        <v>69.490475030276087</v>
      </c>
      <c r="AW16" s="25">
        <v>10.121867206807233</v>
      </c>
      <c r="AX16" s="25">
        <v>107.19137678328732</v>
      </c>
      <c r="AY16" s="40">
        <v>17.004469945780773</v>
      </c>
      <c r="AZ16" s="25">
        <v>0.45098488593686104</v>
      </c>
      <c r="BA16" s="25">
        <v>8.1017402306451949</v>
      </c>
      <c r="BB16" s="25">
        <v>6.2954672198081303</v>
      </c>
      <c r="BC16" s="25">
        <v>450.04095222912139</v>
      </c>
      <c r="BD16" s="25">
        <v>26011.35330764388</v>
      </c>
      <c r="BE16" s="25">
        <v>1.2831511983985373</v>
      </c>
      <c r="BF16" s="25">
        <v>1.6703355696329378</v>
      </c>
      <c r="BG16" s="25">
        <v>6.639948261941079</v>
      </c>
      <c r="BH16" s="25">
        <v>5.1156865831042113</v>
      </c>
      <c r="BI16" s="25">
        <v>98.337037634416632</v>
      </c>
      <c r="BJ16" s="25">
        <v>6.2222204663183387</v>
      </c>
      <c r="BK16" s="25">
        <v>12.418989797104674</v>
      </c>
      <c r="BL16" s="25">
        <v>3.0201910223074115</v>
      </c>
      <c r="BM16" s="25">
        <v>4.3590942128361103</v>
      </c>
      <c r="BN16" s="25">
        <v>2.9262015060654649</v>
      </c>
      <c r="BO16" s="25">
        <v>13.385941024795088</v>
      </c>
      <c r="BP16" s="25">
        <v>1.1279802772267595</v>
      </c>
      <c r="BQ16" s="25">
        <v>100.98309553695751</v>
      </c>
      <c r="BR16" s="25">
        <v>69.203497212669163</v>
      </c>
      <c r="BS16" s="25">
        <v>17.627628060822449</v>
      </c>
      <c r="BT16" s="25">
        <v>72.575287811944762</v>
      </c>
      <c r="BU16" s="25">
        <v>174.85302763201307</v>
      </c>
      <c r="BV16" s="25">
        <v>28.677201679237029</v>
      </c>
      <c r="BW16" s="25">
        <v>19.690719496694626</v>
      </c>
      <c r="BX16" s="25">
        <v>0</v>
      </c>
      <c r="BY16" s="25">
        <v>34822.865718029527</v>
      </c>
      <c r="BZ16" s="25">
        <v>2978.2515255170383</v>
      </c>
      <c r="CA16" s="25">
        <v>1.711930760683654</v>
      </c>
      <c r="CB16" s="25">
        <v>0</v>
      </c>
      <c r="CC16" s="25">
        <v>40937.659906730412</v>
      </c>
      <c r="CD16" s="25">
        <v>99.164105981748065</v>
      </c>
      <c r="CE16" s="25">
        <v>-295.65318701065814</v>
      </c>
      <c r="CF16" s="25">
        <v>43721.134281979219</v>
      </c>
      <c r="CG16" s="25">
        <v>78544</v>
      </c>
      <c r="CH16"/>
      <c r="CI16">
        <f t="shared" si="0"/>
        <v>0.55664511970334107</v>
      </c>
      <c r="CJ16"/>
      <c r="CK16"/>
      <c r="CL16"/>
      <c r="CM16"/>
      <c r="CN16"/>
      <c r="CO16"/>
      <c r="CP16"/>
      <c r="CQ16"/>
      <c r="CR16"/>
      <c r="CS16"/>
      <c r="CT16"/>
      <c r="CU16"/>
    </row>
    <row r="17" spans="1:99" s="5" customFormat="1" x14ac:dyDescent="0.3">
      <c r="A17" s="35" t="s">
        <v>21</v>
      </c>
      <c r="B17" s="11" t="s">
        <v>95</v>
      </c>
      <c r="C17" s="5">
        <v>12</v>
      </c>
      <c r="D17" s="25">
        <v>1.8863691688160806</v>
      </c>
      <c r="E17" s="25">
        <v>0.98094149694974564</v>
      </c>
      <c r="F17" s="25">
        <v>8.9514122424551451E-2</v>
      </c>
      <c r="G17" s="25">
        <v>8.8027856520601772E-2</v>
      </c>
      <c r="H17" s="25">
        <v>2.1983798045019105</v>
      </c>
      <c r="I17" s="25">
        <v>2.4823701771170765</v>
      </c>
      <c r="J17" s="25">
        <v>0.38449654161175145</v>
      </c>
      <c r="K17" s="25">
        <v>3.1242665359212305</v>
      </c>
      <c r="L17" s="25">
        <v>8.7243129884883114E-2</v>
      </c>
      <c r="M17" s="25">
        <v>3.0183844464507614</v>
      </c>
      <c r="N17" s="25">
        <v>0.69678188723731094</v>
      </c>
      <c r="O17" s="25">
        <v>304.40931111676258</v>
      </c>
      <c r="P17" s="25">
        <v>0.50326688931054453</v>
      </c>
      <c r="Q17" s="25">
        <v>0.69276169613652694</v>
      </c>
      <c r="R17" s="25">
        <v>0.57329707009926212</v>
      </c>
      <c r="S17" s="25">
        <v>0.29665772502281579</v>
      </c>
      <c r="T17" s="25">
        <v>0.77841527883959816</v>
      </c>
      <c r="U17" s="25">
        <v>0.14759259718021084</v>
      </c>
      <c r="V17" s="25">
        <v>1.9269421902803952</v>
      </c>
      <c r="W17" s="25">
        <v>4.9416870450355976E-2</v>
      </c>
      <c r="X17" s="25">
        <v>3.1575728348748398E-4</v>
      </c>
      <c r="Y17" s="25">
        <v>0.17235201458619911</v>
      </c>
      <c r="Z17" s="25">
        <v>1.107047151565081</v>
      </c>
      <c r="AA17" s="25">
        <v>0.63432236052340329</v>
      </c>
      <c r="AB17" s="25">
        <v>0.48493659722363391</v>
      </c>
      <c r="AC17" s="25">
        <v>0.79277348067123543</v>
      </c>
      <c r="AD17" s="25">
        <v>0.99845903316703566</v>
      </c>
      <c r="AE17" s="25">
        <v>0.6455418969998038</v>
      </c>
      <c r="AF17" s="25">
        <v>0.712524191046642</v>
      </c>
      <c r="AG17" s="25">
        <v>0.61963993182403332</v>
      </c>
      <c r="AH17" s="25">
        <v>0.72265568027218996</v>
      </c>
      <c r="AI17" s="25">
        <v>1.1712195262487939</v>
      </c>
      <c r="AJ17" s="25">
        <v>1.1271924243504921</v>
      </c>
      <c r="AK17" s="25">
        <v>9.9519577058698854</v>
      </c>
      <c r="AL17" s="25">
        <v>1.7055667632146216</v>
      </c>
      <c r="AM17" s="25">
        <v>0.71215731551300565</v>
      </c>
      <c r="AN17" s="25">
        <v>0.50240733713544983</v>
      </c>
      <c r="AO17" s="25">
        <v>0.67606474613185774</v>
      </c>
      <c r="AP17" s="25">
        <v>6.0422709799356547</v>
      </c>
      <c r="AQ17" s="25">
        <v>0.4634018470298451</v>
      </c>
      <c r="AR17" s="25">
        <v>7.5697112705986572E-2</v>
      </c>
      <c r="AS17" s="25">
        <v>5.4234156463576412E-2</v>
      </c>
      <c r="AT17" s="25">
        <v>3.1969707392013345E-2</v>
      </c>
      <c r="AU17" s="25">
        <v>0.18846966514968422</v>
      </c>
      <c r="AV17" s="25">
        <v>5.1648106730527434</v>
      </c>
      <c r="AW17" s="25">
        <v>0.45008788726776994</v>
      </c>
      <c r="AX17" s="25">
        <v>3.61602930689922</v>
      </c>
      <c r="AY17" s="40">
        <v>1.1145936349456742</v>
      </c>
      <c r="AZ17" s="25">
        <v>0.10844203309535461</v>
      </c>
      <c r="BA17" s="25">
        <v>0.10146144957095145</v>
      </c>
      <c r="BB17" s="25">
        <v>0.28571453627037663</v>
      </c>
      <c r="BC17" s="25">
        <v>0.14313380238001955</v>
      </c>
      <c r="BD17" s="25">
        <v>2.3330807425444964</v>
      </c>
      <c r="BE17" s="25">
        <v>0.14060471532909452</v>
      </c>
      <c r="BF17" s="25">
        <v>0.12207897960738018</v>
      </c>
      <c r="BG17" s="25">
        <v>0.53625142339661203</v>
      </c>
      <c r="BH17" s="25">
        <v>0.43983916719084837</v>
      </c>
      <c r="BI17" s="25">
        <v>0.45998093840233023</v>
      </c>
      <c r="BJ17" s="25">
        <v>0.24562702079061452</v>
      </c>
      <c r="BK17" s="25">
        <v>0.3710081829810753</v>
      </c>
      <c r="BL17" s="25">
        <v>1.3352301796625763</v>
      </c>
      <c r="BM17" s="25">
        <v>0.34056162756002412</v>
      </c>
      <c r="BN17" s="25">
        <v>0.16603915433191185</v>
      </c>
      <c r="BO17" s="25">
        <v>1.6680395415370559</v>
      </c>
      <c r="BP17" s="25">
        <v>4.7183572022464225E-2</v>
      </c>
      <c r="BQ17" s="25">
        <v>0.7308086747581809</v>
      </c>
      <c r="BR17" s="25">
        <v>0.48670412463528373</v>
      </c>
      <c r="BS17" s="25">
        <v>0.26664793898329137</v>
      </c>
      <c r="BT17" s="25">
        <v>0.69125629899785723</v>
      </c>
      <c r="BU17" s="25">
        <v>1.7783446644125542</v>
      </c>
      <c r="BV17" s="25">
        <v>0.1676868662129688</v>
      </c>
      <c r="BW17" s="25">
        <v>0.52694908987627909</v>
      </c>
      <c r="BX17" s="25">
        <v>0</v>
      </c>
      <c r="BY17" s="25">
        <v>377.84581021053685</v>
      </c>
      <c r="BZ17" s="25">
        <v>6460.6450810491788</v>
      </c>
      <c r="CA17" s="25">
        <v>0.1990032115475113</v>
      </c>
      <c r="CB17" s="25">
        <v>0</v>
      </c>
      <c r="CC17" s="25">
        <v>7980.5129275240461</v>
      </c>
      <c r="CD17" s="25">
        <v>100.82735960011679</v>
      </c>
      <c r="CE17" s="25">
        <v>773.96981840481578</v>
      </c>
      <c r="CF17" s="25">
        <v>15316.154189789704</v>
      </c>
      <c r="CG17" s="25">
        <v>15694</v>
      </c>
      <c r="CH17"/>
      <c r="CI17">
        <f t="shared" si="0"/>
        <v>0.9759241869370272</v>
      </c>
      <c r="CJ17"/>
      <c r="CK17"/>
      <c r="CL17"/>
      <c r="CM17"/>
      <c r="CN17"/>
      <c r="CO17"/>
      <c r="CP17"/>
      <c r="CQ17"/>
      <c r="CR17"/>
      <c r="CS17"/>
      <c r="CT17"/>
      <c r="CU17"/>
    </row>
    <row r="18" spans="1:99" s="5" customFormat="1" x14ac:dyDescent="0.3">
      <c r="A18" s="35" t="s">
        <v>22</v>
      </c>
      <c r="B18" s="11" t="s">
        <v>96</v>
      </c>
      <c r="C18" s="5">
        <v>13</v>
      </c>
      <c r="D18" s="25">
        <v>642.38995914991267</v>
      </c>
      <c r="E18" s="25">
        <v>14.399924056563151</v>
      </c>
      <c r="F18" s="25">
        <v>1.8905924010699628</v>
      </c>
      <c r="G18" s="25">
        <v>137.05393396576258</v>
      </c>
      <c r="H18" s="25">
        <v>128.57781705556366</v>
      </c>
      <c r="I18" s="25">
        <v>4.1265763935516064</v>
      </c>
      <c r="J18" s="25">
        <v>4.1160996444608555</v>
      </c>
      <c r="K18" s="25">
        <v>27.277179168998604</v>
      </c>
      <c r="L18" s="25">
        <v>67.026326943523443</v>
      </c>
      <c r="M18" s="25">
        <v>244.79517413636665</v>
      </c>
      <c r="N18" s="25">
        <v>21.13741749931685</v>
      </c>
      <c r="O18" s="25">
        <v>0.8988048875095489</v>
      </c>
      <c r="P18" s="25">
        <v>8509.6725027076536</v>
      </c>
      <c r="Q18" s="25">
        <v>13628.942665461169</v>
      </c>
      <c r="R18" s="25">
        <v>2606.6689982240227</v>
      </c>
      <c r="S18" s="25">
        <v>11.305036241085562</v>
      </c>
      <c r="T18" s="25">
        <v>100.30504670143124</v>
      </c>
      <c r="U18" s="25">
        <v>4.970703710477153</v>
      </c>
      <c r="V18" s="25">
        <v>6.6119015002143851</v>
      </c>
      <c r="W18" s="25">
        <v>0.16966481583260196</v>
      </c>
      <c r="X18" s="25">
        <v>5.0263172570893799E-3</v>
      </c>
      <c r="Y18" s="25">
        <v>1.8458565298817506</v>
      </c>
      <c r="Z18" s="25">
        <v>35.196951389219521</v>
      </c>
      <c r="AA18" s="25">
        <v>48.249939392082702</v>
      </c>
      <c r="AB18" s="25">
        <v>20.283491721844559</v>
      </c>
      <c r="AC18" s="25">
        <v>108.51910475628955</v>
      </c>
      <c r="AD18" s="25">
        <v>616.57318395515813</v>
      </c>
      <c r="AE18" s="25">
        <v>37.796868736825743</v>
      </c>
      <c r="AF18" s="25">
        <v>8.8171957354994692</v>
      </c>
      <c r="AG18" s="25">
        <v>8.8828561755614253</v>
      </c>
      <c r="AH18" s="25">
        <v>67.883698788691959</v>
      </c>
      <c r="AI18" s="25">
        <v>11.98417717571572</v>
      </c>
      <c r="AJ18" s="25">
        <v>48.90490793791956</v>
      </c>
      <c r="AK18" s="25">
        <v>27.805664903220933</v>
      </c>
      <c r="AL18" s="25">
        <v>109.61916120841816</v>
      </c>
      <c r="AM18" s="25">
        <v>1418.3854685829376</v>
      </c>
      <c r="AN18" s="25">
        <v>76.782373121700076</v>
      </c>
      <c r="AO18" s="25">
        <v>1187.0203638690459</v>
      </c>
      <c r="AP18" s="25">
        <v>15.387052665470677</v>
      </c>
      <c r="AQ18" s="25">
        <v>17.872047667931913</v>
      </c>
      <c r="AR18" s="25">
        <v>2.9194152230452302</v>
      </c>
      <c r="AS18" s="25">
        <v>2.0916520634512921</v>
      </c>
      <c r="AT18" s="25">
        <v>10.512230026557557</v>
      </c>
      <c r="AU18" s="25">
        <v>10.389171028392157</v>
      </c>
      <c r="AV18" s="25">
        <v>480.37903467491014</v>
      </c>
      <c r="AW18" s="25">
        <v>45.60364462376473</v>
      </c>
      <c r="AX18" s="25">
        <v>208.38349727630995</v>
      </c>
      <c r="AY18" s="40">
        <v>65.056099808123761</v>
      </c>
      <c r="AZ18" s="25">
        <v>8.9390976009789842</v>
      </c>
      <c r="BA18" s="25">
        <v>2.0078706719482891</v>
      </c>
      <c r="BB18" s="25">
        <v>8.1661732111813912</v>
      </c>
      <c r="BC18" s="25">
        <v>204.64517883027327</v>
      </c>
      <c r="BD18" s="25">
        <v>171.47627033416506</v>
      </c>
      <c r="BE18" s="25">
        <v>1.8465202748561564</v>
      </c>
      <c r="BF18" s="25">
        <v>6.3454807842654946</v>
      </c>
      <c r="BG18" s="25">
        <v>6.815066617547167</v>
      </c>
      <c r="BH18" s="25">
        <v>5.4954300931416684</v>
      </c>
      <c r="BI18" s="25">
        <v>16.869637392032264</v>
      </c>
      <c r="BJ18" s="25">
        <v>8.8629152153000383</v>
      </c>
      <c r="BK18" s="25">
        <v>15.976461100229219</v>
      </c>
      <c r="BL18" s="25">
        <v>7.7212776824614524</v>
      </c>
      <c r="BM18" s="25">
        <v>6.6896441313662214</v>
      </c>
      <c r="BN18" s="25">
        <v>5.9205044364051247</v>
      </c>
      <c r="BO18" s="25">
        <v>21.534404552321512</v>
      </c>
      <c r="BP18" s="25">
        <v>1.8455538107723242</v>
      </c>
      <c r="BQ18" s="25">
        <v>53.257851822872077</v>
      </c>
      <c r="BR18" s="25">
        <v>39.209568468264159</v>
      </c>
      <c r="BS18" s="25">
        <v>10.574144275761332</v>
      </c>
      <c r="BT18" s="25">
        <v>31.833748900786112</v>
      </c>
      <c r="BU18" s="25">
        <v>90.553749147484865</v>
      </c>
      <c r="BV18" s="25">
        <v>9.5336882944586403</v>
      </c>
      <c r="BW18" s="25">
        <v>638.62633407498538</v>
      </c>
      <c r="BX18" s="25">
        <v>0</v>
      </c>
      <c r="BY18" s="25">
        <v>32230.233031743588</v>
      </c>
      <c r="BZ18" s="25">
        <v>1908.2790781185861</v>
      </c>
      <c r="CA18" s="25">
        <v>0.66153601031069831</v>
      </c>
      <c r="CB18" s="25">
        <v>0</v>
      </c>
      <c r="CC18" s="25">
        <v>17845.997661049816</v>
      </c>
      <c r="CD18" s="25">
        <v>154.41796757896583</v>
      </c>
      <c r="CE18" s="25">
        <v>2653.4107255098629</v>
      </c>
      <c r="CF18" s="25">
        <v>22562.766968267551</v>
      </c>
      <c r="CG18" s="25">
        <v>54793</v>
      </c>
      <c r="CH18"/>
      <c r="CI18">
        <f t="shared" si="0"/>
        <v>0.41178192411927711</v>
      </c>
      <c r="CJ18"/>
      <c r="CK18"/>
      <c r="CL18"/>
      <c r="CM18"/>
      <c r="CN18"/>
      <c r="CO18"/>
      <c r="CP18"/>
      <c r="CQ18"/>
      <c r="CR18"/>
      <c r="CS18"/>
      <c r="CT18"/>
      <c r="CU18"/>
    </row>
    <row r="19" spans="1:99" s="5" customFormat="1" x14ac:dyDescent="0.3">
      <c r="A19" s="35" t="s">
        <v>23</v>
      </c>
      <c r="B19" s="11" t="s">
        <v>97</v>
      </c>
      <c r="C19" s="5">
        <v>14</v>
      </c>
      <c r="D19" s="25">
        <v>17.323867278338266</v>
      </c>
      <c r="E19" s="25">
        <v>5.2372681576537436</v>
      </c>
      <c r="F19" s="25">
        <v>7.6339939120000473</v>
      </c>
      <c r="G19" s="25">
        <v>3.9947180824234816</v>
      </c>
      <c r="H19" s="25">
        <v>81.492116957727674</v>
      </c>
      <c r="I19" s="25">
        <v>1.7349413267799365</v>
      </c>
      <c r="J19" s="25">
        <v>0.37286519447378519</v>
      </c>
      <c r="K19" s="25">
        <v>18.331541964755786</v>
      </c>
      <c r="L19" s="25">
        <v>1.20864935888813</v>
      </c>
      <c r="M19" s="25">
        <v>21.930676856322304</v>
      </c>
      <c r="N19" s="25">
        <v>3.1827196661696102</v>
      </c>
      <c r="O19" s="25">
        <v>1.0036996056339746</v>
      </c>
      <c r="P19" s="25">
        <v>71.691779280916506</v>
      </c>
      <c r="Q19" s="25">
        <v>1582.839850525208</v>
      </c>
      <c r="R19" s="25">
        <v>79.577090979978095</v>
      </c>
      <c r="S19" s="25">
        <v>1.1238955661117997</v>
      </c>
      <c r="T19" s="25">
        <v>4.3220354059665489</v>
      </c>
      <c r="U19" s="25">
        <v>0.78414974565975548</v>
      </c>
      <c r="V19" s="25">
        <v>8.8092295994456364</v>
      </c>
      <c r="W19" s="25">
        <v>0.22591754355993365</v>
      </c>
      <c r="X19" s="25">
        <v>1.554599391776372E-3</v>
      </c>
      <c r="Y19" s="25">
        <v>0.84125992911619984</v>
      </c>
      <c r="Z19" s="25">
        <v>5.0384603621065223</v>
      </c>
      <c r="AA19" s="25">
        <v>9.2754544251901656</v>
      </c>
      <c r="AB19" s="25">
        <v>2.1569417902720929</v>
      </c>
      <c r="AC19" s="25">
        <v>3.0755750545452463</v>
      </c>
      <c r="AD19" s="25">
        <v>8.2808849483007059</v>
      </c>
      <c r="AE19" s="25">
        <v>12.293952929940946</v>
      </c>
      <c r="AF19" s="25">
        <v>6.8007572114167489</v>
      </c>
      <c r="AG19" s="25">
        <v>2.1716691948156548</v>
      </c>
      <c r="AH19" s="25">
        <v>32.08815229965802</v>
      </c>
      <c r="AI19" s="25">
        <v>5.1657705704295518</v>
      </c>
      <c r="AJ19" s="25">
        <v>4.3884581940304495</v>
      </c>
      <c r="AK19" s="25">
        <v>8.4582379120234634</v>
      </c>
      <c r="AL19" s="25">
        <v>4.0511339901024614</v>
      </c>
      <c r="AM19" s="25">
        <v>35.390150127345009</v>
      </c>
      <c r="AN19" s="25">
        <v>1.9237426830195898</v>
      </c>
      <c r="AO19" s="25">
        <v>28.012600750207895</v>
      </c>
      <c r="AP19" s="25">
        <v>4.0830233869151051</v>
      </c>
      <c r="AQ19" s="25">
        <v>36.995596931237564</v>
      </c>
      <c r="AR19" s="25">
        <v>6.0432643686652794</v>
      </c>
      <c r="AS19" s="25">
        <v>4.3297734035637605</v>
      </c>
      <c r="AT19" s="25">
        <v>46.230723305515419</v>
      </c>
      <c r="AU19" s="25">
        <v>82.420701023561051</v>
      </c>
      <c r="AV19" s="25">
        <v>45.417060820707015</v>
      </c>
      <c r="AW19" s="25">
        <v>2.783118926733442</v>
      </c>
      <c r="AX19" s="25">
        <v>296.41425629013008</v>
      </c>
      <c r="AY19" s="40">
        <v>155.30225042612614</v>
      </c>
      <c r="AZ19" s="25">
        <v>6.0432338911520471</v>
      </c>
      <c r="BA19" s="25">
        <v>115.64312662153408</v>
      </c>
      <c r="BB19" s="25">
        <v>75.069671703947307</v>
      </c>
      <c r="BC19" s="25">
        <v>72.007671784655074</v>
      </c>
      <c r="BD19" s="25">
        <v>180.00493869988927</v>
      </c>
      <c r="BE19" s="25">
        <v>0.67414260808286297</v>
      </c>
      <c r="BF19" s="25">
        <v>97.39334038397088</v>
      </c>
      <c r="BG19" s="25">
        <v>28.506800092102779</v>
      </c>
      <c r="BH19" s="25">
        <v>2.156438786700603</v>
      </c>
      <c r="BI19" s="25">
        <v>420.91592743514707</v>
      </c>
      <c r="BJ19" s="25">
        <v>27.273078320231107</v>
      </c>
      <c r="BK19" s="25">
        <v>9.382601561667073</v>
      </c>
      <c r="BL19" s="25">
        <v>113.5439691610773</v>
      </c>
      <c r="BM19" s="25">
        <v>27.862324383504191</v>
      </c>
      <c r="BN19" s="25">
        <v>2.3152493295037635</v>
      </c>
      <c r="BO19" s="25">
        <v>114.83274158687838</v>
      </c>
      <c r="BP19" s="25">
        <v>148.98131377198752</v>
      </c>
      <c r="BQ19" s="25">
        <v>473.71644863317158</v>
      </c>
      <c r="BR19" s="25">
        <v>417.50202608154927</v>
      </c>
      <c r="BS19" s="25">
        <v>2.4802471084087681</v>
      </c>
      <c r="BT19" s="25">
        <v>40.228511835473206</v>
      </c>
      <c r="BU19" s="25">
        <v>75.033604900615117</v>
      </c>
      <c r="BV19" s="25">
        <v>90.855037879581531</v>
      </c>
      <c r="BW19" s="25">
        <v>713.71251247909129</v>
      </c>
      <c r="BX19" s="25">
        <v>0</v>
      </c>
      <c r="BY19" s="25">
        <v>6018.390491903001</v>
      </c>
      <c r="BZ19" s="25">
        <v>1487.0023533941203</v>
      </c>
      <c r="CA19" s="25">
        <v>18.256368632936255</v>
      </c>
      <c r="CB19" s="25">
        <v>0</v>
      </c>
      <c r="CC19" s="25">
        <v>56258.295320507816</v>
      </c>
      <c r="CD19" s="25">
        <v>119.90141429200371</v>
      </c>
      <c r="CE19" s="25">
        <v>2530.1540512722554</v>
      </c>
      <c r="CF19" s="25">
        <v>60413.609508099093</v>
      </c>
      <c r="CG19" s="25">
        <v>66432</v>
      </c>
      <c r="CH19"/>
      <c r="CI19">
        <f t="shared" si="0"/>
        <v>0.90940524909831244</v>
      </c>
      <c r="CJ19"/>
      <c r="CK19"/>
      <c r="CL19"/>
      <c r="CM19"/>
      <c r="CN19"/>
      <c r="CO19"/>
      <c r="CP19"/>
      <c r="CQ19"/>
      <c r="CR19"/>
      <c r="CS19"/>
      <c r="CT19"/>
      <c r="CU19"/>
    </row>
    <row r="20" spans="1:99" s="5" customFormat="1" x14ac:dyDescent="0.3">
      <c r="A20" s="35" t="s">
        <v>24</v>
      </c>
      <c r="B20" s="13" t="s">
        <v>98</v>
      </c>
      <c r="C20" s="5">
        <v>15</v>
      </c>
      <c r="D20" s="25">
        <v>3.1656503368254212</v>
      </c>
      <c r="E20" s="25">
        <v>3.5016145817022655</v>
      </c>
      <c r="F20" s="25">
        <v>0.11250466792074208</v>
      </c>
      <c r="G20" s="25">
        <v>1.2552648448728361</v>
      </c>
      <c r="H20" s="25">
        <v>7.230083457881797</v>
      </c>
      <c r="I20" s="25">
        <v>3.1731176114512492</v>
      </c>
      <c r="J20" s="25">
        <v>0.2911685720237227</v>
      </c>
      <c r="K20" s="25">
        <v>14.205273766469926</v>
      </c>
      <c r="L20" s="25">
        <v>0.35946420768424214</v>
      </c>
      <c r="M20" s="25">
        <v>18.63153693478959</v>
      </c>
      <c r="N20" s="25">
        <v>4.7600469544155501</v>
      </c>
      <c r="O20" s="25">
        <v>0.20646677645055178</v>
      </c>
      <c r="P20" s="25">
        <v>4.6290137458726655</v>
      </c>
      <c r="Q20" s="25">
        <v>3.9448713309004133</v>
      </c>
      <c r="R20" s="25">
        <v>4155.6638549254176</v>
      </c>
      <c r="S20" s="25">
        <v>0.76695931972554121</v>
      </c>
      <c r="T20" s="25">
        <v>61.973868951911165</v>
      </c>
      <c r="U20" s="25">
        <v>1.8174690548495949</v>
      </c>
      <c r="V20" s="25">
        <v>1.0066646767342782</v>
      </c>
      <c r="W20" s="25">
        <v>2.5850075389228028E-2</v>
      </c>
      <c r="X20" s="25">
        <v>1.4882634456147273E-3</v>
      </c>
      <c r="Y20" s="25">
        <v>1.1895828463229976</v>
      </c>
      <c r="Z20" s="25">
        <v>3.0979993367822507</v>
      </c>
      <c r="AA20" s="25">
        <v>4.0532564004503708</v>
      </c>
      <c r="AB20" s="25">
        <v>5.6541105554984581</v>
      </c>
      <c r="AC20" s="25">
        <v>2.9261179072739241</v>
      </c>
      <c r="AD20" s="25">
        <v>20.455284808029276</v>
      </c>
      <c r="AE20" s="25">
        <v>2.9266939546275155</v>
      </c>
      <c r="AF20" s="25">
        <v>1.6093491459344706</v>
      </c>
      <c r="AG20" s="25">
        <v>1.0869083119438476</v>
      </c>
      <c r="AH20" s="25">
        <v>21.021282281114541</v>
      </c>
      <c r="AI20" s="25">
        <v>2.0171853123896883</v>
      </c>
      <c r="AJ20" s="25">
        <v>3.6322328564495923</v>
      </c>
      <c r="AK20" s="25">
        <v>6.1046983499278547</v>
      </c>
      <c r="AL20" s="25">
        <v>32.39202355927673</v>
      </c>
      <c r="AM20" s="25">
        <v>14.553318255000438</v>
      </c>
      <c r="AN20" s="25">
        <v>2.2000245250973318</v>
      </c>
      <c r="AO20" s="25">
        <v>34.980015712238689</v>
      </c>
      <c r="AP20" s="25">
        <v>3.5512269715090663</v>
      </c>
      <c r="AQ20" s="25">
        <v>48.542151785512054</v>
      </c>
      <c r="AR20" s="25">
        <v>7.9294045939837607</v>
      </c>
      <c r="AS20" s="25">
        <v>5.6811224898820534</v>
      </c>
      <c r="AT20" s="25">
        <v>62.416992316027851</v>
      </c>
      <c r="AU20" s="25">
        <v>0.97683659044505045</v>
      </c>
      <c r="AV20" s="25">
        <v>38.909173635655499</v>
      </c>
      <c r="AW20" s="25">
        <v>8.9998049757904486</v>
      </c>
      <c r="AX20" s="25">
        <v>18.534076538664536</v>
      </c>
      <c r="AY20" s="40">
        <v>16.556329365011656</v>
      </c>
      <c r="AZ20" s="25">
        <v>8.0811358525520044E-2</v>
      </c>
      <c r="BA20" s="25">
        <v>1.6804029088899453</v>
      </c>
      <c r="BB20" s="25">
        <v>0.60163347377445087</v>
      </c>
      <c r="BC20" s="25">
        <v>1.5930623870171838</v>
      </c>
      <c r="BD20" s="25">
        <v>19.165198497563843</v>
      </c>
      <c r="BE20" s="25">
        <v>1.0106411104110542</v>
      </c>
      <c r="BF20" s="25">
        <v>21.927959997995146</v>
      </c>
      <c r="BG20" s="25">
        <v>1.2906255395217827</v>
      </c>
      <c r="BH20" s="25">
        <v>3.3661820209957516</v>
      </c>
      <c r="BI20" s="25">
        <v>2.4523121619275736</v>
      </c>
      <c r="BJ20" s="25">
        <v>0.71811162448815435</v>
      </c>
      <c r="BK20" s="25">
        <v>1.4974092179878471</v>
      </c>
      <c r="BL20" s="25">
        <v>6.3304120503115779</v>
      </c>
      <c r="BM20" s="25">
        <v>1.975185981076947</v>
      </c>
      <c r="BN20" s="25">
        <v>1.1834953655319842</v>
      </c>
      <c r="BO20" s="25">
        <v>5.4848328294669395</v>
      </c>
      <c r="BP20" s="25">
        <v>49.192873267605989</v>
      </c>
      <c r="BQ20" s="25">
        <v>23.113457894109349</v>
      </c>
      <c r="BR20" s="25">
        <v>3.4092172432266792</v>
      </c>
      <c r="BS20" s="25">
        <v>0.5726037308362002</v>
      </c>
      <c r="BT20" s="25">
        <v>3.6907174135698084</v>
      </c>
      <c r="BU20" s="25">
        <v>5.9127732555703849</v>
      </c>
      <c r="BV20" s="25">
        <v>0.71157968631764146</v>
      </c>
      <c r="BW20" s="25">
        <v>3.5661619901216595</v>
      </c>
      <c r="BX20" s="25">
        <v>0</v>
      </c>
      <c r="BY20" s="25">
        <v>4819.2470974444177</v>
      </c>
      <c r="BZ20" s="25">
        <v>6665.3743838161636</v>
      </c>
      <c r="CA20" s="25">
        <v>0.18919681769293806</v>
      </c>
      <c r="CB20" s="25">
        <v>0</v>
      </c>
      <c r="CC20" s="25">
        <v>30701.253822498617</v>
      </c>
      <c r="CD20" s="25">
        <v>358.76273421774158</v>
      </c>
      <c r="CE20" s="25">
        <v>1303.1727652059487</v>
      </c>
      <c r="CF20" s="25">
        <v>39028.752902556174</v>
      </c>
      <c r="CG20" s="25">
        <v>43848</v>
      </c>
      <c r="CH20"/>
      <c r="CI20">
        <f t="shared" si="0"/>
        <v>0.89009197460673628</v>
      </c>
      <c r="CJ20"/>
      <c r="CK20"/>
      <c r="CL20"/>
      <c r="CM20"/>
      <c r="CN20"/>
      <c r="CO20"/>
      <c r="CP20"/>
      <c r="CQ20"/>
      <c r="CR20"/>
      <c r="CS20"/>
      <c r="CT20"/>
      <c r="CU20"/>
    </row>
    <row r="21" spans="1:99" s="5" customFormat="1" x14ac:dyDescent="0.3">
      <c r="A21" s="35" t="s">
        <v>25</v>
      </c>
      <c r="B21" s="13" t="s">
        <v>99</v>
      </c>
      <c r="C21" s="5">
        <v>16</v>
      </c>
      <c r="D21" s="25">
        <v>575.89959297462758</v>
      </c>
      <c r="E21" s="25">
        <v>408.86174245243643</v>
      </c>
      <c r="F21" s="25">
        <v>27.078125575125597</v>
      </c>
      <c r="G21" s="25">
        <v>5.0211369652671012</v>
      </c>
      <c r="H21" s="25">
        <v>3.1760824510168657</v>
      </c>
      <c r="I21" s="25">
        <v>1.225781096353548</v>
      </c>
      <c r="J21" s="25">
        <v>0.26039057385195663</v>
      </c>
      <c r="K21" s="25">
        <v>57.13450516522834</v>
      </c>
      <c r="L21" s="25">
        <v>0.62410237435219007</v>
      </c>
      <c r="M21" s="25">
        <v>405.6063431206822</v>
      </c>
      <c r="N21" s="25">
        <v>91.150689799000702</v>
      </c>
      <c r="O21" s="25">
        <v>0.29916003822419512</v>
      </c>
      <c r="P21" s="25">
        <v>31.360025702729924</v>
      </c>
      <c r="Q21" s="25">
        <v>2.5333417873788457</v>
      </c>
      <c r="R21" s="25">
        <v>0.97262586335494794</v>
      </c>
      <c r="S21" s="25">
        <v>3561.053935604044</v>
      </c>
      <c r="T21" s="25">
        <v>551.46127657983902</v>
      </c>
      <c r="U21" s="25">
        <v>0.56589008260184981</v>
      </c>
      <c r="V21" s="25">
        <v>2.0630228964122397</v>
      </c>
      <c r="W21" s="25">
        <v>5.2923185107571026E-2</v>
      </c>
      <c r="X21" s="25">
        <v>9.8132278302966972E-4</v>
      </c>
      <c r="Y21" s="25">
        <v>0.99085793010736489</v>
      </c>
      <c r="Z21" s="25">
        <v>24.669118147257489</v>
      </c>
      <c r="AA21" s="25">
        <v>49.781551585969268</v>
      </c>
      <c r="AB21" s="25">
        <v>1.8465129933731801</v>
      </c>
      <c r="AC21" s="25">
        <v>1.8269033600244682</v>
      </c>
      <c r="AD21" s="25">
        <v>4.9169045298608154</v>
      </c>
      <c r="AE21" s="25">
        <v>38.360309208720174</v>
      </c>
      <c r="AF21" s="25">
        <v>20.559373261957724</v>
      </c>
      <c r="AG21" s="25">
        <v>0.48397907430069476</v>
      </c>
      <c r="AH21" s="25">
        <v>244.31850088754982</v>
      </c>
      <c r="AI21" s="25">
        <v>2.0560778944507638</v>
      </c>
      <c r="AJ21" s="25">
        <v>5.5533200993508265</v>
      </c>
      <c r="AK21" s="25">
        <v>268.62275604968454</v>
      </c>
      <c r="AL21" s="25">
        <v>139.86950335432778</v>
      </c>
      <c r="AM21" s="25">
        <v>94.283122241299196</v>
      </c>
      <c r="AN21" s="25">
        <v>114.49865904488344</v>
      </c>
      <c r="AO21" s="25">
        <v>5155.4476853721289</v>
      </c>
      <c r="AP21" s="25">
        <v>2.9704190557009564</v>
      </c>
      <c r="AQ21" s="25">
        <v>303.96864307328116</v>
      </c>
      <c r="AR21" s="25">
        <v>49.653553996995726</v>
      </c>
      <c r="AS21" s="25">
        <v>35.574918516446054</v>
      </c>
      <c r="AT21" s="25">
        <v>28.219834389706026</v>
      </c>
      <c r="AU21" s="25">
        <v>6.525193357906546</v>
      </c>
      <c r="AV21" s="25">
        <v>5272.3530022514924</v>
      </c>
      <c r="AW21" s="25">
        <v>15.796129529045754</v>
      </c>
      <c r="AX21" s="25">
        <v>2542.947086809711</v>
      </c>
      <c r="AY21" s="40">
        <v>6.0463049545752678</v>
      </c>
      <c r="AZ21" s="25">
        <v>0.38099368759197688</v>
      </c>
      <c r="BA21" s="25">
        <v>0.50376783023816563</v>
      </c>
      <c r="BB21" s="25">
        <v>111.10870455918798</v>
      </c>
      <c r="BC21" s="25">
        <v>5.2650195955158399</v>
      </c>
      <c r="BD21" s="25">
        <v>27.278433124969197</v>
      </c>
      <c r="BE21" s="25">
        <v>0.92471510396970635</v>
      </c>
      <c r="BF21" s="25">
        <v>117.467944899315</v>
      </c>
      <c r="BG21" s="25">
        <v>9.4640346180192836</v>
      </c>
      <c r="BH21" s="25">
        <v>7.9710762440111775</v>
      </c>
      <c r="BI21" s="25">
        <v>22.249568143588508</v>
      </c>
      <c r="BJ21" s="25">
        <v>451.81329834525707</v>
      </c>
      <c r="BK21" s="25">
        <v>22.141556094672666</v>
      </c>
      <c r="BL21" s="25">
        <v>4.3252286635431245</v>
      </c>
      <c r="BM21" s="25">
        <v>4.8999483457747859</v>
      </c>
      <c r="BN21" s="25">
        <v>4.9439587295902365</v>
      </c>
      <c r="BO21" s="25">
        <v>143.49876687177465</v>
      </c>
      <c r="BP21" s="25">
        <v>1.1495339044149535</v>
      </c>
      <c r="BQ21" s="25">
        <v>85.991655433995788</v>
      </c>
      <c r="BR21" s="25">
        <v>26.267861447526954</v>
      </c>
      <c r="BS21" s="25">
        <v>20.108720825582562</v>
      </c>
      <c r="BT21" s="25">
        <v>5.5608174430738391</v>
      </c>
      <c r="BU21" s="25">
        <v>17.945372646197391</v>
      </c>
      <c r="BV21" s="25">
        <v>15.604886622927555</v>
      </c>
      <c r="BW21" s="25">
        <v>231.26643156306363</v>
      </c>
      <c r="BX21" s="25">
        <v>0</v>
      </c>
      <c r="BY21" s="25">
        <v>21496.674191324331</v>
      </c>
      <c r="BZ21" s="25">
        <v>8988.4962240800105</v>
      </c>
      <c r="CA21" s="25">
        <v>0.12378141963519998</v>
      </c>
      <c r="CB21" s="25">
        <v>0</v>
      </c>
      <c r="CC21" s="25">
        <v>2436.8813076685633</v>
      </c>
      <c r="CD21" s="25">
        <v>124.74319635612343</v>
      </c>
      <c r="CE21" s="25">
        <v>-359.91870082642885</v>
      </c>
      <c r="CF21" s="25">
        <v>11190.325808697906</v>
      </c>
      <c r="CG21" s="25">
        <v>32687</v>
      </c>
      <c r="CH21"/>
      <c r="CI21">
        <f t="shared" si="0"/>
        <v>0.34234790004276644</v>
      </c>
      <c r="CJ21"/>
      <c r="CK21"/>
      <c r="CL21"/>
      <c r="CM21"/>
      <c r="CN21"/>
      <c r="CO21"/>
      <c r="CP21"/>
      <c r="CQ21"/>
      <c r="CR21"/>
      <c r="CS21"/>
      <c r="CT21"/>
      <c r="CU21"/>
    </row>
    <row r="22" spans="1:99" s="5" customFormat="1" x14ac:dyDescent="0.3">
      <c r="A22" s="35" t="s">
        <v>26</v>
      </c>
      <c r="B22" s="11" t="s">
        <v>100</v>
      </c>
      <c r="C22" s="5">
        <v>17</v>
      </c>
      <c r="D22" s="25">
        <v>484.47657908812602</v>
      </c>
      <c r="E22" s="25">
        <v>163.41992247595826</v>
      </c>
      <c r="F22" s="25">
        <v>20.615260347114198</v>
      </c>
      <c r="G22" s="25">
        <v>5.8578921770495143</v>
      </c>
      <c r="H22" s="25">
        <v>63.998590091409142</v>
      </c>
      <c r="I22" s="25">
        <v>116.44933324596096</v>
      </c>
      <c r="J22" s="25">
        <v>19.522373066008036</v>
      </c>
      <c r="K22" s="25">
        <v>2946.450864063343</v>
      </c>
      <c r="L22" s="25">
        <v>16.792677936772492</v>
      </c>
      <c r="M22" s="25">
        <v>3579.4642539699116</v>
      </c>
      <c r="N22" s="25">
        <v>227.40911400973994</v>
      </c>
      <c r="O22" s="25">
        <v>527.10497440370898</v>
      </c>
      <c r="P22" s="25">
        <v>533.58149741546777</v>
      </c>
      <c r="Q22" s="25">
        <v>304.23519179800036</v>
      </c>
      <c r="R22" s="25">
        <v>599.12898950250974</v>
      </c>
      <c r="S22" s="25">
        <v>997.05550669050319</v>
      </c>
      <c r="T22" s="25">
        <v>17336.141523292394</v>
      </c>
      <c r="U22" s="25">
        <v>1080.5644362790067</v>
      </c>
      <c r="V22" s="25">
        <v>149.69532659309297</v>
      </c>
      <c r="W22" s="25">
        <v>3.8398047693873503</v>
      </c>
      <c r="X22" s="25">
        <v>5.7059413013689622E-2</v>
      </c>
      <c r="Y22" s="25">
        <v>55.80084979190098</v>
      </c>
      <c r="Z22" s="25">
        <v>109.13595645361006</v>
      </c>
      <c r="AA22" s="25">
        <v>203.32754747843759</v>
      </c>
      <c r="AB22" s="25">
        <v>1479.5944059635219</v>
      </c>
      <c r="AC22" s="25">
        <v>881.64015201840959</v>
      </c>
      <c r="AD22" s="25">
        <v>2148.3735267543443</v>
      </c>
      <c r="AE22" s="25">
        <v>1464.0260625544502</v>
      </c>
      <c r="AF22" s="25">
        <v>44.193157211983952</v>
      </c>
      <c r="AG22" s="25">
        <v>18.777785833759225</v>
      </c>
      <c r="AH22" s="25">
        <v>1188.0628875288216</v>
      </c>
      <c r="AI22" s="25">
        <v>697.10906438325617</v>
      </c>
      <c r="AJ22" s="25">
        <v>368.93227969774961</v>
      </c>
      <c r="AK22" s="25">
        <v>132.28754563704774</v>
      </c>
      <c r="AL22" s="25">
        <v>290.31712655254341</v>
      </c>
      <c r="AM22" s="25">
        <v>705.04817118748031</v>
      </c>
      <c r="AN22" s="25">
        <v>47.987182601319333</v>
      </c>
      <c r="AO22" s="25">
        <v>861.40980278848042</v>
      </c>
      <c r="AP22" s="25">
        <v>24.287570788032568</v>
      </c>
      <c r="AQ22" s="25">
        <v>60.292344010331433</v>
      </c>
      <c r="AR22" s="25">
        <v>9.8488091687822603</v>
      </c>
      <c r="AS22" s="25">
        <v>7.056304241276564</v>
      </c>
      <c r="AT22" s="25">
        <v>3.9153997106606142</v>
      </c>
      <c r="AU22" s="25">
        <v>57.548798715221388</v>
      </c>
      <c r="AV22" s="25">
        <v>341.38662747232547</v>
      </c>
      <c r="AW22" s="25">
        <v>605.5091366437631</v>
      </c>
      <c r="AX22" s="25">
        <v>5757.9757212547684</v>
      </c>
      <c r="AY22" s="40">
        <v>172.26839729477263</v>
      </c>
      <c r="AZ22" s="25">
        <v>44.88445765631959</v>
      </c>
      <c r="BA22" s="25">
        <v>16.699982283057626</v>
      </c>
      <c r="BB22" s="25">
        <v>301.23450955963051</v>
      </c>
      <c r="BC22" s="25">
        <v>179.6825292729275</v>
      </c>
      <c r="BD22" s="25">
        <v>1295.139463873573</v>
      </c>
      <c r="BE22" s="25">
        <v>769.85663133136416</v>
      </c>
      <c r="BF22" s="25">
        <v>121.38809587312124</v>
      </c>
      <c r="BG22" s="25">
        <v>60.099533494634706</v>
      </c>
      <c r="BH22" s="25">
        <v>566.53763841641342</v>
      </c>
      <c r="BI22" s="25">
        <v>1394.2435368236875</v>
      </c>
      <c r="BJ22" s="25">
        <v>292.67537925035981</v>
      </c>
      <c r="BK22" s="25">
        <v>1496.7377422322315</v>
      </c>
      <c r="BL22" s="25">
        <v>375.26764977143358</v>
      </c>
      <c r="BM22" s="25">
        <v>516.77110522424675</v>
      </c>
      <c r="BN22" s="25">
        <v>441.52115269618628</v>
      </c>
      <c r="BO22" s="25">
        <v>1897.0610850099845</v>
      </c>
      <c r="BP22" s="25">
        <v>35.822763577414072</v>
      </c>
      <c r="BQ22" s="25">
        <v>843.65663235393299</v>
      </c>
      <c r="BR22" s="25">
        <v>646.23875732468036</v>
      </c>
      <c r="BS22" s="25">
        <v>483.89953808075313</v>
      </c>
      <c r="BT22" s="25">
        <v>130.78637323516386</v>
      </c>
      <c r="BU22" s="25">
        <v>839.06053927534674</v>
      </c>
      <c r="BV22" s="25">
        <v>66.767841390422049</v>
      </c>
      <c r="BW22" s="25">
        <v>558.64345554160946</v>
      </c>
      <c r="BX22" s="25">
        <v>0</v>
      </c>
      <c r="BY22" s="25">
        <v>60286.650177914038</v>
      </c>
      <c r="BZ22" s="25">
        <v>34160.217659532369</v>
      </c>
      <c r="CA22" s="25">
        <v>0.21114252305990536</v>
      </c>
      <c r="CB22" s="25">
        <v>0</v>
      </c>
      <c r="CC22" s="25">
        <v>14142.497722479031</v>
      </c>
      <c r="CD22" s="25">
        <v>218.06720880545404</v>
      </c>
      <c r="CE22" s="25">
        <v>787.35608879618803</v>
      </c>
      <c r="CF22" s="25">
        <v>49308.349822136122</v>
      </c>
      <c r="CG22" s="25">
        <v>109595</v>
      </c>
      <c r="CH22"/>
      <c r="CI22">
        <f t="shared" si="0"/>
        <v>0.44991422804084241</v>
      </c>
      <c r="CJ22"/>
      <c r="CK22"/>
      <c r="CL22"/>
      <c r="CM22"/>
      <c r="CN22"/>
      <c r="CO22"/>
      <c r="CP22"/>
      <c r="CQ22"/>
      <c r="CR22"/>
      <c r="CS22"/>
      <c r="CT22"/>
      <c r="CU22"/>
    </row>
    <row r="23" spans="1:99" s="5" customFormat="1" x14ac:dyDescent="0.3">
      <c r="A23" s="35" t="s">
        <v>27</v>
      </c>
      <c r="B23" s="11" t="s">
        <v>101</v>
      </c>
      <c r="C23" s="5">
        <v>18</v>
      </c>
      <c r="D23" s="25">
        <v>13.339322336485235</v>
      </c>
      <c r="E23" s="25">
        <v>3.1329613532081737</v>
      </c>
      <c r="F23" s="25">
        <v>2.4387295803335323</v>
      </c>
      <c r="G23" s="25">
        <v>0.41174963220345551</v>
      </c>
      <c r="H23" s="25">
        <v>6.6182739715733696</v>
      </c>
      <c r="I23" s="25">
        <v>14.804113355511834</v>
      </c>
      <c r="J23" s="25">
        <v>3.8701544742412097</v>
      </c>
      <c r="K23" s="25">
        <v>85.186409952943919</v>
      </c>
      <c r="L23" s="25">
        <v>11.087753283561041</v>
      </c>
      <c r="M23" s="25">
        <v>114.11040389106206</v>
      </c>
      <c r="N23" s="25">
        <v>221.79900535780783</v>
      </c>
      <c r="O23" s="25">
        <v>5.157676783603768</v>
      </c>
      <c r="P23" s="25">
        <v>17.391981351023837</v>
      </c>
      <c r="Q23" s="25">
        <v>19.532918733880258</v>
      </c>
      <c r="R23" s="25">
        <v>12.239218348222984</v>
      </c>
      <c r="S23" s="25">
        <v>28.70140216483221</v>
      </c>
      <c r="T23" s="25">
        <v>196.93695866879804</v>
      </c>
      <c r="U23" s="25">
        <v>996.48161893031045</v>
      </c>
      <c r="V23" s="25">
        <v>8.9755705319727976</v>
      </c>
      <c r="W23" s="25">
        <v>0.23020988411853741</v>
      </c>
      <c r="X23" s="25">
        <v>2.6149486501612427E-3</v>
      </c>
      <c r="Y23" s="25">
        <v>9.8994416833193135</v>
      </c>
      <c r="Z23" s="25">
        <v>5.5179686526019465</v>
      </c>
      <c r="AA23" s="25">
        <v>23.272288452989464</v>
      </c>
      <c r="AB23" s="25">
        <v>16.904612099165309</v>
      </c>
      <c r="AC23" s="25">
        <v>18.810886334988925</v>
      </c>
      <c r="AD23" s="25">
        <v>61.632086605662025</v>
      </c>
      <c r="AE23" s="25">
        <v>25.16405186894179</v>
      </c>
      <c r="AF23" s="25">
        <v>18.243604821766155</v>
      </c>
      <c r="AG23" s="25">
        <v>1.7709165931754178</v>
      </c>
      <c r="AH23" s="25">
        <v>31.445401191103375</v>
      </c>
      <c r="AI23" s="25">
        <v>194.60325009516066</v>
      </c>
      <c r="AJ23" s="25">
        <v>13.867940817486756</v>
      </c>
      <c r="AK23" s="25">
        <v>22.023420020685744</v>
      </c>
      <c r="AL23" s="25">
        <v>28.005185858666746</v>
      </c>
      <c r="AM23" s="25">
        <v>28.21837239817825</v>
      </c>
      <c r="AN23" s="25">
        <v>5.3995950654618863</v>
      </c>
      <c r="AO23" s="25">
        <v>39.211127289602899</v>
      </c>
      <c r="AP23" s="25">
        <v>3.8478854595298939</v>
      </c>
      <c r="AQ23" s="25">
        <v>22.346285787186023</v>
      </c>
      <c r="AR23" s="25">
        <v>3.6502860846039376</v>
      </c>
      <c r="AS23" s="25">
        <v>2.6152937618394665</v>
      </c>
      <c r="AT23" s="25">
        <v>5.3059561107700794</v>
      </c>
      <c r="AU23" s="25">
        <v>11.366928333523759</v>
      </c>
      <c r="AV23" s="25">
        <v>71.515593522430578</v>
      </c>
      <c r="AW23" s="25">
        <v>111.40668932156279</v>
      </c>
      <c r="AX23" s="25">
        <v>6729.9426449456223</v>
      </c>
      <c r="AY23" s="40">
        <v>56.85771285147267</v>
      </c>
      <c r="AZ23" s="25">
        <v>1.7187503961847612</v>
      </c>
      <c r="BA23" s="25">
        <v>33.680218153388793</v>
      </c>
      <c r="BB23" s="25">
        <v>63.906744764856342</v>
      </c>
      <c r="BC23" s="25">
        <v>10.455078327361646</v>
      </c>
      <c r="BD23" s="25">
        <v>101.21687459716247</v>
      </c>
      <c r="BE23" s="25">
        <v>1189.4141458884806</v>
      </c>
      <c r="BF23" s="25">
        <v>211.93620447332046</v>
      </c>
      <c r="BG23" s="25">
        <v>605.27134125392308</v>
      </c>
      <c r="BH23" s="25">
        <v>538.32545311209321</v>
      </c>
      <c r="BI23" s="25">
        <v>1458.0065591688883</v>
      </c>
      <c r="BJ23" s="25">
        <v>330.83616985435003</v>
      </c>
      <c r="BK23" s="25">
        <v>556.47460661289415</v>
      </c>
      <c r="BL23" s="25">
        <v>226.79438734614351</v>
      </c>
      <c r="BM23" s="25">
        <v>2104.0793969167003</v>
      </c>
      <c r="BN23" s="25">
        <v>63.744541446255411</v>
      </c>
      <c r="BO23" s="25">
        <v>1293.0832488715801</v>
      </c>
      <c r="BP23" s="25">
        <v>2.9332676004145624</v>
      </c>
      <c r="BQ23" s="25">
        <v>1054.3198988395673</v>
      </c>
      <c r="BR23" s="25">
        <v>222.82941521498168</v>
      </c>
      <c r="BS23" s="25">
        <v>41.714129950786727</v>
      </c>
      <c r="BT23" s="25">
        <v>89.605469705838274</v>
      </c>
      <c r="BU23" s="25">
        <v>103.38244922351554</v>
      </c>
      <c r="BV23" s="25">
        <v>328.68184010140919</v>
      </c>
      <c r="BW23" s="25">
        <v>344.79312245990695</v>
      </c>
      <c r="BX23" s="25">
        <v>0</v>
      </c>
      <c r="BY23" s="25">
        <v>20302.49778784185</v>
      </c>
      <c r="BZ23" s="25">
        <v>176.53574298205356</v>
      </c>
      <c r="CA23" s="25">
        <v>0.26935788229663143</v>
      </c>
      <c r="CB23" s="25">
        <v>0</v>
      </c>
      <c r="CC23" s="25">
        <v>1258.4005468510047</v>
      </c>
      <c r="CD23" s="25">
        <v>40.666815602113267</v>
      </c>
      <c r="CE23" s="25">
        <v>-445.37025112817054</v>
      </c>
      <c r="CF23" s="25">
        <v>1030.5022121892976</v>
      </c>
      <c r="CG23" s="25">
        <v>21333</v>
      </c>
      <c r="CH23"/>
      <c r="CI23">
        <f t="shared" si="0"/>
        <v>4.8305545970529114E-2</v>
      </c>
      <c r="CJ23"/>
      <c r="CK23"/>
      <c r="CL23"/>
      <c r="CM23"/>
      <c r="CN23"/>
      <c r="CO23"/>
      <c r="CP23"/>
      <c r="CQ23"/>
      <c r="CR23"/>
      <c r="CS23"/>
      <c r="CT23"/>
      <c r="CU23"/>
    </row>
    <row r="24" spans="1:99" s="18" customFormat="1" x14ac:dyDescent="0.3">
      <c r="A24" s="35" t="s">
        <v>28</v>
      </c>
      <c r="B24" s="4" t="s">
        <v>102</v>
      </c>
      <c r="C24" s="18">
        <v>19</v>
      </c>
      <c r="D24" s="46">
        <v>12522.632519533092</v>
      </c>
      <c r="E24" s="46">
        <v>4529.1576882829731</v>
      </c>
      <c r="F24" s="46">
        <v>691.20360658459242</v>
      </c>
      <c r="G24" s="46">
        <v>1123.6606102339751</v>
      </c>
      <c r="H24" s="46">
        <v>3436.5901396139275</v>
      </c>
      <c r="I24" s="46">
        <v>4990.8881594386366</v>
      </c>
      <c r="J24" s="46">
        <v>1243.4586100658526</v>
      </c>
      <c r="K24" s="46">
        <v>3099.5978747182226</v>
      </c>
      <c r="L24" s="46">
        <v>901.23197496123021</v>
      </c>
      <c r="M24" s="46">
        <v>3777.5560112972616</v>
      </c>
      <c r="N24" s="46">
        <v>721.48778110527439</v>
      </c>
      <c r="O24" s="46">
        <v>19.753751511316885</v>
      </c>
      <c r="P24" s="46">
        <v>252.82664097451064</v>
      </c>
      <c r="Q24" s="46">
        <v>105.1450681065524</v>
      </c>
      <c r="R24" s="46">
        <v>196.64050937947721</v>
      </c>
      <c r="S24" s="46">
        <v>273.71901313171429</v>
      </c>
      <c r="T24" s="46">
        <v>2024.9337788883145</v>
      </c>
      <c r="U24" s="46">
        <v>22.932426491456628</v>
      </c>
      <c r="V24" s="46">
        <v>110832.26105709503</v>
      </c>
      <c r="W24" s="46">
        <v>2852.6018414340801</v>
      </c>
      <c r="X24" s="46">
        <v>913.18108339073501</v>
      </c>
      <c r="Y24" s="46">
        <v>372.77800864538665</v>
      </c>
      <c r="Z24" s="46">
        <v>10873.963150608515</v>
      </c>
      <c r="AA24" s="46">
        <v>960.79738217402087</v>
      </c>
      <c r="AB24" s="46">
        <v>470.1262062355666</v>
      </c>
      <c r="AC24" s="46">
        <v>187.46501781303067</v>
      </c>
      <c r="AD24" s="46">
        <v>1671.0651731823252</v>
      </c>
      <c r="AE24" s="46">
        <v>2993.1382155248989</v>
      </c>
      <c r="AF24" s="46">
        <v>1853.8128862687497</v>
      </c>
      <c r="AG24" s="46">
        <v>2401.590078444216</v>
      </c>
      <c r="AH24" s="46">
        <v>412.73978207336182</v>
      </c>
      <c r="AI24" s="46">
        <v>196.80683430812857</v>
      </c>
      <c r="AJ24" s="46">
        <v>532.91945425261213</v>
      </c>
      <c r="AK24" s="46">
        <v>438.35205049141177</v>
      </c>
      <c r="AL24" s="46">
        <v>997.16558673446275</v>
      </c>
      <c r="AM24" s="46">
        <v>366.59462089235251</v>
      </c>
      <c r="AN24" s="46">
        <v>99.828542069340401</v>
      </c>
      <c r="AO24" s="46">
        <v>264.11533615702814</v>
      </c>
      <c r="AP24" s="46">
        <v>340.00152047639358</v>
      </c>
      <c r="AQ24" s="46">
        <v>2403.6211238173555</v>
      </c>
      <c r="AR24" s="46">
        <v>392.5613967492672</v>
      </c>
      <c r="AS24" s="46">
        <v>281.2555915514609</v>
      </c>
      <c r="AT24" s="46">
        <v>39.351034825142662</v>
      </c>
      <c r="AU24" s="46">
        <v>1057.6584168554284</v>
      </c>
      <c r="AV24" s="46">
        <v>6560.9161595641526</v>
      </c>
      <c r="AW24" s="46">
        <v>959.18197134293257</v>
      </c>
      <c r="AX24" s="46">
        <v>15601.925063646577</v>
      </c>
      <c r="AY24" s="48">
        <f>'Fluxos Energia'!H17</f>
        <v>0</v>
      </c>
      <c r="AZ24" s="46">
        <v>1664.3254032695027</v>
      </c>
      <c r="BA24" s="46">
        <v>6710.988050768251</v>
      </c>
      <c r="BB24" s="46">
        <v>2004.3535197355434</v>
      </c>
      <c r="BC24" s="46">
        <v>84.590635668237184</v>
      </c>
      <c r="BD24" s="46">
        <v>2272.97567882577</v>
      </c>
      <c r="BE24" s="46">
        <v>23.045753027364938</v>
      </c>
      <c r="BF24" s="46">
        <v>58.727794531367806</v>
      </c>
      <c r="BG24" s="46">
        <v>89.357006794270276</v>
      </c>
      <c r="BH24" s="46">
        <v>172.01030491538387</v>
      </c>
      <c r="BI24" s="46">
        <v>598.21743042017511</v>
      </c>
      <c r="BJ24" s="46">
        <v>101.5923021008885</v>
      </c>
      <c r="BK24" s="46">
        <v>574.34079343583812</v>
      </c>
      <c r="BL24" s="46">
        <v>407.7551894533571</v>
      </c>
      <c r="BM24" s="46">
        <v>131.53972635633767</v>
      </c>
      <c r="BN24" s="46">
        <v>708.48833907984294</v>
      </c>
      <c r="BO24" s="46">
        <v>565.40770019436866</v>
      </c>
      <c r="BP24" s="46">
        <v>427.26511935873617</v>
      </c>
      <c r="BQ24" s="46">
        <v>2331.4275477576762</v>
      </c>
      <c r="BR24" s="46">
        <v>334.33949886834267</v>
      </c>
      <c r="BS24" s="46">
        <v>129.02050993549793</v>
      </c>
      <c r="BT24" s="46">
        <v>80.289527507648458</v>
      </c>
      <c r="BU24" s="46">
        <v>348.12057642093322</v>
      </c>
      <c r="BV24" s="46">
        <v>142.96643688512478</v>
      </c>
      <c r="BW24" s="46">
        <v>710.68954719135274</v>
      </c>
      <c r="BX24" s="46">
        <v>0</v>
      </c>
      <c r="BY24" s="46">
        <v>300268.8618076829</v>
      </c>
      <c r="BZ24" s="46">
        <v>21129.468115285599</v>
      </c>
      <c r="CA24" s="46">
        <v>0</v>
      </c>
      <c r="CB24" s="46">
        <v>0</v>
      </c>
      <c r="CC24" s="46">
        <v>117714.641201433</v>
      </c>
      <c r="CD24" s="46">
        <v>1.4315587348310601</v>
      </c>
      <c r="CE24" s="46">
        <v>-5303.1361940251199</v>
      </c>
      <c r="CF24" s="46">
        <v>133542.40468142793</v>
      </c>
      <c r="CG24" s="46">
        <v>433811.26648911083</v>
      </c>
      <c r="CH24"/>
      <c r="CI24">
        <f t="shared" si="0"/>
        <v>0.30783526154634805</v>
      </c>
      <c r="CJ24"/>
      <c r="CK24"/>
      <c r="CL24"/>
      <c r="CM24"/>
      <c r="CN24"/>
      <c r="CO24"/>
      <c r="CP24"/>
      <c r="CQ24"/>
      <c r="CR24"/>
      <c r="CS24"/>
      <c r="CT24"/>
      <c r="CU24"/>
    </row>
    <row r="25" spans="1:99" s="18" customFormat="1" x14ac:dyDescent="0.3">
      <c r="A25" s="35" t="s">
        <v>29</v>
      </c>
      <c r="B25" s="4" t="s">
        <v>103</v>
      </c>
      <c r="C25" s="18">
        <v>20</v>
      </c>
      <c r="D25" s="46">
        <v>800.98709238031074</v>
      </c>
      <c r="E25" s="46">
        <v>228.31395134121664</v>
      </c>
      <c r="F25" s="46">
        <v>42.84210846485729</v>
      </c>
      <c r="G25" s="46">
        <v>49.015375331955099</v>
      </c>
      <c r="H25" s="46">
        <v>29.475244253497728</v>
      </c>
      <c r="I25" s="46">
        <v>349.95761769903044</v>
      </c>
      <c r="J25" s="46">
        <v>66.507064819792134</v>
      </c>
      <c r="K25" s="46">
        <v>152.9995966611024</v>
      </c>
      <c r="L25" s="46">
        <v>66.775694859087963</v>
      </c>
      <c r="M25" s="46">
        <v>217.49628010011335</v>
      </c>
      <c r="N25" s="46">
        <v>35.430374874966532</v>
      </c>
      <c r="O25" s="46">
        <v>1.2241021908097549</v>
      </c>
      <c r="P25" s="46">
        <v>8.7468574422966933E-2</v>
      </c>
      <c r="Q25" s="46">
        <v>4.1680127820015886E-2</v>
      </c>
      <c r="R25" s="46">
        <v>5.2176194185798191E-2</v>
      </c>
      <c r="S25" s="46">
        <v>0.70663884087715245</v>
      </c>
      <c r="T25" s="46">
        <v>36.050744959885058</v>
      </c>
      <c r="U25" s="46">
        <v>1.6231507350466379</v>
      </c>
      <c r="V25" s="46">
        <v>4.9463166031858421</v>
      </c>
      <c r="W25" s="46">
        <v>0.12740008991067267</v>
      </c>
      <c r="X25" s="46">
        <v>2.2286903330390823E-2</v>
      </c>
      <c r="Y25" s="46">
        <v>830.99987346381795</v>
      </c>
      <c r="Z25" s="46">
        <v>88.073225849021981</v>
      </c>
      <c r="AA25" s="46">
        <v>26.385249778054153</v>
      </c>
      <c r="AB25" s="46">
        <v>22.19683428704419</v>
      </c>
      <c r="AC25" s="46">
        <v>15.228424622984061</v>
      </c>
      <c r="AD25" s="46">
        <v>59.441331229481158</v>
      </c>
      <c r="AE25" s="46">
        <v>62.48707651720617</v>
      </c>
      <c r="AF25" s="46">
        <v>53.695921184526156</v>
      </c>
      <c r="AG25" s="46">
        <v>14.697807497505472</v>
      </c>
      <c r="AH25" s="46">
        <v>22.59738246849809</v>
      </c>
      <c r="AI25" s="46">
        <v>14.780253823385392</v>
      </c>
      <c r="AJ25" s="46">
        <v>16.201304973411656</v>
      </c>
      <c r="AK25" s="46">
        <v>18.656441525958165</v>
      </c>
      <c r="AL25" s="46">
        <v>66.238086762132014</v>
      </c>
      <c r="AM25" s="46">
        <v>15.162335757206742</v>
      </c>
      <c r="AN25" s="46">
        <v>6.2855793006054697</v>
      </c>
      <c r="AO25" s="46">
        <v>16.047930732855296</v>
      </c>
      <c r="AP25" s="46">
        <v>15.826858358950924</v>
      </c>
      <c r="AQ25" s="46">
        <v>1.0453906676912066</v>
      </c>
      <c r="AR25" s="46">
        <v>0.17033481756105376</v>
      </c>
      <c r="AS25" s="46">
        <v>0.12203854039561458</v>
      </c>
      <c r="AT25" s="46">
        <v>2.0696437936307807E-2</v>
      </c>
      <c r="AU25" s="46">
        <v>0.84012605867218304</v>
      </c>
      <c r="AV25" s="46">
        <v>314.86489219163877</v>
      </c>
      <c r="AW25" s="46">
        <v>14.792994580132206</v>
      </c>
      <c r="AX25" s="46">
        <v>747.61131564934908</v>
      </c>
      <c r="AY25" s="48">
        <f>'Fluxos Energia'!H18</f>
        <v>57202.593393769581</v>
      </c>
      <c r="AZ25" s="46">
        <v>0.84983695185490293</v>
      </c>
      <c r="BA25" s="46">
        <v>32.27113757300112</v>
      </c>
      <c r="BB25" s="46">
        <v>102.63218127976005</v>
      </c>
      <c r="BC25" s="46">
        <v>1.5996283358392476</v>
      </c>
      <c r="BD25" s="46">
        <v>1.1177232242077269</v>
      </c>
      <c r="BE25" s="46">
        <v>0.21533386704567911</v>
      </c>
      <c r="BF25" s="46">
        <v>0.7536020199406791</v>
      </c>
      <c r="BG25" s="46">
        <v>0.52129845275347098</v>
      </c>
      <c r="BH25" s="46">
        <v>0.78407177280580997</v>
      </c>
      <c r="BI25" s="46">
        <v>2.723078605507566</v>
      </c>
      <c r="BJ25" s="46">
        <v>0.56868637304067438</v>
      </c>
      <c r="BK25" s="46">
        <v>2.6149690456407759</v>
      </c>
      <c r="BL25" s="46">
        <v>2.1615132488413709</v>
      </c>
      <c r="BM25" s="46">
        <v>0.55949068530369961</v>
      </c>
      <c r="BN25" s="46">
        <v>8.1413889672549988</v>
      </c>
      <c r="BO25" s="46">
        <v>2.5664201960293136</v>
      </c>
      <c r="BP25" s="46">
        <v>24.202500883003804</v>
      </c>
      <c r="BQ25" s="46">
        <v>7.0732373027531645</v>
      </c>
      <c r="BR25" s="46">
        <v>0.70014747876949934</v>
      </c>
      <c r="BS25" s="46">
        <v>6.9915698388294043</v>
      </c>
      <c r="BT25" s="46">
        <v>0.2017277790717576</v>
      </c>
      <c r="BU25" s="46">
        <v>4.8962952711294179</v>
      </c>
      <c r="BV25" s="46">
        <v>4.0101391892789389</v>
      </c>
      <c r="BW25" s="46">
        <v>16.713675476606536</v>
      </c>
      <c r="BX25" s="46">
        <v>0</v>
      </c>
      <c r="BY25" s="46">
        <v>9935.2016651372924</v>
      </c>
      <c r="BZ25" s="46">
        <v>421.58378395935199</v>
      </c>
      <c r="CA25" s="46">
        <v>0</v>
      </c>
      <c r="CB25" s="46">
        <v>0</v>
      </c>
      <c r="CC25" s="46">
        <v>43.723354520799496</v>
      </c>
      <c r="CD25" s="46">
        <v>0.48795201857792703</v>
      </c>
      <c r="CE25" s="46">
        <v>-15.134626870855699</v>
      </c>
      <c r="CF25" s="46">
        <v>450.66046362787347</v>
      </c>
      <c r="CG25" s="46">
        <v>10385.862128765166</v>
      </c>
      <c r="CH25"/>
      <c r="CI25">
        <f t="shared" si="0"/>
        <v>4.339172406108717E-2</v>
      </c>
      <c r="CJ25"/>
      <c r="CK25"/>
      <c r="CL25"/>
      <c r="CM25"/>
      <c r="CN25"/>
      <c r="CO25"/>
      <c r="CP25"/>
      <c r="CQ25"/>
      <c r="CR25"/>
      <c r="CS25"/>
      <c r="CT25"/>
      <c r="CU25"/>
    </row>
    <row r="26" spans="1:99" s="18" customFormat="1" x14ac:dyDescent="0.3">
      <c r="A26" s="35" t="s">
        <v>30</v>
      </c>
      <c r="B26" s="11" t="s">
        <v>104</v>
      </c>
      <c r="C26" s="18">
        <v>21</v>
      </c>
      <c r="D26" s="46">
        <v>3.097599811957731</v>
      </c>
      <c r="E26" s="46">
        <v>2.6317441718778483</v>
      </c>
      <c r="F26" s="46">
        <v>0.25045315140373309</v>
      </c>
      <c r="G26" s="46">
        <v>1.1454317617459846</v>
      </c>
      <c r="H26" s="46">
        <v>63.643880813932434</v>
      </c>
      <c r="I26" s="46">
        <v>25.411817206673721</v>
      </c>
      <c r="J26" s="46">
        <v>4.7089032887406397</v>
      </c>
      <c r="K26" s="46">
        <v>1.4120661489589843</v>
      </c>
      <c r="L26" s="46">
        <v>2.2448832994914965E-2</v>
      </c>
      <c r="M26" s="46">
        <v>0.73106477719809781</v>
      </c>
      <c r="N26" s="46">
        <v>0.31731661243234488</v>
      </c>
      <c r="O26" s="46">
        <v>4.2146732089029188E-3</v>
      </c>
      <c r="P26" s="46">
        <v>7.3819091888877947E-2</v>
      </c>
      <c r="Q26" s="46">
        <v>1.8262355748853928E-3</v>
      </c>
      <c r="R26" s="46">
        <v>6.8517283904238738E-2</v>
      </c>
      <c r="S26" s="46">
        <v>0.41032360765982845</v>
      </c>
      <c r="T26" s="46">
        <v>0.80412552092852674</v>
      </c>
      <c r="U26" s="46">
        <v>4.2380244401252782E-3</v>
      </c>
      <c r="V26" s="46">
        <v>111.54950844292934</v>
      </c>
      <c r="W26" s="46">
        <v>15.910302955689614</v>
      </c>
      <c r="X26" s="46">
        <v>1312.4122952422433</v>
      </c>
      <c r="Y26" s="46">
        <v>3.3455571526155286E-3</v>
      </c>
      <c r="Z26" s="46">
        <v>3.6823053334142277</v>
      </c>
      <c r="AA26" s="46">
        <v>0.54571521204773887</v>
      </c>
      <c r="AB26" s="46">
        <v>0.20430783912428513</v>
      </c>
      <c r="AC26" s="46">
        <v>2.3745335612572707E-2</v>
      </c>
      <c r="AD26" s="46">
        <v>0.91186851007197556</v>
      </c>
      <c r="AE26" s="46">
        <v>18.895061571639101</v>
      </c>
      <c r="AF26" s="46">
        <v>1035.1843245612683</v>
      </c>
      <c r="AG26" s="46">
        <v>27.184975318788272</v>
      </c>
      <c r="AH26" s="46">
        <v>20.27854295009459</v>
      </c>
      <c r="AI26" s="46">
        <v>0.11311615847944548</v>
      </c>
      <c r="AJ26" s="46">
        <v>81.726580369796153</v>
      </c>
      <c r="AK26" s="46">
        <v>26.200130192655507</v>
      </c>
      <c r="AL26" s="46">
        <v>22.452421923146879</v>
      </c>
      <c r="AM26" s="46">
        <v>41.159031431785124</v>
      </c>
      <c r="AN26" s="46">
        <v>2.3537012046784431</v>
      </c>
      <c r="AO26" s="46">
        <v>10.863703891176662</v>
      </c>
      <c r="AP26" s="46">
        <v>29.206644372032159</v>
      </c>
      <c r="AQ26" s="46">
        <v>4.8418514602366525</v>
      </c>
      <c r="AR26" s="46">
        <v>0.79068716599325317</v>
      </c>
      <c r="AS26" s="46">
        <v>0.56649784834961781</v>
      </c>
      <c r="AT26" s="46">
        <v>8.0074452856133779E-2</v>
      </c>
      <c r="AU26" s="46">
        <v>0.42937543654728849</v>
      </c>
      <c r="AV26" s="46">
        <v>3.1763959094286802</v>
      </c>
      <c r="AW26" s="46">
        <v>2.2347957659808628</v>
      </c>
      <c r="AX26" s="46">
        <v>8.125685475566307</v>
      </c>
      <c r="AY26" s="47">
        <v>81.923630447983768</v>
      </c>
      <c r="AZ26" s="46">
        <v>0.47737028934962372</v>
      </c>
      <c r="BA26" s="46">
        <v>20.979156471462314</v>
      </c>
      <c r="BB26" s="46">
        <v>0.51031590022122419</v>
      </c>
      <c r="BC26" s="46">
        <v>0.16350879002132898</v>
      </c>
      <c r="BD26" s="46">
        <v>2.3645019132421026</v>
      </c>
      <c r="BE26" s="46">
        <v>5.9745756307938339E-2</v>
      </c>
      <c r="BF26" s="46">
        <v>0.13976576889911693</v>
      </c>
      <c r="BG26" s="46">
        <v>0.24553158710949882</v>
      </c>
      <c r="BH26" s="46">
        <v>0.47845515745081435</v>
      </c>
      <c r="BI26" s="46">
        <v>1.662730734749762</v>
      </c>
      <c r="BJ26" s="46">
        <v>0.27622412382272732</v>
      </c>
      <c r="BK26" s="46">
        <v>1.5968385467742297</v>
      </c>
      <c r="BL26" s="46">
        <v>0.93384180922662152</v>
      </c>
      <c r="BM26" s="46">
        <v>0.32403957193137806</v>
      </c>
      <c r="BN26" s="46">
        <v>1.3773636678633441</v>
      </c>
      <c r="BO26" s="46">
        <v>1.5326187593784086</v>
      </c>
      <c r="BP26" s="46">
        <v>0.31426729001727954</v>
      </c>
      <c r="BQ26" s="46">
        <v>4.627677112606114</v>
      </c>
      <c r="BR26" s="46">
        <v>0.47313426560644828</v>
      </c>
      <c r="BS26" s="46">
        <v>0.11307740656055784</v>
      </c>
      <c r="BT26" s="46">
        <v>0.12320486535608087</v>
      </c>
      <c r="BU26" s="46">
        <v>0.7588136653642249</v>
      </c>
      <c r="BV26" s="46">
        <v>0.26476190806565353</v>
      </c>
      <c r="BW26" s="46">
        <v>0.95884654273782299</v>
      </c>
      <c r="BX26" s="46">
        <v>0</v>
      </c>
      <c r="BY26" s="46">
        <v>3008.5262052564158</v>
      </c>
      <c r="BZ26" s="46">
        <v>51.5371752636905</v>
      </c>
      <c r="CA26" s="46">
        <v>0</v>
      </c>
      <c r="CB26" s="46">
        <v>0</v>
      </c>
      <c r="CC26" s="46">
        <v>245.87140316222499</v>
      </c>
      <c r="CD26" s="46">
        <v>0</v>
      </c>
      <c r="CE26" s="46">
        <v>-2.06340155831924</v>
      </c>
      <c r="CF26" s="46">
        <v>295.34517686759636</v>
      </c>
      <c r="CG26" s="46">
        <v>3303.8713821240121</v>
      </c>
      <c r="CH26"/>
      <c r="CI26">
        <f t="shared" si="0"/>
        <v>8.939366661353601E-2</v>
      </c>
      <c r="CJ26"/>
      <c r="CK26"/>
      <c r="CL26"/>
      <c r="CM26"/>
      <c r="CN26"/>
      <c r="CO26"/>
      <c r="CP26"/>
      <c r="CQ26"/>
      <c r="CR26"/>
      <c r="CS26"/>
      <c r="CT26"/>
      <c r="CU26"/>
    </row>
    <row r="27" spans="1:99" s="18" customFormat="1" x14ac:dyDescent="0.3">
      <c r="A27" s="35" t="s">
        <v>31</v>
      </c>
      <c r="B27" s="9" t="s">
        <v>105</v>
      </c>
      <c r="C27" s="18">
        <v>22</v>
      </c>
      <c r="D27" s="46">
        <v>79.900398643439559</v>
      </c>
      <c r="E27" s="46">
        <v>99.636051155377572</v>
      </c>
      <c r="F27" s="46">
        <v>3.1945139257046757</v>
      </c>
      <c r="G27" s="46">
        <v>2.5063210381545988</v>
      </c>
      <c r="H27" s="46">
        <v>632.57369899417984</v>
      </c>
      <c r="I27" s="46">
        <v>6.4954438367298497</v>
      </c>
      <c r="J27" s="46">
        <v>1.6063796343317513</v>
      </c>
      <c r="K27" s="46">
        <v>227.81003844824465</v>
      </c>
      <c r="L27" s="46">
        <v>193.42907447130622</v>
      </c>
      <c r="M27" s="46">
        <v>910.61411127192025</v>
      </c>
      <c r="N27" s="46">
        <v>183.16587399259419</v>
      </c>
      <c r="O27" s="46">
        <v>0.19687255186620539</v>
      </c>
      <c r="P27" s="46">
        <v>1.4072228580930899</v>
      </c>
      <c r="Q27" s="46">
        <v>0.9664003321803617</v>
      </c>
      <c r="R27" s="46">
        <v>1.1141634178397606</v>
      </c>
      <c r="S27" s="46">
        <v>26.899322903780181</v>
      </c>
      <c r="T27" s="46">
        <v>9.3848406540838791</v>
      </c>
      <c r="U27" s="46">
        <v>0.67263276752480161</v>
      </c>
      <c r="V27" s="46">
        <v>15110.474440783461</v>
      </c>
      <c r="W27" s="46">
        <v>76.356762277775346</v>
      </c>
      <c r="X27" s="46">
        <v>76.309221377926335</v>
      </c>
      <c r="Y27" s="46">
        <v>457.97466030633063</v>
      </c>
      <c r="Z27" s="46">
        <v>296.72564945244068</v>
      </c>
      <c r="AA27" s="46">
        <v>299.30407939715974</v>
      </c>
      <c r="AB27" s="46">
        <v>1246.3545287279433</v>
      </c>
      <c r="AC27" s="46">
        <v>713.90217858633127</v>
      </c>
      <c r="AD27" s="46">
        <v>7.7573680250948573</v>
      </c>
      <c r="AE27" s="46">
        <v>2.9343725801158467</v>
      </c>
      <c r="AF27" s="46">
        <v>3.4760919883159147</v>
      </c>
      <c r="AG27" s="46">
        <v>1.4932503374748685</v>
      </c>
      <c r="AH27" s="46">
        <v>31.020153239681459</v>
      </c>
      <c r="AI27" s="46">
        <v>1.493382929405739</v>
      </c>
      <c r="AJ27" s="46">
        <v>3.833323710114561</v>
      </c>
      <c r="AK27" s="46">
        <v>25.744484983700801</v>
      </c>
      <c r="AL27" s="46">
        <v>15.046528772896151</v>
      </c>
      <c r="AM27" s="46">
        <v>2.804612858897066</v>
      </c>
      <c r="AN27" s="46">
        <v>1.1816601153834354</v>
      </c>
      <c r="AO27" s="46">
        <v>3.5941609127456209</v>
      </c>
      <c r="AP27" s="46">
        <v>16.582466245429515</v>
      </c>
      <c r="AQ27" s="46">
        <v>6.1615523604345581</v>
      </c>
      <c r="AR27" s="46">
        <v>1.0064951757553382</v>
      </c>
      <c r="AS27" s="46">
        <v>0.72111623403349223</v>
      </c>
      <c r="AT27" s="46">
        <v>0.14624501845386453</v>
      </c>
      <c r="AU27" s="46">
        <v>19.763070665683248</v>
      </c>
      <c r="AV27" s="46">
        <v>293.64415461460698</v>
      </c>
      <c r="AW27" s="46">
        <v>274.54746406836551</v>
      </c>
      <c r="AX27" s="46">
        <v>499.37373969253753</v>
      </c>
      <c r="AY27" s="48">
        <f>'Fluxos Energia'!H19</f>
        <v>1699.0902490249575</v>
      </c>
      <c r="AZ27" s="46">
        <v>4.3904133825691698</v>
      </c>
      <c r="BA27" s="46">
        <v>18.370765062988067</v>
      </c>
      <c r="BB27" s="46">
        <v>45.122455201350661</v>
      </c>
      <c r="BC27" s="46">
        <v>9.6670383452120223</v>
      </c>
      <c r="BD27" s="46">
        <v>267.16490026221402</v>
      </c>
      <c r="BE27" s="46">
        <v>3.5708401091085591</v>
      </c>
      <c r="BF27" s="46">
        <v>7.7979006262281683</v>
      </c>
      <c r="BG27" s="46">
        <v>19.931211968101252</v>
      </c>
      <c r="BH27" s="46">
        <v>31.085430080000744</v>
      </c>
      <c r="BI27" s="46">
        <v>116.31030923269896</v>
      </c>
      <c r="BJ27" s="46">
        <v>14.918810684157439</v>
      </c>
      <c r="BK27" s="46">
        <v>120.40394087675234</v>
      </c>
      <c r="BL27" s="46">
        <v>94.923340310639233</v>
      </c>
      <c r="BM27" s="46">
        <v>37.083554048944201</v>
      </c>
      <c r="BN27" s="46">
        <v>94.076892505068784</v>
      </c>
      <c r="BO27" s="46">
        <v>113.06571632590388</v>
      </c>
      <c r="BP27" s="46">
        <v>63.77865197027522</v>
      </c>
      <c r="BQ27" s="46">
        <v>545.1484605432837</v>
      </c>
      <c r="BR27" s="46">
        <v>77.529339453011886</v>
      </c>
      <c r="BS27" s="46">
        <v>7.9860566791466265</v>
      </c>
      <c r="BT27" s="46">
        <v>31.915945471629662</v>
      </c>
      <c r="BU27" s="46">
        <v>89.581739955367482</v>
      </c>
      <c r="BV27" s="46">
        <v>15.024297994362884</v>
      </c>
      <c r="BW27" s="46">
        <v>141.68801243329764</v>
      </c>
      <c r="BX27" s="46">
        <v>0</v>
      </c>
      <c r="BY27" s="46">
        <v>24543.172790084926</v>
      </c>
      <c r="BZ27" s="46">
        <v>5351.6554134196831</v>
      </c>
      <c r="CA27" s="46">
        <v>0.20439015636524591</v>
      </c>
      <c r="CB27" s="46">
        <v>0</v>
      </c>
      <c r="CC27" s="46">
        <v>24299.633170119676</v>
      </c>
      <c r="CD27" s="46">
        <v>72.643596277789399</v>
      </c>
      <c r="CE27" s="46">
        <v>369.69063994322966</v>
      </c>
      <c r="CF27" s="46">
        <v>30093.827209916744</v>
      </c>
      <c r="CG27" s="46">
        <v>54637</v>
      </c>
      <c r="CH27"/>
      <c r="CI27">
        <f t="shared" si="0"/>
        <v>0.55079574665367326</v>
      </c>
      <c r="CJ27"/>
      <c r="CK27"/>
      <c r="CL27"/>
      <c r="CM27"/>
      <c r="CN27"/>
      <c r="CO27"/>
      <c r="CP27"/>
      <c r="CQ27"/>
      <c r="CR27"/>
      <c r="CS27"/>
      <c r="CT27"/>
      <c r="CU27"/>
    </row>
    <row r="28" spans="1:99" s="18" customFormat="1" x14ac:dyDescent="0.3">
      <c r="A28" s="35" t="s">
        <v>32</v>
      </c>
      <c r="B28" s="13" t="s">
        <v>106</v>
      </c>
      <c r="C28" s="18">
        <v>23</v>
      </c>
      <c r="D28" s="46">
        <v>45933.044359638436</v>
      </c>
      <c r="E28" s="46">
        <v>4700.5044163265666</v>
      </c>
      <c r="F28" s="46">
        <v>342.73136390902454</v>
      </c>
      <c r="G28" s="46">
        <v>238.96792391327978</v>
      </c>
      <c r="H28" s="46">
        <v>4857.5133156899028</v>
      </c>
      <c r="I28" s="46">
        <v>340.81703858764217</v>
      </c>
      <c r="J28" s="46">
        <v>131.04423066879949</v>
      </c>
      <c r="K28" s="46">
        <v>458.64651981621552</v>
      </c>
      <c r="L28" s="46">
        <v>172.1912484025066</v>
      </c>
      <c r="M28" s="46">
        <v>1063.8133565738997</v>
      </c>
      <c r="N28" s="46">
        <v>94.697046441751269</v>
      </c>
      <c r="O28" s="46">
        <v>16.378011510186006</v>
      </c>
      <c r="P28" s="46">
        <v>3539.888795553667</v>
      </c>
      <c r="Q28" s="46">
        <v>140.2501878176308</v>
      </c>
      <c r="R28" s="46">
        <v>1473.9022093587721</v>
      </c>
      <c r="S28" s="46">
        <v>677.61342195254645</v>
      </c>
      <c r="T28" s="46">
        <v>4354.276400576402</v>
      </c>
      <c r="U28" s="46">
        <v>67.362735403493403</v>
      </c>
      <c r="V28" s="46">
        <v>2393.0475479893194</v>
      </c>
      <c r="W28" s="46">
        <v>61.87209758267435</v>
      </c>
      <c r="X28" s="46">
        <v>98.627655104761928</v>
      </c>
      <c r="Y28" s="46">
        <v>648.58312906910044</v>
      </c>
      <c r="Z28" s="46">
        <v>32375.576721911151</v>
      </c>
      <c r="AA28" s="46">
        <v>12475.942717223639</v>
      </c>
      <c r="AB28" s="46">
        <v>4409.2644078602816</v>
      </c>
      <c r="AC28" s="46">
        <v>1782.2171736904882</v>
      </c>
      <c r="AD28" s="46">
        <v>16336.883889888046</v>
      </c>
      <c r="AE28" s="46">
        <v>2295.3151360232764</v>
      </c>
      <c r="AF28" s="46">
        <v>973.06272085871444</v>
      </c>
      <c r="AG28" s="46">
        <v>908.00850643377476</v>
      </c>
      <c r="AH28" s="46">
        <v>1236.0285761317223</v>
      </c>
      <c r="AI28" s="46">
        <v>176.46662538129186</v>
      </c>
      <c r="AJ28" s="46">
        <v>2291.575475123389</v>
      </c>
      <c r="AK28" s="46">
        <v>179.95359302721911</v>
      </c>
      <c r="AL28" s="46">
        <v>154.70952198696784</v>
      </c>
      <c r="AM28" s="46">
        <v>1135.6975642494849</v>
      </c>
      <c r="AN28" s="46">
        <v>253.54152761239519</v>
      </c>
      <c r="AO28" s="46">
        <v>1680.149036583515</v>
      </c>
      <c r="AP28" s="46">
        <v>172.49950015048447</v>
      </c>
      <c r="AQ28" s="46">
        <v>136.21436258311925</v>
      </c>
      <c r="AR28" s="46">
        <v>22.250739876667826</v>
      </c>
      <c r="AS28" s="46">
        <v>15.941824790446791</v>
      </c>
      <c r="AT28" s="46">
        <v>1.9475205234391786</v>
      </c>
      <c r="AU28" s="46">
        <v>656.55925163066536</v>
      </c>
      <c r="AV28" s="46">
        <v>483.24643627978298</v>
      </c>
      <c r="AW28" s="46">
        <v>95.956963698845016</v>
      </c>
      <c r="AX28" s="46">
        <v>1195.4936096891383</v>
      </c>
      <c r="AY28" s="47">
        <v>117.98955045004034</v>
      </c>
      <c r="AZ28" s="46">
        <v>2.4453832279960048</v>
      </c>
      <c r="BA28" s="46">
        <v>4.7189595831741658</v>
      </c>
      <c r="BB28" s="46">
        <v>50.015835454144906</v>
      </c>
      <c r="BC28" s="46">
        <v>21.034007298556386</v>
      </c>
      <c r="BD28" s="46">
        <v>166.06271438385446</v>
      </c>
      <c r="BE28" s="46">
        <v>6.597310075905523</v>
      </c>
      <c r="BF28" s="46">
        <v>11.591102799505713</v>
      </c>
      <c r="BG28" s="46">
        <v>36.650030246830845</v>
      </c>
      <c r="BH28" s="46">
        <v>29.675183083945797</v>
      </c>
      <c r="BI28" s="46">
        <v>81.33039216796719</v>
      </c>
      <c r="BJ28" s="46">
        <v>75.323321345095906</v>
      </c>
      <c r="BK28" s="46">
        <v>83.229416160293823</v>
      </c>
      <c r="BL28" s="46">
        <v>53.316174560087184</v>
      </c>
      <c r="BM28" s="46">
        <v>26.321729449122614</v>
      </c>
      <c r="BN28" s="46">
        <v>24.461214920479264</v>
      </c>
      <c r="BO28" s="46">
        <v>117.98116821629961</v>
      </c>
      <c r="BP28" s="46">
        <v>4.1900922783847836</v>
      </c>
      <c r="BQ28" s="46">
        <v>83.092200294350675</v>
      </c>
      <c r="BR28" s="46">
        <v>74.527759464976711</v>
      </c>
      <c r="BS28" s="46">
        <v>72.118322577308518</v>
      </c>
      <c r="BT28" s="46">
        <v>277.19832920651629</v>
      </c>
      <c r="BU28" s="46">
        <v>554.07565329523732</v>
      </c>
      <c r="BV28" s="46">
        <v>57.26041938985324</v>
      </c>
      <c r="BW28" s="46">
        <v>364.80967003077694</v>
      </c>
      <c r="BX28" s="46">
        <v>0</v>
      </c>
      <c r="BY28" s="46">
        <v>155646.29235505522</v>
      </c>
      <c r="BZ28" s="46">
        <v>19441.06574357233</v>
      </c>
      <c r="CA28" s="46">
        <v>11.449278827996304</v>
      </c>
      <c r="CB28" s="46">
        <v>0</v>
      </c>
      <c r="CC28" s="46">
        <v>3542.3545724804844</v>
      </c>
      <c r="CD28" s="46">
        <v>713.9505455643623</v>
      </c>
      <c r="CE28" s="46">
        <v>150.88750449960969</v>
      </c>
      <c r="CF28" s="46">
        <v>23859.707644944781</v>
      </c>
      <c r="CG28" s="46">
        <v>179506</v>
      </c>
      <c r="CH28"/>
      <c r="CI28">
        <f t="shared" si="0"/>
        <v>0.13291871940182937</v>
      </c>
      <c r="CJ28"/>
      <c r="CK28"/>
      <c r="CL28"/>
      <c r="CM28"/>
      <c r="CN28"/>
      <c r="CO28"/>
      <c r="CP28"/>
      <c r="CQ28"/>
      <c r="CR28"/>
      <c r="CS28"/>
      <c r="CT28"/>
      <c r="CU28"/>
    </row>
    <row r="29" spans="1:99" s="5" customFormat="1" x14ac:dyDescent="0.3">
      <c r="A29" s="35" t="s">
        <v>33</v>
      </c>
      <c r="B29" s="11" t="s">
        <v>107</v>
      </c>
      <c r="C29" s="5">
        <v>24</v>
      </c>
      <c r="D29" s="25">
        <v>23436.868191937006</v>
      </c>
      <c r="E29" s="25">
        <v>2659.0458293743441</v>
      </c>
      <c r="F29" s="25">
        <v>87.893458636695129</v>
      </c>
      <c r="G29" s="25">
        <v>1560.7928218944237</v>
      </c>
      <c r="H29" s="25">
        <v>575.39184909017627</v>
      </c>
      <c r="I29" s="25">
        <v>277.16980420078181</v>
      </c>
      <c r="J29" s="25">
        <v>112.62711110644612</v>
      </c>
      <c r="K29" s="25">
        <v>839.47489935650447</v>
      </c>
      <c r="L29" s="25">
        <v>34.242340109106259</v>
      </c>
      <c r="M29" s="25">
        <v>2339.5945956357714</v>
      </c>
      <c r="N29" s="25">
        <v>116.42229199713566</v>
      </c>
      <c r="O29" s="25">
        <v>5.0548920181282329</v>
      </c>
      <c r="P29" s="25">
        <v>306.23554303976846</v>
      </c>
      <c r="Q29" s="25">
        <v>43.171646276788621</v>
      </c>
      <c r="R29" s="25">
        <v>206.63341942890125</v>
      </c>
      <c r="S29" s="25">
        <v>705.30912868817813</v>
      </c>
      <c r="T29" s="25">
        <v>1430.9480741273044</v>
      </c>
      <c r="U29" s="25">
        <v>638.57581674164305</v>
      </c>
      <c r="V29" s="25">
        <v>388.26298998601413</v>
      </c>
      <c r="W29" s="25">
        <v>9.8737706133711924</v>
      </c>
      <c r="X29" s="25">
        <v>2.8454792006437897</v>
      </c>
      <c r="Y29" s="25">
        <v>164.27652533342126</v>
      </c>
      <c r="Z29" s="25">
        <v>2006.776280480615</v>
      </c>
      <c r="AA29" s="25">
        <v>9284.6464714127978</v>
      </c>
      <c r="AB29" s="25">
        <v>1704.2634040976709</v>
      </c>
      <c r="AC29" s="25">
        <v>864.88759356882542</v>
      </c>
      <c r="AD29" s="25">
        <v>2767.0056618200242</v>
      </c>
      <c r="AE29" s="25">
        <v>906.56113969593707</v>
      </c>
      <c r="AF29" s="25">
        <v>446.19847339490462</v>
      </c>
      <c r="AG29" s="25">
        <v>91.701863141986848</v>
      </c>
      <c r="AH29" s="25">
        <v>559.0055764442551</v>
      </c>
      <c r="AI29" s="25">
        <v>194.65755678790595</v>
      </c>
      <c r="AJ29" s="25">
        <v>204.95976057854418</v>
      </c>
      <c r="AK29" s="25">
        <v>175.09465600952271</v>
      </c>
      <c r="AL29" s="25">
        <v>497.86932589120698</v>
      </c>
      <c r="AM29" s="25">
        <v>231.01984241682032</v>
      </c>
      <c r="AN29" s="25">
        <v>111.28724018073264</v>
      </c>
      <c r="AO29" s="25">
        <v>540.55535256141468</v>
      </c>
      <c r="AP29" s="25">
        <v>671.10571636545251</v>
      </c>
      <c r="AQ29" s="25">
        <v>126.61998580241371</v>
      </c>
      <c r="AR29" s="25">
        <v>20.588788629345892</v>
      </c>
      <c r="AS29" s="25">
        <v>14.748137499305241</v>
      </c>
      <c r="AT29" s="25">
        <v>1.7755107518890538</v>
      </c>
      <c r="AU29" s="25">
        <v>331.61133322139011</v>
      </c>
      <c r="AV29" s="25">
        <v>7547.2977031495711</v>
      </c>
      <c r="AW29" s="25">
        <v>879.46696282450614</v>
      </c>
      <c r="AX29" s="25">
        <v>1715.1880233685588</v>
      </c>
      <c r="AY29" s="40">
        <v>224.13310682225537</v>
      </c>
      <c r="AZ29" s="25">
        <v>0.97484303317497201</v>
      </c>
      <c r="BA29" s="25">
        <v>3.420821431224315</v>
      </c>
      <c r="BB29" s="25">
        <v>54.346921519352513</v>
      </c>
      <c r="BC29" s="25">
        <v>27.371451109936658</v>
      </c>
      <c r="BD29" s="25">
        <v>87.896789606737485</v>
      </c>
      <c r="BE29" s="25">
        <v>89.460215174896419</v>
      </c>
      <c r="BF29" s="25">
        <v>113.90617045278515</v>
      </c>
      <c r="BG29" s="25">
        <v>21.41148903564758</v>
      </c>
      <c r="BH29" s="25">
        <v>17.569591346501603</v>
      </c>
      <c r="BI29" s="25">
        <v>66.39866349882702</v>
      </c>
      <c r="BJ29" s="25">
        <v>1157.3310351553157</v>
      </c>
      <c r="BK29" s="25">
        <v>41.759659887863243</v>
      </c>
      <c r="BL29" s="25">
        <v>42.798939307746721</v>
      </c>
      <c r="BM29" s="25">
        <v>35.716778887081304</v>
      </c>
      <c r="BN29" s="25">
        <v>22.450403078188788</v>
      </c>
      <c r="BO29" s="25">
        <v>1733.335625261504</v>
      </c>
      <c r="BP29" s="25">
        <v>2.7201007097894401</v>
      </c>
      <c r="BQ29" s="25">
        <v>227.90156694512359</v>
      </c>
      <c r="BR29" s="25">
        <v>255.68521382474333</v>
      </c>
      <c r="BS29" s="25">
        <v>36.280846208996053</v>
      </c>
      <c r="BT29" s="25">
        <v>668.46402803610079</v>
      </c>
      <c r="BU29" s="25">
        <v>97.554513092514966</v>
      </c>
      <c r="BV29" s="25">
        <v>37.181085693111328</v>
      </c>
      <c r="BW29" s="25">
        <v>119.89123038066489</v>
      </c>
      <c r="BX29" s="25">
        <v>0</v>
      </c>
      <c r="BY29" s="25">
        <v>73021.563928388263</v>
      </c>
      <c r="BZ29" s="25">
        <v>8559.7078149193294</v>
      </c>
      <c r="CA29" s="25">
        <v>16.412403652008503</v>
      </c>
      <c r="CB29" s="25">
        <v>0</v>
      </c>
      <c r="CC29" s="25">
        <v>3234.4272014584262</v>
      </c>
      <c r="CD29" s="25">
        <v>1022.6945528328781</v>
      </c>
      <c r="CE29" s="25">
        <v>2453.0638745786468</v>
      </c>
      <c r="CF29" s="25">
        <v>15286.305847441292</v>
      </c>
      <c r="CG29" s="25">
        <v>88308</v>
      </c>
      <c r="CH29"/>
      <c r="CI29">
        <f t="shared" si="0"/>
        <v>0.17310216342167517</v>
      </c>
      <c r="CJ29"/>
      <c r="CK29"/>
      <c r="CL29"/>
      <c r="CM29"/>
      <c r="CN29"/>
      <c r="CO29"/>
      <c r="CP29"/>
      <c r="CQ29"/>
      <c r="CR29"/>
      <c r="CS29"/>
      <c r="CT29"/>
      <c r="CU29"/>
    </row>
    <row r="30" spans="1:99" s="5" customFormat="1" x14ac:dyDescent="0.3">
      <c r="A30" s="35" t="s">
        <v>34</v>
      </c>
      <c r="B30" s="13" t="s">
        <v>108</v>
      </c>
      <c r="C30" s="5">
        <v>25</v>
      </c>
      <c r="D30" s="25">
        <v>765.32407228554757</v>
      </c>
      <c r="E30" s="25">
        <v>124.11387850179078</v>
      </c>
      <c r="F30" s="25">
        <v>4.1411188153510174</v>
      </c>
      <c r="G30" s="25">
        <v>26.412863045666757</v>
      </c>
      <c r="H30" s="25">
        <v>122.19348830272185</v>
      </c>
      <c r="I30" s="25">
        <v>63.069815311004142</v>
      </c>
      <c r="J30" s="25">
        <v>11.163087907145654</v>
      </c>
      <c r="K30" s="25">
        <v>95.473773292238747</v>
      </c>
      <c r="L30" s="25">
        <v>9.1511033885046196</v>
      </c>
      <c r="M30" s="25">
        <v>192.91991867350174</v>
      </c>
      <c r="N30" s="25">
        <v>34.513375800956148</v>
      </c>
      <c r="O30" s="25">
        <v>3.2668037519040349</v>
      </c>
      <c r="P30" s="25">
        <v>51.801738888519992</v>
      </c>
      <c r="Q30" s="25">
        <v>35.76642807129145</v>
      </c>
      <c r="R30" s="25">
        <v>26.440693725389696</v>
      </c>
      <c r="S30" s="25">
        <v>30.120874219206467</v>
      </c>
      <c r="T30" s="25">
        <v>123.1126632615119</v>
      </c>
      <c r="U30" s="25">
        <v>22.783765951060694</v>
      </c>
      <c r="V30" s="25">
        <v>124.17839587838451</v>
      </c>
      <c r="W30" s="25">
        <v>2.0914553904543145</v>
      </c>
      <c r="X30" s="25">
        <v>0.94011926883268948</v>
      </c>
      <c r="Y30" s="25">
        <v>15.692138604437643</v>
      </c>
      <c r="Z30" s="25">
        <v>448.56543891392897</v>
      </c>
      <c r="AA30" s="25">
        <v>480.65157317625301</v>
      </c>
      <c r="AB30" s="25">
        <v>924.76116878084099</v>
      </c>
      <c r="AC30" s="25">
        <v>75.265260537033612</v>
      </c>
      <c r="AD30" s="25">
        <v>144.47270541708136</v>
      </c>
      <c r="AE30" s="25">
        <v>65.701679774365658</v>
      </c>
      <c r="AF30" s="25">
        <v>37.95752489666986</v>
      </c>
      <c r="AG30" s="25">
        <v>41.675918483687312</v>
      </c>
      <c r="AH30" s="25">
        <v>317.05272978135366</v>
      </c>
      <c r="AI30" s="25">
        <v>29.079180527867894</v>
      </c>
      <c r="AJ30" s="25">
        <v>28.954047476786545</v>
      </c>
      <c r="AK30" s="25">
        <v>43.497999341133976</v>
      </c>
      <c r="AL30" s="25">
        <v>34.73592326046758</v>
      </c>
      <c r="AM30" s="25">
        <v>37.306511748934938</v>
      </c>
      <c r="AN30" s="25">
        <v>9.7057737312474952</v>
      </c>
      <c r="AO30" s="25">
        <v>38.819059029139787</v>
      </c>
      <c r="AP30" s="25">
        <v>24.596692342297754</v>
      </c>
      <c r="AQ30" s="25">
        <v>18.204243080080232</v>
      </c>
      <c r="AR30" s="25">
        <v>2.9736796454142302</v>
      </c>
      <c r="AS30" s="25">
        <v>2.1305304970924372</v>
      </c>
      <c r="AT30" s="25">
        <v>0.64633242431100457</v>
      </c>
      <c r="AU30" s="25">
        <v>42.033846960204116</v>
      </c>
      <c r="AV30" s="25">
        <v>195.92545477331595</v>
      </c>
      <c r="AW30" s="25">
        <v>120.4157439284653</v>
      </c>
      <c r="AX30" s="25">
        <v>1401.1009267267268</v>
      </c>
      <c r="AY30" s="40">
        <v>203.90997113813663</v>
      </c>
      <c r="AZ30" s="25">
        <v>5.5952137081025688</v>
      </c>
      <c r="BA30" s="25">
        <v>1.1265727598851401</v>
      </c>
      <c r="BB30" s="25">
        <v>68.884046741803957</v>
      </c>
      <c r="BC30" s="25">
        <v>53.710385927398235</v>
      </c>
      <c r="BD30" s="25">
        <v>82.24949145659258</v>
      </c>
      <c r="BE30" s="25">
        <v>21.158267396351164</v>
      </c>
      <c r="BF30" s="25">
        <v>34.420095833078832</v>
      </c>
      <c r="BG30" s="25">
        <v>70.625037677671259</v>
      </c>
      <c r="BH30" s="25">
        <v>17.722423926174685</v>
      </c>
      <c r="BI30" s="25">
        <v>36.376816158407671</v>
      </c>
      <c r="BJ30" s="25">
        <v>16.273948589978041</v>
      </c>
      <c r="BK30" s="25">
        <v>190.5955151165258</v>
      </c>
      <c r="BL30" s="25">
        <v>71.454878200582485</v>
      </c>
      <c r="BM30" s="25">
        <v>199.62394567673493</v>
      </c>
      <c r="BN30" s="25">
        <v>71.73330640310796</v>
      </c>
      <c r="BO30" s="25">
        <v>1199.0862876313577</v>
      </c>
      <c r="BP30" s="25">
        <v>1.6549958781979446</v>
      </c>
      <c r="BQ30" s="25">
        <v>159.23256167147863</v>
      </c>
      <c r="BR30" s="25">
        <v>119.9270390654266</v>
      </c>
      <c r="BS30" s="25">
        <v>95.531753477834599</v>
      </c>
      <c r="BT30" s="25">
        <v>94.289859108825453</v>
      </c>
      <c r="BU30" s="25">
        <v>592.29431745727231</v>
      </c>
      <c r="BV30" s="25">
        <v>110.0251636837786</v>
      </c>
      <c r="BW30" s="25">
        <v>795.73451950291633</v>
      </c>
      <c r="BX30" s="25">
        <v>0</v>
      </c>
      <c r="BY30" s="25">
        <v>10764.137931777743</v>
      </c>
      <c r="BZ30" s="25">
        <v>3455.2589383894306</v>
      </c>
      <c r="CA30" s="25">
        <v>35.713769285259886</v>
      </c>
      <c r="CB30" s="25">
        <v>0</v>
      </c>
      <c r="CC30" s="25">
        <v>33581.623776443317</v>
      </c>
      <c r="CD30" s="25">
        <v>524.80293503638927</v>
      </c>
      <c r="CE30" s="25">
        <v>1814.3668191400257</v>
      </c>
      <c r="CF30" s="25">
        <v>39411.766238294418</v>
      </c>
      <c r="CG30" s="25">
        <v>50176</v>
      </c>
      <c r="CH30"/>
      <c r="CI30">
        <f t="shared" si="0"/>
        <v>0.78547046871600801</v>
      </c>
      <c r="CJ30"/>
      <c r="CK30"/>
      <c r="CL30"/>
      <c r="CM30"/>
      <c r="CN30"/>
      <c r="CO30"/>
      <c r="CP30"/>
      <c r="CQ30"/>
      <c r="CR30"/>
      <c r="CS30"/>
      <c r="CT30"/>
      <c r="CU30"/>
    </row>
    <row r="31" spans="1:99" s="5" customFormat="1" x14ac:dyDescent="0.3">
      <c r="A31" s="35" t="s">
        <v>35</v>
      </c>
      <c r="B31" s="11" t="s">
        <v>109</v>
      </c>
      <c r="C31" s="5">
        <v>26</v>
      </c>
      <c r="D31" s="25">
        <v>443.97217151359592</v>
      </c>
      <c r="E31" s="25">
        <v>1869.1641231126855</v>
      </c>
      <c r="F31" s="25">
        <v>14.509689719427843</v>
      </c>
      <c r="G31" s="25">
        <v>21.801574985008322</v>
      </c>
      <c r="H31" s="25">
        <v>344.65019746950128</v>
      </c>
      <c r="I31" s="25">
        <v>12.749822177431822</v>
      </c>
      <c r="J31" s="25">
        <v>2.5974450497443975</v>
      </c>
      <c r="K31" s="25">
        <v>76.787091348360789</v>
      </c>
      <c r="L31" s="25">
        <v>1.3569438674573762</v>
      </c>
      <c r="M31" s="25">
        <v>285.83398368415976</v>
      </c>
      <c r="N31" s="25">
        <v>11.028080155814289</v>
      </c>
      <c r="O31" s="25">
        <v>1.3513649756152128</v>
      </c>
      <c r="P31" s="25">
        <v>11.481965066808659</v>
      </c>
      <c r="Q31" s="25">
        <v>44.242044331893702</v>
      </c>
      <c r="R31" s="25">
        <v>15.518909476881802</v>
      </c>
      <c r="S31" s="25">
        <v>7.8798413056405519</v>
      </c>
      <c r="T31" s="25">
        <v>21.626560099752098</v>
      </c>
      <c r="U31" s="25">
        <v>2.9720982687295496</v>
      </c>
      <c r="V31" s="25">
        <v>12.242890835212263</v>
      </c>
      <c r="W31" s="25">
        <v>0.31444667494117745</v>
      </c>
      <c r="X31" s="25">
        <v>2.0529487493655307E-2</v>
      </c>
      <c r="Y31" s="25">
        <v>7.4184148620428205</v>
      </c>
      <c r="Z31" s="25">
        <v>150.798997275326</v>
      </c>
      <c r="AA31" s="25">
        <v>375.00097328736553</v>
      </c>
      <c r="AB31" s="25">
        <v>53.960868440938519</v>
      </c>
      <c r="AC31" s="25">
        <v>3129.9100339540382</v>
      </c>
      <c r="AD31" s="25">
        <v>38.414583241951156</v>
      </c>
      <c r="AE31" s="25">
        <v>12.782497171358527</v>
      </c>
      <c r="AF31" s="25">
        <v>12.930878239459119</v>
      </c>
      <c r="AG31" s="25">
        <v>7.8937147128118461</v>
      </c>
      <c r="AH31" s="25">
        <v>12.581001969579674</v>
      </c>
      <c r="AI31" s="25">
        <v>7.0458294774843608</v>
      </c>
      <c r="AJ31" s="25">
        <v>9.0717900704220966</v>
      </c>
      <c r="AK31" s="25">
        <v>23.978799357804675</v>
      </c>
      <c r="AL31" s="25">
        <v>21.038799059598425</v>
      </c>
      <c r="AM31" s="25">
        <v>8.1781439128328994</v>
      </c>
      <c r="AN31" s="25">
        <v>2.5045048600577866</v>
      </c>
      <c r="AO31" s="25">
        <v>38.129607978566824</v>
      </c>
      <c r="AP31" s="25">
        <v>10.456296298511003</v>
      </c>
      <c r="AQ31" s="25">
        <v>7.1915975681491329</v>
      </c>
      <c r="AR31" s="25">
        <v>1.1747539962162112</v>
      </c>
      <c r="AS31" s="25">
        <v>0.84166739997684148</v>
      </c>
      <c r="AT31" s="25">
        <v>0.57083643574971177</v>
      </c>
      <c r="AU31" s="25">
        <v>6.7002783705652291</v>
      </c>
      <c r="AV31" s="25">
        <v>38.494486556234271</v>
      </c>
      <c r="AW31" s="25">
        <v>11.011734927339187</v>
      </c>
      <c r="AX31" s="25">
        <v>350.93073802352893</v>
      </c>
      <c r="AY31" s="40">
        <v>15.00196454727465</v>
      </c>
      <c r="AZ31" s="25">
        <v>3.1854828487345221</v>
      </c>
      <c r="BA31" s="25">
        <v>0.89327323344411003</v>
      </c>
      <c r="BB31" s="25">
        <v>12.376354879591545</v>
      </c>
      <c r="BC31" s="25">
        <v>5.1967772626154582</v>
      </c>
      <c r="BD31" s="25">
        <v>57.999276105995435</v>
      </c>
      <c r="BE31" s="25">
        <v>1.0528672043195852</v>
      </c>
      <c r="BF31" s="25">
        <v>3.3242458189919772</v>
      </c>
      <c r="BG31" s="25">
        <v>8.6575109527345422</v>
      </c>
      <c r="BH31" s="25">
        <v>9.9219241877981155</v>
      </c>
      <c r="BI31" s="25">
        <v>18.970806213526092</v>
      </c>
      <c r="BJ31" s="25">
        <v>10.232229131918936</v>
      </c>
      <c r="BK31" s="25">
        <v>22.657946560890359</v>
      </c>
      <c r="BL31" s="25">
        <v>38.805067212527774</v>
      </c>
      <c r="BM31" s="25">
        <v>45.310747131768821</v>
      </c>
      <c r="BN31" s="25">
        <v>20.785824100399655</v>
      </c>
      <c r="BO31" s="25">
        <v>42.917218660616193</v>
      </c>
      <c r="BP31" s="25">
        <v>1.2398895556709761</v>
      </c>
      <c r="BQ31" s="25">
        <v>372.68888795564266</v>
      </c>
      <c r="BR31" s="25">
        <v>319.37331384252718</v>
      </c>
      <c r="BS31" s="25">
        <v>159.336749704027</v>
      </c>
      <c r="BT31" s="25">
        <v>3521.2986065344753</v>
      </c>
      <c r="BU31" s="25">
        <v>8425.784091602638</v>
      </c>
      <c r="BV31" s="25">
        <v>17.09677444069024</v>
      </c>
      <c r="BW31" s="25">
        <v>404.31235908193423</v>
      </c>
      <c r="BX31" s="25">
        <v>0</v>
      </c>
      <c r="BY31" s="25">
        <v>21079.533789824818</v>
      </c>
      <c r="BZ31" s="25">
        <v>3220.0470717150952</v>
      </c>
      <c r="CA31" s="25">
        <v>5793.2843616481869</v>
      </c>
      <c r="CB31" s="25">
        <v>0</v>
      </c>
      <c r="CC31" s="25">
        <v>40030.055492508189</v>
      </c>
      <c r="CD31" s="25">
        <v>1351.8377898639048</v>
      </c>
      <c r="CE31" s="25">
        <v>4769.2414944475986</v>
      </c>
      <c r="CF31" s="25">
        <v>55164.466210182982</v>
      </c>
      <c r="CG31" s="25">
        <v>76244</v>
      </c>
      <c r="CH31"/>
      <c r="CI31">
        <f t="shared" si="0"/>
        <v>0.72352534245557665</v>
      </c>
      <c r="CJ31"/>
      <c r="CK31"/>
      <c r="CL31"/>
      <c r="CM31"/>
      <c r="CN31"/>
      <c r="CO31"/>
      <c r="CP31"/>
      <c r="CQ31"/>
      <c r="CR31"/>
      <c r="CS31"/>
      <c r="CT31"/>
      <c r="CU31"/>
    </row>
    <row r="32" spans="1:99" s="5" customFormat="1" x14ac:dyDescent="0.3">
      <c r="A32" s="35" t="s">
        <v>36</v>
      </c>
      <c r="B32" s="11" t="s">
        <v>110</v>
      </c>
      <c r="C32" s="5">
        <v>27</v>
      </c>
      <c r="D32" s="25">
        <v>698.19120611355686</v>
      </c>
      <c r="E32" s="25">
        <v>235.00732894487612</v>
      </c>
      <c r="F32" s="25">
        <v>46.570392897485277</v>
      </c>
      <c r="G32" s="25">
        <v>145.47520267504802</v>
      </c>
      <c r="H32" s="25">
        <v>191.68712516730781</v>
      </c>
      <c r="I32" s="25">
        <v>734.8401183638382</v>
      </c>
      <c r="J32" s="25">
        <v>72.852895045306624</v>
      </c>
      <c r="K32" s="25">
        <v>2835.2781442329774</v>
      </c>
      <c r="L32" s="25">
        <v>123.23956835726558</v>
      </c>
      <c r="M32" s="25">
        <v>8166.6726624034654</v>
      </c>
      <c r="N32" s="25">
        <v>2823.5616616332836</v>
      </c>
      <c r="O32" s="25">
        <v>5.829172542163934</v>
      </c>
      <c r="P32" s="25">
        <v>242.18885067809185</v>
      </c>
      <c r="Q32" s="25">
        <v>198.43575550260184</v>
      </c>
      <c r="R32" s="25">
        <v>712.23020966267848</v>
      </c>
      <c r="S32" s="25">
        <v>266.74123173073173</v>
      </c>
      <c r="T32" s="25">
        <v>738.6273624387095</v>
      </c>
      <c r="U32" s="25">
        <v>733.41383985966013</v>
      </c>
      <c r="V32" s="25">
        <v>110.29826111510954</v>
      </c>
      <c r="W32" s="25">
        <v>2.8397278939999633</v>
      </c>
      <c r="X32" s="25">
        <v>0.45112675088901755</v>
      </c>
      <c r="Y32" s="25">
        <v>43.249097984475434</v>
      </c>
      <c r="Z32" s="25">
        <v>1403.928516481019</v>
      </c>
      <c r="AA32" s="25">
        <v>719.21446758915226</v>
      </c>
      <c r="AB32" s="25">
        <v>1682.385729724693</v>
      </c>
      <c r="AC32" s="25">
        <v>463.56477141687969</v>
      </c>
      <c r="AD32" s="25">
        <v>14371.991843298307</v>
      </c>
      <c r="AE32" s="25">
        <v>1850.3009085535984</v>
      </c>
      <c r="AF32" s="25">
        <v>520.8080440186443</v>
      </c>
      <c r="AG32" s="25">
        <v>57.315708493171336</v>
      </c>
      <c r="AH32" s="25">
        <v>828.61201432061296</v>
      </c>
      <c r="AI32" s="25">
        <v>912.98050464519679</v>
      </c>
      <c r="AJ32" s="25">
        <v>1826.2680802120797</v>
      </c>
      <c r="AK32" s="25">
        <v>2015.725779141412</v>
      </c>
      <c r="AL32" s="25">
        <v>8176.9329043593352</v>
      </c>
      <c r="AM32" s="25">
        <v>3620.2689161006506</v>
      </c>
      <c r="AN32" s="25">
        <v>922.26891684546194</v>
      </c>
      <c r="AO32" s="25">
        <v>2285.0354996915526</v>
      </c>
      <c r="AP32" s="25">
        <v>1454.4904347081451</v>
      </c>
      <c r="AQ32" s="25">
        <v>257.62247831813414</v>
      </c>
      <c r="AR32" s="25">
        <v>42.082865879443538</v>
      </c>
      <c r="AS32" s="25">
        <v>30.150802995699234</v>
      </c>
      <c r="AT32" s="25">
        <v>7.1900259126368766</v>
      </c>
      <c r="AU32" s="25">
        <v>429.33990256957657</v>
      </c>
      <c r="AV32" s="25">
        <v>12177.286383342467</v>
      </c>
      <c r="AW32" s="25">
        <v>1941.0435905118864</v>
      </c>
      <c r="AX32" s="25">
        <v>6198.7944490538466</v>
      </c>
      <c r="AY32" s="40">
        <v>5894.515874999357</v>
      </c>
      <c r="AZ32" s="25">
        <v>4.6589395894430004</v>
      </c>
      <c r="BA32" s="25">
        <v>696.32353467204223</v>
      </c>
      <c r="BB32" s="25">
        <v>156.37460688129173</v>
      </c>
      <c r="BC32" s="25">
        <v>35.118482091435013</v>
      </c>
      <c r="BD32" s="25">
        <v>615.7715407016625</v>
      </c>
      <c r="BE32" s="25">
        <v>13.98893549175458</v>
      </c>
      <c r="BF32" s="25">
        <v>9.2621639740128554</v>
      </c>
      <c r="BG32" s="25">
        <v>34.376200596067932</v>
      </c>
      <c r="BH32" s="25">
        <v>32.765046656742619</v>
      </c>
      <c r="BI32" s="25">
        <v>107.3241552362624</v>
      </c>
      <c r="BJ32" s="25">
        <v>147.82293033399088</v>
      </c>
      <c r="BK32" s="25">
        <v>554.69942201469837</v>
      </c>
      <c r="BL32" s="25">
        <v>36.239847887767361</v>
      </c>
      <c r="BM32" s="25">
        <v>32.213399284135718</v>
      </c>
      <c r="BN32" s="25">
        <v>323.86813982315834</v>
      </c>
      <c r="BO32" s="25">
        <v>604.7309315345027</v>
      </c>
      <c r="BP32" s="25">
        <v>4.7775075772886808</v>
      </c>
      <c r="BQ32" s="25">
        <v>220.0332257609727</v>
      </c>
      <c r="BR32" s="25">
        <v>214.32989186945926</v>
      </c>
      <c r="BS32" s="25">
        <v>57.369330350965733</v>
      </c>
      <c r="BT32" s="25">
        <v>570.95267173392745</v>
      </c>
      <c r="BU32" s="25">
        <v>669.58857904486888</v>
      </c>
      <c r="BV32" s="25">
        <v>45.98435367952267</v>
      </c>
      <c r="BW32" s="25">
        <v>182.77788191994347</v>
      </c>
      <c r="BX32" s="25">
        <v>0</v>
      </c>
      <c r="BY32" s="25">
        <v>94589.152073882418</v>
      </c>
      <c r="BZ32" s="25">
        <v>9260.7613637163904</v>
      </c>
      <c r="CA32" s="25">
        <v>2.8306752376408211</v>
      </c>
      <c r="CB32" s="25">
        <v>0</v>
      </c>
      <c r="CC32" s="25">
        <v>15552.936104406237</v>
      </c>
      <c r="CD32" s="25">
        <v>1309.9414793030776</v>
      </c>
      <c r="CE32" s="25">
        <v>501.37830351136915</v>
      </c>
      <c r="CF32" s="25">
        <v>26627.847926174709</v>
      </c>
      <c r="CG32" s="25">
        <v>121217</v>
      </c>
      <c r="CH32"/>
      <c r="CI32">
        <f t="shared" si="0"/>
        <v>0.21967090363706995</v>
      </c>
      <c r="CJ32"/>
      <c r="CK32"/>
      <c r="CL32"/>
      <c r="CM32"/>
      <c r="CN32"/>
      <c r="CO32"/>
      <c r="CP32"/>
      <c r="CQ32"/>
      <c r="CR32"/>
      <c r="CS32"/>
      <c r="CT32"/>
      <c r="CU32"/>
    </row>
    <row r="33" spans="1:99" s="5" customFormat="1" x14ac:dyDescent="0.3">
      <c r="A33" s="35" t="s">
        <v>37</v>
      </c>
      <c r="B33" s="11" t="s">
        <v>111</v>
      </c>
      <c r="C33" s="5">
        <v>28</v>
      </c>
      <c r="D33" s="25">
        <v>3226.6687640198024</v>
      </c>
      <c r="E33" s="25">
        <v>1972.1846466853069</v>
      </c>
      <c r="F33" s="25">
        <v>72.877293509869219</v>
      </c>
      <c r="G33" s="25">
        <v>80.016722424721706</v>
      </c>
      <c r="H33" s="25">
        <v>109.45919841985923</v>
      </c>
      <c r="I33" s="25">
        <v>21.621880852486001</v>
      </c>
      <c r="J33" s="25">
        <v>13.352698780297077</v>
      </c>
      <c r="K33" s="25">
        <v>52.312554887290922</v>
      </c>
      <c r="L33" s="25">
        <v>88.041649780684097</v>
      </c>
      <c r="M33" s="25">
        <v>1536.0830523442648</v>
      </c>
      <c r="N33" s="25">
        <v>1582.2384854228314</v>
      </c>
      <c r="O33" s="25">
        <v>1.8768220231117665</v>
      </c>
      <c r="P33" s="25">
        <v>19.839803647830244</v>
      </c>
      <c r="Q33" s="25">
        <v>18.911342306526265</v>
      </c>
      <c r="R33" s="25">
        <v>14.029681776340363</v>
      </c>
      <c r="S33" s="25">
        <v>17.490177036427415</v>
      </c>
      <c r="T33" s="25">
        <v>282.77739773770696</v>
      </c>
      <c r="U33" s="25">
        <v>18.736911839665925</v>
      </c>
      <c r="V33" s="25">
        <v>26.429532859749521</v>
      </c>
      <c r="W33" s="25">
        <v>0.67964277464125677</v>
      </c>
      <c r="X33" s="25">
        <v>0.13850613215398211</v>
      </c>
      <c r="Y33" s="25">
        <v>16.320967501032175</v>
      </c>
      <c r="Z33" s="25">
        <v>717.09186867233325</v>
      </c>
      <c r="AA33" s="25">
        <v>233.06966703324008</v>
      </c>
      <c r="AB33" s="25">
        <v>355.94990063936473</v>
      </c>
      <c r="AC33" s="25">
        <v>84.726938422113179</v>
      </c>
      <c r="AD33" s="25">
        <v>536.72902195180097</v>
      </c>
      <c r="AE33" s="25">
        <v>6686.5697862867073</v>
      </c>
      <c r="AF33" s="25">
        <v>367.26831486127037</v>
      </c>
      <c r="AG33" s="25">
        <v>31.73029883522404</v>
      </c>
      <c r="AH33" s="25">
        <v>183.79941086548772</v>
      </c>
      <c r="AI33" s="25">
        <v>22.689635819994468</v>
      </c>
      <c r="AJ33" s="25">
        <v>295.70222707877946</v>
      </c>
      <c r="AK33" s="25">
        <v>261.0159851513319</v>
      </c>
      <c r="AL33" s="25">
        <v>1978.3926141810778</v>
      </c>
      <c r="AM33" s="25">
        <v>128.52289427386165</v>
      </c>
      <c r="AN33" s="25">
        <v>154.58344410879093</v>
      </c>
      <c r="AO33" s="25">
        <v>460.50864961272919</v>
      </c>
      <c r="AP33" s="25">
        <v>243.22035988888976</v>
      </c>
      <c r="AQ33" s="25">
        <v>1495.2882188879971</v>
      </c>
      <c r="AR33" s="25">
        <v>167.56233981372128</v>
      </c>
      <c r="AS33" s="25">
        <v>117.65398097427043</v>
      </c>
      <c r="AT33" s="25">
        <v>35.35863036801409</v>
      </c>
      <c r="AU33" s="25">
        <v>852.51409957975102</v>
      </c>
      <c r="AV33" s="25">
        <v>42784.119505397124</v>
      </c>
      <c r="AW33" s="25">
        <v>251.57376722144124</v>
      </c>
      <c r="AX33" s="25">
        <v>339.43383395070703</v>
      </c>
      <c r="AY33" s="40">
        <v>33.648526235011985</v>
      </c>
      <c r="AZ33" s="25">
        <v>1.0867094734381257</v>
      </c>
      <c r="BA33" s="25">
        <v>1.2122493018562257</v>
      </c>
      <c r="BB33" s="25">
        <v>29.991674658193084</v>
      </c>
      <c r="BC33" s="25">
        <v>193.48775210266331</v>
      </c>
      <c r="BD33" s="25">
        <v>697.94863584780944</v>
      </c>
      <c r="BE33" s="25">
        <v>4.4716513566204199</v>
      </c>
      <c r="BF33" s="25">
        <v>6.4131467835155966</v>
      </c>
      <c r="BG33" s="25">
        <v>18.124562629642888</v>
      </c>
      <c r="BH33" s="25">
        <v>15.212772014869019</v>
      </c>
      <c r="BI33" s="25">
        <v>38.445138389401741</v>
      </c>
      <c r="BJ33" s="25">
        <v>2315.1624154053834</v>
      </c>
      <c r="BK33" s="25">
        <v>40.037059494106373</v>
      </c>
      <c r="BL33" s="25">
        <v>19.614387119363023</v>
      </c>
      <c r="BM33" s="25">
        <v>10.094006645153572</v>
      </c>
      <c r="BN33" s="25">
        <v>9.9452630649684899</v>
      </c>
      <c r="BO33" s="25">
        <v>141.16937517254061</v>
      </c>
      <c r="BP33" s="25">
        <v>2.0603812178307388</v>
      </c>
      <c r="BQ33" s="25">
        <v>393.17710528430001</v>
      </c>
      <c r="BR33" s="25">
        <v>139.31583223193502</v>
      </c>
      <c r="BS33" s="25">
        <v>33.413336488114204</v>
      </c>
      <c r="BT33" s="25">
        <v>156.09208961815213</v>
      </c>
      <c r="BU33" s="25">
        <v>169.65803116002317</v>
      </c>
      <c r="BV33" s="25">
        <v>26.101550976804859</v>
      </c>
      <c r="BW33" s="25">
        <v>262.04607157909732</v>
      </c>
      <c r="BX33" s="25">
        <v>0</v>
      </c>
      <c r="BY33" s="25">
        <v>72715.092850889429</v>
      </c>
      <c r="BZ33" s="25">
        <v>6379.5178163791115</v>
      </c>
      <c r="CA33" s="25">
        <v>20.93134617736758</v>
      </c>
      <c r="CB33" s="25">
        <v>0</v>
      </c>
      <c r="CC33" s="25">
        <v>3801.7963606619746</v>
      </c>
      <c r="CD33" s="25">
        <v>838.13624005501333</v>
      </c>
      <c r="CE33" s="25">
        <v>132.49279340700829</v>
      </c>
      <c r="CF33" s="25">
        <v>11172.874556680477</v>
      </c>
      <c r="CG33" s="25">
        <v>83888</v>
      </c>
      <c r="CH33"/>
      <c r="CI33">
        <f t="shared" si="0"/>
        <v>0.13318799538289716</v>
      </c>
      <c r="CJ33"/>
      <c r="CK33"/>
      <c r="CL33"/>
      <c r="CM33"/>
      <c r="CN33"/>
      <c r="CO33"/>
      <c r="CP33"/>
      <c r="CQ33"/>
      <c r="CR33"/>
      <c r="CS33"/>
      <c r="CT33"/>
      <c r="CU33"/>
    </row>
    <row r="34" spans="1:99" s="5" customFormat="1" x14ac:dyDescent="0.3">
      <c r="A34" s="35" t="s">
        <v>38</v>
      </c>
      <c r="B34" s="11" t="s">
        <v>112</v>
      </c>
      <c r="C34" s="5">
        <v>29</v>
      </c>
      <c r="D34" s="25">
        <v>262.77487490120808</v>
      </c>
      <c r="E34" s="25">
        <v>389.14382094835344</v>
      </c>
      <c r="F34" s="25">
        <v>24.861677123088111</v>
      </c>
      <c r="G34" s="25">
        <v>113.51703967096056</v>
      </c>
      <c r="H34" s="25">
        <v>3616.2850138062472</v>
      </c>
      <c r="I34" s="25">
        <v>64.496318466896241</v>
      </c>
      <c r="J34" s="25">
        <v>85.483991748870636</v>
      </c>
      <c r="K34" s="25">
        <v>355.10058144947982</v>
      </c>
      <c r="L34" s="25">
        <v>4.7280076742069888</v>
      </c>
      <c r="M34" s="25">
        <v>200.57533441688471</v>
      </c>
      <c r="N34" s="25">
        <v>156.43377122094105</v>
      </c>
      <c r="O34" s="25">
        <v>1.2409764476693355</v>
      </c>
      <c r="P34" s="25">
        <v>30.136722312705164</v>
      </c>
      <c r="Q34" s="25">
        <v>8.0622740441151652</v>
      </c>
      <c r="R34" s="25">
        <v>13.431865682368388</v>
      </c>
      <c r="S34" s="25">
        <v>33.806226133621998</v>
      </c>
      <c r="T34" s="25">
        <v>236.38040773334802</v>
      </c>
      <c r="U34" s="25">
        <v>6.9742808921860036</v>
      </c>
      <c r="V34" s="25">
        <v>66.478280704690562</v>
      </c>
      <c r="W34" s="25">
        <v>1.7183629213929548</v>
      </c>
      <c r="X34" s="25">
        <v>1.1909279822380454</v>
      </c>
      <c r="Y34" s="25">
        <v>7.4335377451803559</v>
      </c>
      <c r="Z34" s="25">
        <v>143.92891343511951</v>
      </c>
      <c r="AA34" s="25">
        <v>90.576787952850779</v>
      </c>
      <c r="AB34" s="25">
        <v>67.684946322771268</v>
      </c>
      <c r="AC34" s="25">
        <v>24.284205695667726</v>
      </c>
      <c r="AD34" s="25">
        <v>1085.0757056905613</v>
      </c>
      <c r="AE34" s="25">
        <v>918.01495045593583</v>
      </c>
      <c r="AF34" s="25">
        <v>14070.167484113746</v>
      </c>
      <c r="AG34" s="25">
        <v>865.5929831333525</v>
      </c>
      <c r="AH34" s="25">
        <v>19426.164634091354</v>
      </c>
      <c r="AI34" s="25">
        <v>103.61819134564952</v>
      </c>
      <c r="AJ34" s="25">
        <v>3103.4381576164037</v>
      </c>
      <c r="AK34" s="25">
        <v>8993.6737730102705</v>
      </c>
      <c r="AL34" s="25">
        <v>6495.5526987204094</v>
      </c>
      <c r="AM34" s="25">
        <v>8849.4907759703383</v>
      </c>
      <c r="AN34" s="25">
        <v>896.68640931363495</v>
      </c>
      <c r="AO34" s="25">
        <v>1379.4853913523034</v>
      </c>
      <c r="AP34" s="25">
        <v>1483.4772812125625</v>
      </c>
      <c r="AQ34" s="25">
        <v>317.09454163488385</v>
      </c>
      <c r="AR34" s="25">
        <v>48.841654763107798</v>
      </c>
      <c r="AS34" s="25">
        <v>34.900789974945432</v>
      </c>
      <c r="AT34" s="25">
        <v>18.590943744459455</v>
      </c>
      <c r="AU34" s="25">
        <v>146.56725510669389</v>
      </c>
      <c r="AV34" s="25">
        <v>14400.858593455139</v>
      </c>
      <c r="AW34" s="25">
        <v>81.855239860334919</v>
      </c>
      <c r="AX34" s="25">
        <v>1901.4122131718241</v>
      </c>
      <c r="AY34" s="40">
        <v>60.413187154614938</v>
      </c>
      <c r="AZ34" s="25">
        <v>1.4900687416786664</v>
      </c>
      <c r="BA34" s="25">
        <v>1.6712751649615303</v>
      </c>
      <c r="BB34" s="25">
        <v>42.736558296703052</v>
      </c>
      <c r="BC34" s="25">
        <v>20.594870079057586</v>
      </c>
      <c r="BD34" s="25">
        <v>158.90557154996668</v>
      </c>
      <c r="BE34" s="25">
        <v>2.3018929355692039</v>
      </c>
      <c r="BF34" s="25">
        <v>6.1660230515715053</v>
      </c>
      <c r="BG34" s="25">
        <v>27.881213618922335</v>
      </c>
      <c r="BH34" s="25">
        <v>50.211721861632164</v>
      </c>
      <c r="BI34" s="25">
        <v>63.325796415418466</v>
      </c>
      <c r="BJ34" s="25">
        <v>69.94535818607865</v>
      </c>
      <c r="BK34" s="25">
        <v>63.394797487021648</v>
      </c>
      <c r="BL34" s="25">
        <v>38.642701920171497</v>
      </c>
      <c r="BM34" s="25">
        <v>13.404671992392238</v>
      </c>
      <c r="BN34" s="25">
        <v>268.2220937387342</v>
      </c>
      <c r="BO34" s="25">
        <v>60.127341360609051</v>
      </c>
      <c r="BP34" s="25">
        <v>6.5359951349295251</v>
      </c>
      <c r="BQ34" s="25">
        <v>225.94611889172501</v>
      </c>
      <c r="BR34" s="25">
        <v>45.68987250199735</v>
      </c>
      <c r="BS34" s="25">
        <v>57.425109941081196</v>
      </c>
      <c r="BT34" s="25">
        <v>23.138290164487152</v>
      </c>
      <c r="BU34" s="25">
        <v>36.675005037113721</v>
      </c>
      <c r="BV34" s="25">
        <v>44.724982916536767</v>
      </c>
      <c r="BW34" s="25">
        <v>49.112857699699489</v>
      </c>
      <c r="BX34" s="25">
        <v>0</v>
      </c>
      <c r="BY34" s="25">
        <v>92065.972191013629</v>
      </c>
      <c r="BZ34" s="25">
        <v>46158.066289483351</v>
      </c>
      <c r="CA34" s="25">
        <v>0.14070934149824033</v>
      </c>
      <c r="CB34" s="25">
        <v>0</v>
      </c>
      <c r="CC34" s="25">
        <v>1916.0339776157098</v>
      </c>
      <c r="CD34" s="25">
        <v>796.3263504396059</v>
      </c>
      <c r="CE34" s="25">
        <v>9128.4929998032985</v>
      </c>
      <c r="CF34" s="25">
        <v>57999.060326683466</v>
      </c>
      <c r="CG34" s="25">
        <v>150065</v>
      </c>
      <c r="CH34"/>
      <c r="CI34">
        <f t="shared" si="0"/>
        <v>0.38649292191172802</v>
      </c>
      <c r="CJ34"/>
      <c r="CK34"/>
      <c r="CL34"/>
      <c r="CM34"/>
      <c r="CN34"/>
      <c r="CO34"/>
      <c r="CP34"/>
      <c r="CQ34"/>
      <c r="CR34"/>
      <c r="CS34"/>
      <c r="CT34"/>
      <c r="CU34"/>
    </row>
    <row r="35" spans="1:99" s="5" customFormat="1" x14ac:dyDescent="0.3">
      <c r="A35" s="35" t="s">
        <v>39</v>
      </c>
      <c r="B35" s="13" t="s">
        <v>113</v>
      </c>
      <c r="C35" s="5">
        <v>30</v>
      </c>
      <c r="D35" s="25">
        <v>327.99913936802051</v>
      </c>
      <c r="E35" s="25">
        <v>72.250793338860731</v>
      </c>
      <c r="F35" s="25">
        <v>4.8815266886388011</v>
      </c>
      <c r="G35" s="25">
        <v>10.375022654183512</v>
      </c>
      <c r="H35" s="25">
        <v>180.42286532008069</v>
      </c>
      <c r="I35" s="25">
        <v>29.021051387653834</v>
      </c>
      <c r="J35" s="25">
        <v>102.39930347838519</v>
      </c>
      <c r="K35" s="25">
        <v>354.40531758858458</v>
      </c>
      <c r="L35" s="25">
        <v>7.2109333412315229</v>
      </c>
      <c r="M35" s="25">
        <v>602.09009563007453</v>
      </c>
      <c r="N35" s="25">
        <v>32.250182638806891</v>
      </c>
      <c r="O35" s="25">
        <v>1.249238110229435</v>
      </c>
      <c r="P35" s="25">
        <v>17.706035821288815</v>
      </c>
      <c r="Q35" s="25">
        <v>11.292353214133229</v>
      </c>
      <c r="R35" s="25">
        <v>15.895323620406913</v>
      </c>
      <c r="S35" s="25">
        <v>6.2209216869208346</v>
      </c>
      <c r="T35" s="25">
        <v>418.18347196756122</v>
      </c>
      <c r="U35" s="25">
        <v>226.12039413865162</v>
      </c>
      <c r="V35" s="25">
        <v>12.350050514104892</v>
      </c>
      <c r="W35" s="25">
        <v>0.31704527153795725</v>
      </c>
      <c r="X35" s="25">
        <v>1.4715075875442175E-2</v>
      </c>
      <c r="Y35" s="25">
        <v>4.8119872977488161</v>
      </c>
      <c r="Z35" s="25">
        <v>1343.6894181396908</v>
      </c>
      <c r="AA35" s="25">
        <v>360.21696983007155</v>
      </c>
      <c r="AB35" s="25">
        <v>79.745506097122131</v>
      </c>
      <c r="AC35" s="25">
        <v>29.644662270870597</v>
      </c>
      <c r="AD35" s="25">
        <v>126.34320164265912</v>
      </c>
      <c r="AE35" s="25">
        <v>182.45188893447718</v>
      </c>
      <c r="AF35" s="25">
        <v>2111.108676181344</v>
      </c>
      <c r="AG35" s="25">
        <v>11749.075941649333</v>
      </c>
      <c r="AH35" s="25">
        <v>2337.2706167083024</v>
      </c>
      <c r="AI35" s="25">
        <v>167.97259126204719</v>
      </c>
      <c r="AJ35" s="25">
        <v>6409.1056619833316</v>
      </c>
      <c r="AK35" s="25">
        <v>1968.9882410056684</v>
      </c>
      <c r="AL35" s="25">
        <v>757.11977571910666</v>
      </c>
      <c r="AM35" s="25">
        <v>4903.931180969942</v>
      </c>
      <c r="AN35" s="25">
        <v>964.62693919228559</v>
      </c>
      <c r="AO35" s="25">
        <v>2079.0499101657547</v>
      </c>
      <c r="AP35" s="25">
        <v>1657.283728959869</v>
      </c>
      <c r="AQ35" s="25">
        <v>69.002081610024248</v>
      </c>
      <c r="AR35" s="25">
        <v>11.271552718358691</v>
      </c>
      <c r="AS35" s="25">
        <v>8.0756469020062092</v>
      </c>
      <c r="AT35" s="25">
        <v>5.7094104798331182</v>
      </c>
      <c r="AU35" s="25">
        <v>151.00308742831047</v>
      </c>
      <c r="AV35" s="25">
        <v>2671.7048955719752</v>
      </c>
      <c r="AW35" s="25">
        <v>671.10615408548813</v>
      </c>
      <c r="AX35" s="25">
        <v>636.6349535863468</v>
      </c>
      <c r="AY35" s="40">
        <v>91.163800065008417</v>
      </c>
      <c r="AZ35" s="25">
        <v>1.8181176656353912</v>
      </c>
      <c r="BA35" s="25">
        <v>1.8591240708545662</v>
      </c>
      <c r="BB35" s="25">
        <v>42.485350775409039</v>
      </c>
      <c r="BC35" s="25">
        <v>18.822651646658375</v>
      </c>
      <c r="BD35" s="25">
        <v>102.32219762667414</v>
      </c>
      <c r="BE35" s="25">
        <v>3.0964801188327877</v>
      </c>
      <c r="BF35" s="25">
        <v>7.3669021801213646</v>
      </c>
      <c r="BG35" s="25">
        <v>35.696866995587122</v>
      </c>
      <c r="BH35" s="25">
        <v>27.292073316278188</v>
      </c>
      <c r="BI35" s="25">
        <v>75.757469827224114</v>
      </c>
      <c r="BJ35" s="25">
        <v>78.546779463190731</v>
      </c>
      <c r="BK35" s="25">
        <v>77.794108543142215</v>
      </c>
      <c r="BL35" s="25">
        <v>15.782527297828176</v>
      </c>
      <c r="BM35" s="25">
        <v>17.582062203019539</v>
      </c>
      <c r="BN35" s="25">
        <v>18.870314441633383</v>
      </c>
      <c r="BO35" s="25">
        <v>61.924189362876774</v>
      </c>
      <c r="BP35" s="25">
        <v>4.3873217304488907</v>
      </c>
      <c r="BQ35" s="25">
        <v>65.879991597722096</v>
      </c>
      <c r="BR35" s="25">
        <v>18.172085755498685</v>
      </c>
      <c r="BS35" s="25">
        <v>68.052447976203183</v>
      </c>
      <c r="BT35" s="25">
        <v>29.028014235441432</v>
      </c>
      <c r="BU35" s="25">
        <v>117.57291313680243</v>
      </c>
      <c r="BV35" s="25">
        <v>53.270977373438818</v>
      </c>
      <c r="BW35" s="25">
        <v>82.363751686010772</v>
      </c>
      <c r="BX35" s="25">
        <v>0</v>
      </c>
      <c r="BY35" s="25">
        <v>45006.508980338731</v>
      </c>
      <c r="BZ35" s="25">
        <v>24409.736203094599</v>
      </c>
      <c r="CA35" s="25">
        <v>0.72163790854097531</v>
      </c>
      <c r="CB35" s="25">
        <v>0</v>
      </c>
      <c r="CC35" s="25">
        <v>2076.5017925826296</v>
      </c>
      <c r="CD35" s="25">
        <v>474.42621675924852</v>
      </c>
      <c r="CE35" s="25">
        <v>1180.1051693774962</v>
      </c>
      <c r="CF35" s="25">
        <v>28141.491019722518</v>
      </c>
      <c r="CG35" s="25">
        <v>73148</v>
      </c>
      <c r="CH35"/>
      <c r="CI35">
        <f t="shared" si="0"/>
        <v>0.38471989691751679</v>
      </c>
      <c r="CJ35"/>
      <c r="CK35"/>
      <c r="CL35"/>
      <c r="CM35"/>
      <c r="CN35"/>
      <c r="CO35"/>
      <c r="CP35"/>
      <c r="CQ35"/>
      <c r="CR35"/>
      <c r="CS35"/>
      <c r="CT35"/>
      <c r="CU35"/>
    </row>
    <row r="36" spans="1:99" s="5" customFormat="1" x14ac:dyDescent="0.3">
      <c r="A36" s="35" t="s">
        <v>40</v>
      </c>
      <c r="B36" s="11" t="s">
        <v>114</v>
      </c>
      <c r="C36" s="5">
        <v>31</v>
      </c>
      <c r="D36" s="25">
        <v>499.03628505811298</v>
      </c>
      <c r="E36" s="25">
        <v>637.12694209635652</v>
      </c>
      <c r="F36" s="25">
        <v>57.088750630363855</v>
      </c>
      <c r="G36" s="25">
        <v>52.952040829475806</v>
      </c>
      <c r="H36" s="25">
        <v>1814.6536215008716</v>
      </c>
      <c r="I36" s="25">
        <v>970.82498575716988</v>
      </c>
      <c r="J36" s="25">
        <v>218.88176946240205</v>
      </c>
      <c r="K36" s="25">
        <v>2499.7225235243782</v>
      </c>
      <c r="L36" s="25">
        <v>62.75998562979516</v>
      </c>
      <c r="M36" s="25">
        <v>2501.0728529116341</v>
      </c>
      <c r="N36" s="25">
        <v>3555.6146147296681</v>
      </c>
      <c r="O36" s="25">
        <v>16.308338771807708</v>
      </c>
      <c r="P36" s="25">
        <v>79.145719613613068</v>
      </c>
      <c r="Q36" s="25">
        <v>77.703656720160751</v>
      </c>
      <c r="R36" s="25">
        <v>60.610064535476013</v>
      </c>
      <c r="S36" s="25">
        <v>496.23164713675953</v>
      </c>
      <c r="T36" s="25">
        <v>162.77405936276381</v>
      </c>
      <c r="U36" s="25">
        <v>29.804839803181981</v>
      </c>
      <c r="V36" s="25">
        <v>328.88779661054275</v>
      </c>
      <c r="W36" s="25">
        <v>8.4721673703899363</v>
      </c>
      <c r="X36" s="25">
        <v>1.5267308346648152</v>
      </c>
      <c r="Y36" s="25">
        <v>64.505842004050564</v>
      </c>
      <c r="Z36" s="25">
        <v>525.29841647542776</v>
      </c>
      <c r="AA36" s="25">
        <v>703.8833960647429</v>
      </c>
      <c r="AB36" s="25">
        <v>951.83371164547657</v>
      </c>
      <c r="AC36" s="25">
        <v>152.41254261647069</v>
      </c>
      <c r="AD36" s="25">
        <v>348.73827152680923</v>
      </c>
      <c r="AE36" s="25">
        <v>220.63956139277727</v>
      </c>
      <c r="AF36" s="25">
        <v>2342.1473751097342</v>
      </c>
      <c r="AG36" s="25">
        <v>326.6653644321986</v>
      </c>
      <c r="AH36" s="25">
        <v>7361.8054361951226</v>
      </c>
      <c r="AI36" s="25">
        <v>902.08353170762268</v>
      </c>
      <c r="AJ36" s="25">
        <v>2162.8145510773961</v>
      </c>
      <c r="AK36" s="25">
        <v>4771.1427326245075</v>
      </c>
      <c r="AL36" s="25">
        <v>3775.924864909698</v>
      </c>
      <c r="AM36" s="25">
        <v>2345.50367768453</v>
      </c>
      <c r="AN36" s="25">
        <v>1733.9023951047222</v>
      </c>
      <c r="AO36" s="25">
        <v>1303.9481297997327</v>
      </c>
      <c r="AP36" s="25">
        <v>3247.3970161486754</v>
      </c>
      <c r="AQ36" s="25">
        <v>2060.5089523095462</v>
      </c>
      <c r="AR36" s="25">
        <v>336.58600930139283</v>
      </c>
      <c r="AS36" s="25">
        <v>241.15131527941159</v>
      </c>
      <c r="AT36" s="25">
        <v>97.752219723145572</v>
      </c>
      <c r="AU36" s="25">
        <v>490.86422926250992</v>
      </c>
      <c r="AV36" s="25">
        <v>19392.368145482073</v>
      </c>
      <c r="AW36" s="25">
        <v>394.15467546623591</v>
      </c>
      <c r="AX36" s="25">
        <v>1607.2339617656201</v>
      </c>
      <c r="AY36" s="40">
        <v>165.62452290215185</v>
      </c>
      <c r="AZ36" s="25">
        <v>11.291258408826058</v>
      </c>
      <c r="BA36" s="25">
        <v>4.9721684573621596</v>
      </c>
      <c r="BB36" s="25">
        <v>39.906178766243947</v>
      </c>
      <c r="BC36" s="25">
        <v>145.16607066701616</v>
      </c>
      <c r="BD36" s="25">
        <v>2131.8181059376038</v>
      </c>
      <c r="BE36" s="25">
        <v>3.6640066010629329</v>
      </c>
      <c r="BF36" s="25">
        <v>14.896721986389956</v>
      </c>
      <c r="BG36" s="25">
        <v>37.318672141584791</v>
      </c>
      <c r="BH36" s="25">
        <v>19.608032537303366</v>
      </c>
      <c r="BI36" s="25">
        <v>30.890878483922169</v>
      </c>
      <c r="BJ36" s="25">
        <v>417.59228118910988</v>
      </c>
      <c r="BK36" s="25">
        <v>42.951420057865775</v>
      </c>
      <c r="BL36" s="25">
        <v>29.159298362870132</v>
      </c>
      <c r="BM36" s="25">
        <v>9.5612587580921069</v>
      </c>
      <c r="BN36" s="25">
        <v>20.303370527721775</v>
      </c>
      <c r="BO36" s="25">
        <v>345.61408488534687</v>
      </c>
      <c r="BP36" s="25">
        <v>82.701262208247783</v>
      </c>
      <c r="BQ36" s="25">
        <v>962.37641768483877</v>
      </c>
      <c r="BR36" s="25">
        <v>83.657045495636225</v>
      </c>
      <c r="BS36" s="25">
        <v>24.911509409303836</v>
      </c>
      <c r="BT36" s="25">
        <v>117.28027098763397</v>
      </c>
      <c r="BU36" s="25">
        <v>70.172173948849206</v>
      </c>
      <c r="BV36" s="25">
        <v>22.595159042015471</v>
      </c>
      <c r="BW36" s="25">
        <v>109.12298613270755</v>
      </c>
      <c r="BX36" s="25">
        <v>0</v>
      </c>
      <c r="BY36" s="25">
        <v>76935.620873578911</v>
      </c>
      <c r="BZ36" s="25">
        <v>7329.3582152390518</v>
      </c>
      <c r="CA36" s="25">
        <v>1.2784448741840122</v>
      </c>
      <c r="CB36" s="25">
        <v>0</v>
      </c>
      <c r="CC36" s="25">
        <v>12109.882380664789</v>
      </c>
      <c r="CD36" s="25">
        <v>7061.8193036540324</v>
      </c>
      <c r="CE36" s="25">
        <v>-1483.9592179850076</v>
      </c>
      <c r="CF36" s="25">
        <v>25018.379126447049</v>
      </c>
      <c r="CG36" s="25">
        <v>101954</v>
      </c>
      <c r="CH36"/>
      <c r="CI36">
        <f t="shared" si="0"/>
        <v>0.24538889230875738</v>
      </c>
      <c r="CJ36"/>
      <c r="CK36"/>
      <c r="CL36"/>
      <c r="CM36"/>
      <c r="CN36"/>
      <c r="CO36"/>
      <c r="CP36"/>
      <c r="CQ36"/>
      <c r="CR36"/>
      <c r="CS36"/>
      <c r="CT36"/>
      <c r="CU36"/>
    </row>
    <row r="37" spans="1:99" s="5" customFormat="1" x14ac:dyDescent="0.3">
      <c r="A37" s="35" t="s">
        <v>41</v>
      </c>
      <c r="B37" s="13" t="s">
        <v>115</v>
      </c>
      <c r="C37" s="5">
        <v>32</v>
      </c>
      <c r="D37" s="25">
        <v>12.419133851114781</v>
      </c>
      <c r="E37" s="25">
        <v>8.6898044381552335</v>
      </c>
      <c r="F37" s="25">
        <v>1.193485766770126</v>
      </c>
      <c r="G37" s="25">
        <v>5.3596247328811897</v>
      </c>
      <c r="H37" s="25">
        <v>366.70280766656447</v>
      </c>
      <c r="I37" s="25">
        <v>98.368227072380691</v>
      </c>
      <c r="J37" s="25">
        <v>16.221482210325796</v>
      </c>
      <c r="K37" s="25">
        <v>38.201054868243702</v>
      </c>
      <c r="L37" s="25">
        <v>1.8804611435075813</v>
      </c>
      <c r="M37" s="25">
        <v>35.313877374417935</v>
      </c>
      <c r="N37" s="25">
        <v>13.801931887626946</v>
      </c>
      <c r="O37" s="25">
        <v>1.5691739301562229</v>
      </c>
      <c r="P37" s="25">
        <v>9.1187669154443896</v>
      </c>
      <c r="Q37" s="25">
        <v>13.362504628405015</v>
      </c>
      <c r="R37" s="25">
        <v>9.6102571319475718</v>
      </c>
      <c r="S37" s="25">
        <v>7.0166850551536983</v>
      </c>
      <c r="T37" s="25">
        <v>14.734427884322697</v>
      </c>
      <c r="U37" s="25">
        <v>217.35962171619289</v>
      </c>
      <c r="V37" s="25">
        <v>10.095832255490841</v>
      </c>
      <c r="W37" s="25">
        <v>0.25943691379120065</v>
      </c>
      <c r="X37" s="25">
        <v>2.2207382365984345E-2</v>
      </c>
      <c r="Y37" s="25">
        <v>2.2880449947914063</v>
      </c>
      <c r="Z37" s="25">
        <v>13.940670389707927</v>
      </c>
      <c r="AA37" s="25">
        <v>9.389810474770961</v>
      </c>
      <c r="AB37" s="25">
        <v>8.6718497932143528</v>
      </c>
      <c r="AC37" s="25">
        <v>10.054823041195542</v>
      </c>
      <c r="AD37" s="25">
        <v>30.206007482815028</v>
      </c>
      <c r="AE37" s="25">
        <v>13.468237256816359</v>
      </c>
      <c r="AF37" s="25">
        <v>21.050127137193687</v>
      </c>
      <c r="AG37" s="25">
        <v>13.073065052326756</v>
      </c>
      <c r="AH37" s="25">
        <v>21.162403636587065</v>
      </c>
      <c r="AI37" s="25">
        <v>17405.685058288047</v>
      </c>
      <c r="AJ37" s="25">
        <v>547.87496786344434</v>
      </c>
      <c r="AK37" s="25">
        <v>756.88150604138093</v>
      </c>
      <c r="AL37" s="25">
        <v>323.88078119482907</v>
      </c>
      <c r="AM37" s="25">
        <v>225.81662299211283</v>
      </c>
      <c r="AN37" s="25">
        <v>97.633183718986601</v>
      </c>
      <c r="AO37" s="25">
        <v>79.034593730625289</v>
      </c>
      <c r="AP37" s="25">
        <v>854.92363846403157</v>
      </c>
      <c r="AQ37" s="25">
        <v>234.8485338184515</v>
      </c>
      <c r="AR37" s="25">
        <v>38.362721355631727</v>
      </c>
      <c r="AS37" s="25">
        <v>27.485458269075718</v>
      </c>
      <c r="AT37" s="25">
        <v>41.949119742265481</v>
      </c>
      <c r="AU37" s="25">
        <v>20.914070381251214</v>
      </c>
      <c r="AV37" s="25">
        <v>562.15288096803124</v>
      </c>
      <c r="AW37" s="25">
        <v>43.245687941383004</v>
      </c>
      <c r="AX37" s="25">
        <v>351.46919372388192</v>
      </c>
      <c r="AY37" s="40">
        <v>65.044062061216493</v>
      </c>
      <c r="AZ37" s="25">
        <v>7.1038037479330667</v>
      </c>
      <c r="BA37" s="25">
        <v>7.0741323737925699</v>
      </c>
      <c r="BB37" s="25">
        <v>219.06182080899765</v>
      </c>
      <c r="BC37" s="25">
        <v>4.2994957026716278</v>
      </c>
      <c r="BD37" s="25">
        <v>20.580154453052806</v>
      </c>
      <c r="BE37" s="25">
        <v>3.3640291246609078</v>
      </c>
      <c r="BF37" s="25">
        <v>288.6825985085332</v>
      </c>
      <c r="BG37" s="25">
        <v>289.90217680210674</v>
      </c>
      <c r="BH37" s="25">
        <v>2116.4629209784416</v>
      </c>
      <c r="BI37" s="25">
        <v>378.52008471981327</v>
      </c>
      <c r="BJ37" s="25">
        <v>18.640704685552716</v>
      </c>
      <c r="BK37" s="25">
        <v>386.96176542391458</v>
      </c>
      <c r="BL37" s="25">
        <v>723.15010419488692</v>
      </c>
      <c r="BM37" s="25">
        <v>136.4608649774008</v>
      </c>
      <c r="BN37" s="25">
        <v>50.407471974589576</v>
      </c>
      <c r="BO37" s="25">
        <v>1365.297785232762</v>
      </c>
      <c r="BP37" s="25">
        <v>145.45213225507948</v>
      </c>
      <c r="BQ37" s="25">
        <v>318.43830111754886</v>
      </c>
      <c r="BR37" s="25">
        <v>583.98243536789414</v>
      </c>
      <c r="BS37" s="25">
        <v>135.66739203606176</v>
      </c>
      <c r="BT37" s="25">
        <v>234.52423390824742</v>
      </c>
      <c r="BU37" s="25">
        <v>296.78207143792031</v>
      </c>
      <c r="BV37" s="25">
        <v>68.816515037834662</v>
      </c>
      <c r="BW37" s="25">
        <v>876.65294613592084</v>
      </c>
      <c r="BX37" s="25">
        <v>0</v>
      </c>
      <c r="BY37" s="25">
        <v>31378.09386564494</v>
      </c>
      <c r="BZ37" s="25">
        <v>4359.5439623499396</v>
      </c>
      <c r="CA37" s="25">
        <v>0.84224591553946704</v>
      </c>
      <c r="CB37" s="25">
        <v>0</v>
      </c>
      <c r="CC37" s="25">
        <v>38106.281061939466</v>
      </c>
      <c r="CD37" s="25">
        <v>27834.343811004135</v>
      </c>
      <c r="CE37" s="25">
        <v>1864.8950531489645</v>
      </c>
      <c r="CF37" s="25">
        <v>72165.906134358025</v>
      </c>
      <c r="CG37" s="25">
        <v>103544</v>
      </c>
      <c r="CH37"/>
      <c r="CI37">
        <f t="shared" si="0"/>
        <v>0.69695884005213271</v>
      </c>
      <c r="CJ37"/>
      <c r="CK37"/>
      <c r="CL37"/>
      <c r="CM37"/>
      <c r="CN37"/>
      <c r="CO37"/>
      <c r="CP37"/>
      <c r="CQ37"/>
      <c r="CR37"/>
      <c r="CS37"/>
      <c r="CT37"/>
      <c r="CU37"/>
    </row>
    <row r="38" spans="1:99" s="5" customFormat="1" x14ac:dyDescent="0.3">
      <c r="A38" s="35" t="s">
        <v>42</v>
      </c>
      <c r="B38" s="11" t="s">
        <v>116</v>
      </c>
      <c r="C38" s="5">
        <v>33</v>
      </c>
      <c r="D38" s="25">
        <v>61.471443243496033</v>
      </c>
      <c r="E38" s="25">
        <v>100.9510779909469</v>
      </c>
      <c r="F38" s="25">
        <v>8.5343875154979525</v>
      </c>
      <c r="G38" s="25">
        <v>33.536284585432739</v>
      </c>
      <c r="H38" s="25">
        <v>351.44181560196319</v>
      </c>
      <c r="I38" s="25">
        <v>105.93191251051248</v>
      </c>
      <c r="J38" s="25">
        <v>28.623827608599345</v>
      </c>
      <c r="K38" s="25">
        <v>106.00237764710496</v>
      </c>
      <c r="L38" s="25">
        <v>20.203186585972457</v>
      </c>
      <c r="M38" s="25">
        <v>138.23009502943813</v>
      </c>
      <c r="N38" s="25">
        <v>54.237113790431863</v>
      </c>
      <c r="O38" s="25">
        <v>3.1297543523975815</v>
      </c>
      <c r="P38" s="25">
        <v>41.057799766490078</v>
      </c>
      <c r="Q38" s="25">
        <v>12.68651278034104</v>
      </c>
      <c r="R38" s="25">
        <v>14.12203476557268</v>
      </c>
      <c r="S38" s="25">
        <v>37.24508463607885</v>
      </c>
      <c r="T38" s="25">
        <v>94.046313324054367</v>
      </c>
      <c r="U38" s="25">
        <v>25.089968767362564</v>
      </c>
      <c r="V38" s="25">
        <v>24.563620027522102</v>
      </c>
      <c r="W38" s="25">
        <v>0.63389096304002268</v>
      </c>
      <c r="X38" s="25">
        <v>0.15812753103878166</v>
      </c>
      <c r="Y38" s="25">
        <v>17.644357479480224</v>
      </c>
      <c r="Z38" s="25">
        <v>128.517484352172</v>
      </c>
      <c r="AA38" s="25">
        <v>37.106257302072869</v>
      </c>
      <c r="AB38" s="25">
        <v>27.521789477193956</v>
      </c>
      <c r="AC38" s="25">
        <v>24.029436324972785</v>
      </c>
      <c r="AD38" s="25">
        <v>122.22623729916268</v>
      </c>
      <c r="AE38" s="25">
        <v>144.97496097091033</v>
      </c>
      <c r="AF38" s="25">
        <v>174.91861915213437</v>
      </c>
      <c r="AG38" s="25">
        <v>232.204389607129</v>
      </c>
      <c r="AH38" s="25">
        <v>169.67039921750245</v>
      </c>
      <c r="AI38" s="25">
        <v>1981.3495340623881</v>
      </c>
      <c r="AJ38" s="25">
        <v>7205.7318152088583</v>
      </c>
      <c r="AK38" s="25">
        <v>2445.063188035022</v>
      </c>
      <c r="AL38" s="25">
        <v>1174.943316230971</v>
      </c>
      <c r="AM38" s="25">
        <v>1006.4146357238128</v>
      </c>
      <c r="AN38" s="25">
        <v>328.24985372252911</v>
      </c>
      <c r="AO38" s="25">
        <v>282.22592215397947</v>
      </c>
      <c r="AP38" s="25">
        <v>2468.8556613926908</v>
      </c>
      <c r="AQ38" s="25">
        <v>4211.3386971755426</v>
      </c>
      <c r="AR38" s="25">
        <v>687.92600212197374</v>
      </c>
      <c r="AS38" s="25">
        <v>492.87330917570256</v>
      </c>
      <c r="AT38" s="25">
        <v>799.26302757061512</v>
      </c>
      <c r="AU38" s="25">
        <v>198.71648585839202</v>
      </c>
      <c r="AV38" s="25">
        <v>7560.7586165971779</v>
      </c>
      <c r="AW38" s="25">
        <v>469.43587383769659</v>
      </c>
      <c r="AX38" s="25">
        <v>1152.1672158094475</v>
      </c>
      <c r="AY38" s="40">
        <v>1150.8759877231025</v>
      </c>
      <c r="AZ38" s="25">
        <v>34.987697777754953</v>
      </c>
      <c r="BA38" s="25">
        <v>8.9950211061220422</v>
      </c>
      <c r="BB38" s="25">
        <v>126.21429420642849</v>
      </c>
      <c r="BC38" s="25">
        <v>36.283964031310575</v>
      </c>
      <c r="BD38" s="25">
        <v>80.774348153953326</v>
      </c>
      <c r="BE38" s="25">
        <v>10.321334342613552</v>
      </c>
      <c r="BF38" s="25">
        <v>54.167703651936158</v>
      </c>
      <c r="BG38" s="25">
        <v>627.47281614248459</v>
      </c>
      <c r="BH38" s="25">
        <v>55.847398921744265</v>
      </c>
      <c r="BI38" s="25">
        <v>84.703040578208757</v>
      </c>
      <c r="BJ38" s="25">
        <v>433.5383297501993</v>
      </c>
      <c r="BK38" s="25">
        <v>614.46180476424547</v>
      </c>
      <c r="BL38" s="25">
        <v>70.262747582605186</v>
      </c>
      <c r="BM38" s="25">
        <v>48.605598818059967</v>
      </c>
      <c r="BN38" s="25">
        <v>45.073338130913605</v>
      </c>
      <c r="BO38" s="25">
        <v>663.14429293179364</v>
      </c>
      <c r="BP38" s="25">
        <v>6.2717719731465991</v>
      </c>
      <c r="BQ38" s="25">
        <v>131.14882308832696</v>
      </c>
      <c r="BR38" s="25">
        <v>61.569511472027592</v>
      </c>
      <c r="BS38" s="25">
        <v>29.235817579768533</v>
      </c>
      <c r="BT38" s="25">
        <v>32.201740803634472</v>
      </c>
      <c r="BU38" s="25">
        <v>36.545806143206093</v>
      </c>
      <c r="BV38" s="25">
        <v>79.163102429354211</v>
      </c>
      <c r="BW38" s="25">
        <v>789.54653894132332</v>
      </c>
      <c r="BX38" s="25">
        <v>0</v>
      </c>
      <c r="BY38" s="25">
        <v>40117.436545927085</v>
      </c>
      <c r="BZ38" s="25">
        <v>8160.608236693969</v>
      </c>
      <c r="CA38" s="25">
        <v>1.0854720629864254</v>
      </c>
      <c r="CB38" s="25">
        <v>0</v>
      </c>
      <c r="CC38" s="25">
        <v>18247.815276959202</v>
      </c>
      <c r="CD38" s="25">
        <v>14696.133219116911</v>
      </c>
      <c r="CE38" s="25">
        <v>-1278.0787507290102</v>
      </c>
      <c r="CF38" s="25">
        <v>39827.563454104071</v>
      </c>
      <c r="CG38" s="25">
        <v>79945</v>
      </c>
      <c r="CH38"/>
      <c r="CI38">
        <f t="shared" si="0"/>
        <v>0.49818704677095593</v>
      </c>
      <c r="CJ38"/>
      <c r="CK38"/>
      <c r="CL38"/>
      <c r="CM38"/>
      <c r="CN38"/>
      <c r="CO38"/>
      <c r="CP38"/>
      <c r="CQ38"/>
      <c r="CR38"/>
      <c r="CS38"/>
      <c r="CT38"/>
      <c r="CU38"/>
    </row>
    <row r="39" spans="1:99" s="5" customFormat="1" x14ac:dyDescent="0.3">
      <c r="A39" s="35" t="s">
        <v>43</v>
      </c>
      <c r="B39" s="11" t="s">
        <v>117</v>
      </c>
      <c r="C39" s="5">
        <v>34</v>
      </c>
      <c r="D39" s="25">
        <v>59.522305703606065</v>
      </c>
      <c r="E39" s="25">
        <v>52.217786105288837</v>
      </c>
      <c r="F39" s="25">
        <v>7.7379426650681999</v>
      </c>
      <c r="G39" s="25">
        <v>121.83013377807498</v>
      </c>
      <c r="H39" s="25">
        <v>2981.3187232983764</v>
      </c>
      <c r="I39" s="25">
        <v>3358.5304734187052</v>
      </c>
      <c r="J39" s="25">
        <v>647.24610176666101</v>
      </c>
      <c r="K39" s="25">
        <v>116.75762496976985</v>
      </c>
      <c r="L39" s="25">
        <v>9.5497742493645656</v>
      </c>
      <c r="M39" s="25">
        <v>134.22487336695494</v>
      </c>
      <c r="N39" s="25">
        <v>105.79099949407707</v>
      </c>
      <c r="O39" s="25">
        <v>2.9828610761777705</v>
      </c>
      <c r="P39" s="25">
        <v>20.954038704035376</v>
      </c>
      <c r="Q39" s="25">
        <v>16.0117665591914</v>
      </c>
      <c r="R39" s="25">
        <v>17.830644563412736</v>
      </c>
      <c r="S39" s="25">
        <v>83.835356791768419</v>
      </c>
      <c r="T39" s="25">
        <v>66.499360523187249</v>
      </c>
      <c r="U39" s="25">
        <v>27.971484305499192</v>
      </c>
      <c r="V39" s="25">
        <v>124.42443945135997</v>
      </c>
      <c r="W39" s="25">
        <v>3.2068614775039497</v>
      </c>
      <c r="X39" s="25">
        <v>0.64315817129398389</v>
      </c>
      <c r="Y39" s="25">
        <v>14.664866993787584</v>
      </c>
      <c r="Z39" s="25">
        <v>55.365175312124499</v>
      </c>
      <c r="AA39" s="25">
        <v>42.928805361589461</v>
      </c>
      <c r="AB39" s="25">
        <v>38.4222462567935</v>
      </c>
      <c r="AC39" s="25">
        <v>23.58168466678584</v>
      </c>
      <c r="AD39" s="25">
        <v>146.51909149651729</v>
      </c>
      <c r="AE39" s="25">
        <v>63.810019097951141</v>
      </c>
      <c r="AF39" s="25">
        <v>227.46372146208054</v>
      </c>
      <c r="AG39" s="25">
        <v>109.64969949828244</v>
      </c>
      <c r="AH39" s="25">
        <v>293.6266731396156</v>
      </c>
      <c r="AI39" s="25">
        <v>187.07604213725611</v>
      </c>
      <c r="AJ39" s="25">
        <v>561.552991324191</v>
      </c>
      <c r="AK39" s="25">
        <v>13998.183884661225</v>
      </c>
      <c r="AL39" s="25">
        <v>1347.7857506206824</v>
      </c>
      <c r="AM39" s="25">
        <v>250.3072976290847</v>
      </c>
      <c r="AN39" s="25">
        <v>400.60780466117706</v>
      </c>
      <c r="AO39" s="25">
        <v>86.468517165453292</v>
      </c>
      <c r="AP39" s="25">
        <v>8156.5291072832433</v>
      </c>
      <c r="AQ39" s="25">
        <v>183.8773062557928</v>
      </c>
      <c r="AR39" s="25">
        <v>29.480190946558871</v>
      </c>
      <c r="AS39" s="25">
        <v>21.121456700492327</v>
      </c>
      <c r="AT39" s="25">
        <v>28.673874343909777</v>
      </c>
      <c r="AU39" s="25">
        <v>87.632478652176914</v>
      </c>
      <c r="AV39" s="25">
        <v>3082.2212027772262</v>
      </c>
      <c r="AW39" s="25">
        <v>347.09497939889587</v>
      </c>
      <c r="AX39" s="25">
        <v>492.90872146548861</v>
      </c>
      <c r="AY39" s="40">
        <v>188.18252456487215</v>
      </c>
      <c r="AZ39" s="25">
        <v>114.1317287125715</v>
      </c>
      <c r="BA39" s="25">
        <v>16.756327513669412</v>
      </c>
      <c r="BB39" s="25">
        <v>183.7210541682006</v>
      </c>
      <c r="BC39" s="25">
        <v>10.695788746995476</v>
      </c>
      <c r="BD39" s="25">
        <v>78.820000487197191</v>
      </c>
      <c r="BE39" s="25">
        <v>9.4137410961183203</v>
      </c>
      <c r="BF39" s="25">
        <v>7.8433874607846139</v>
      </c>
      <c r="BG39" s="25">
        <v>56.01575252421209</v>
      </c>
      <c r="BH39" s="25">
        <v>39.266320030685463</v>
      </c>
      <c r="BI39" s="25">
        <v>17.499684418311713</v>
      </c>
      <c r="BJ39" s="25">
        <v>30.905608576877551</v>
      </c>
      <c r="BK39" s="25">
        <v>36.413597653372676</v>
      </c>
      <c r="BL39" s="25">
        <v>40.176682657267463</v>
      </c>
      <c r="BM39" s="25">
        <v>12.242518732631936</v>
      </c>
      <c r="BN39" s="25">
        <v>21.569957732316201</v>
      </c>
      <c r="BO39" s="25">
        <v>1179.0029429730471</v>
      </c>
      <c r="BP39" s="25">
        <v>5.7246072672928889</v>
      </c>
      <c r="BQ39" s="25">
        <v>111.69726973593008</v>
      </c>
      <c r="BR39" s="25">
        <v>25.460223271399052</v>
      </c>
      <c r="BS39" s="25">
        <v>5.0073719347400694</v>
      </c>
      <c r="BT39" s="25">
        <v>117.48267827292875</v>
      </c>
      <c r="BU39" s="25">
        <v>49.931723664466446</v>
      </c>
      <c r="BV39" s="25">
        <v>13.370874267205979</v>
      </c>
      <c r="BW39" s="25">
        <v>42.232026044923728</v>
      </c>
      <c r="BX39" s="25">
        <v>0</v>
      </c>
      <c r="BY39" s="25">
        <v>40650.204692255793</v>
      </c>
      <c r="BZ39" s="25">
        <v>26105.19647079541</v>
      </c>
      <c r="CA39" s="25">
        <v>1.829221439477124</v>
      </c>
      <c r="CB39" s="25">
        <v>0</v>
      </c>
      <c r="CC39" s="25">
        <v>4346.8636411665539</v>
      </c>
      <c r="CD39" s="25">
        <v>59157.235988138818</v>
      </c>
      <c r="CE39" s="25">
        <v>-948.33001378563677</v>
      </c>
      <c r="CF39" s="25">
        <v>88662.795307754626</v>
      </c>
      <c r="CG39" s="25">
        <v>129313</v>
      </c>
      <c r="CH39"/>
      <c r="CI39">
        <f t="shared" si="0"/>
        <v>0.68564487180526801</v>
      </c>
      <c r="CJ39"/>
      <c r="CK39"/>
      <c r="CL39"/>
      <c r="CM39"/>
      <c r="CN39"/>
      <c r="CO39"/>
      <c r="CP39"/>
      <c r="CQ39"/>
      <c r="CR39"/>
      <c r="CS39"/>
      <c r="CT39"/>
      <c r="CU39"/>
    </row>
    <row r="40" spans="1:99" s="5" customFormat="1" x14ac:dyDescent="0.3">
      <c r="A40" s="35" t="s">
        <v>44</v>
      </c>
      <c r="B40" s="11" t="s">
        <v>118</v>
      </c>
      <c r="C40" s="5">
        <v>35</v>
      </c>
      <c r="D40" s="25">
        <v>6.0793326431152925</v>
      </c>
      <c r="E40" s="25">
        <v>4.2341402793009095</v>
      </c>
      <c r="F40" s="25">
        <v>0.45060294483418861</v>
      </c>
      <c r="G40" s="25">
        <v>1.7532064596121533</v>
      </c>
      <c r="H40" s="25">
        <v>22.732493646363995</v>
      </c>
      <c r="I40" s="25">
        <v>35.923445268958368</v>
      </c>
      <c r="J40" s="25">
        <v>4.6230340424648242</v>
      </c>
      <c r="K40" s="25">
        <v>6.0310656150077255</v>
      </c>
      <c r="L40" s="25">
        <v>39.384321213520785</v>
      </c>
      <c r="M40" s="25">
        <v>6.3633747517004942</v>
      </c>
      <c r="N40" s="25">
        <v>7.4156679627781834</v>
      </c>
      <c r="O40" s="25">
        <v>0.4853673891484559</v>
      </c>
      <c r="P40" s="25">
        <v>0.89219765450299382</v>
      </c>
      <c r="Q40" s="25">
        <v>0.72350440715786468</v>
      </c>
      <c r="R40" s="25">
        <v>0.89559605558574462</v>
      </c>
      <c r="S40" s="25">
        <v>1.5390856550522856</v>
      </c>
      <c r="T40" s="25">
        <v>2.2391794342057389</v>
      </c>
      <c r="U40" s="25">
        <v>0.13638293945280502</v>
      </c>
      <c r="V40" s="25">
        <v>0.50357185243508829</v>
      </c>
      <c r="W40" s="25">
        <v>1.295805255644086E-2</v>
      </c>
      <c r="X40" s="25">
        <v>1.7921972661052677E-3</v>
      </c>
      <c r="Y40" s="25">
        <v>0.39143869470761683</v>
      </c>
      <c r="Z40" s="25">
        <v>5.1554650903360315</v>
      </c>
      <c r="AA40" s="25">
        <v>24.655903412295473</v>
      </c>
      <c r="AB40" s="25">
        <v>3.0129772937813186</v>
      </c>
      <c r="AC40" s="25">
        <v>7.0694448061405017</v>
      </c>
      <c r="AD40" s="25">
        <v>6.0070207472078385</v>
      </c>
      <c r="AE40" s="25">
        <v>9.1046686902495484</v>
      </c>
      <c r="AF40" s="25">
        <v>3.6755743774222056</v>
      </c>
      <c r="AG40" s="25">
        <v>5.3585330825795729</v>
      </c>
      <c r="AH40" s="25">
        <v>7.6734366181145788</v>
      </c>
      <c r="AI40" s="25">
        <v>42.135878464386984</v>
      </c>
      <c r="AJ40" s="25">
        <v>130.55867196330829</v>
      </c>
      <c r="AK40" s="25">
        <v>139.03215919780203</v>
      </c>
      <c r="AL40" s="25">
        <v>6401.0291995062835</v>
      </c>
      <c r="AM40" s="25">
        <v>198.18236285527331</v>
      </c>
      <c r="AN40" s="25">
        <v>27.306349159842785</v>
      </c>
      <c r="AO40" s="25">
        <v>6.955028087194794</v>
      </c>
      <c r="AP40" s="25">
        <v>89.22255793834951</v>
      </c>
      <c r="AQ40" s="25">
        <v>86.668171491859326</v>
      </c>
      <c r="AR40" s="25">
        <v>14.15732454993543</v>
      </c>
      <c r="AS40" s="25">
        <v>10.143194730941259</v>
      </c>
      <c r="AT40" s="25">
        <v>15.485616608259518</v>
      </c>
      <c r="AU40" s="25">
        <v>13.526570934637117</v>
      </c>
      <c r="AV40" s="25">
        <v>188.27528297895037</v>
      </c>
      <c r="AW40" s="25">
        <v>532.17208085673667</v>
      </c>
      <c r="AX40" s="25">
        <v>94.656438781178892</v>
      </c>
      <c r="AY40" s="40">
        <v>864.60320895691905</v>
      </c>
      <c r="AZ40" s="25">
        <v>0.83914315631735381</v>
      </c>
      <c r="BA40" s="25">
        <v>8.1858906758950745E-2</v>
      </c>
      <c r="BB40" s="25">
        <v>9.1036561840329675</v>
      </c>
      <c r="BC40" s="25">
        <v>1.6401264875792059</v>
      </c>
      <c r="BD40" s="25">
        <v>8.1053616704011695</v>
      </c>
      <c r="BE40" s="25">
        <v>0.29355293855328496</v>
      </c>
      <c r="BF40" s="25">
        <v>1.8669431820610858</v>
      </c>
      <c r="BG40" s="25">
        <v>15.046584400360741</v>
      </c>
      <c r="BH40" s="25">
        <v>4.206258609986504</v>
      </c>
      <c r="BI40" s="25">
        <v>5.7782215604884071</v>
      </c>
      <c r="BJ40" s="25">
        <v>10.632691936448024</v>
      </c>
      <c r="BK40" s="25">
        <v>14.295464906277772</v>
      </c>
      <c r="BL40" s="25">
        <v>34.022490097580679</v>
      </c>
      <c r="BM40" s="25">
        <v>1.6650914908455441</v>
      </c>
      <c r="BN40" s="25">
        <v>14.797823088620525</v>
      </c>
      <c r="BO40" s="25">
        <v>21.056968342396452</v>
      </c>
      <c r="BP40" s="25">
        <v>2.196008256563204</v>
      </c>
      <c r="BQ40" s="25">
        <v>54.143997285643749</v>
      </c>
      <c r="BR40" s="25">
        <v>8.0172920945857413</v>
      </c>
      <c r="BS40" s="25">
        <v>3.329808523440775</v>
      </c>
      <c r="BT40" s="25">
        <v>14.693655894817354</v>
      </c>
      <c r="BU40" s="25">
        <v>10.723095359283748</v>
      </c>
      <c r="BV40" s="25">
        <v>4.0666521346822817</v>
      </c>
      <c r="BW40" s="25">
        <v>10.757810926212755</v>
      </c>
      <c r="BX40" s="25">
        <v>0</v>
      </c>
      <c r="BY40" s="25">
        <v>9319.9954377736558</v>
      </c>
      <c r="BZ40" s="25">
        <v>31565.598555046839</v>
      </c>
      <c r="CA40" s="25">
        <v>0</v>
      </c>
      <c r="CB40" s="25">
        <v>0</v>
      </c>
      <c r="CC40" s="25">
        <v>74047.929024189856</v>
      </c>
      <c r="CD40" s="25">
        <v>71777.155606281944</v>
      </c>
      <c r="CE40" s="25">
        <v>1204.3213767128063</v>
      </c>
      <c r="CF40" s="25">
        <v>178595.00456223145</v>
      </c>
      <c r="CG40" s="25">
        <v>187915</v>
      </c>
      <c r="CH40"/>
      <c r="CI40">
        <f t="shared" si="0"/>
        <v>0.95040313206626104</v>
      </c>
      <c r="CJ40"/>
      <c r="CK40"/>
      <c r="CL40"/>
      <c r="CM40"/>
      <c r="CN40"/>
      <c r="CO40"/>
      <c r="CP40"/>
      <c r="CQ40"/>
      <c r="CR40"/>
      <c r="CS40"/>
      <c r="CT40"/>
      <c r="CU40"/>
    </row>
    <row r="41" spans="1:99" s="5" customFormat="1" x14ac:dyDescent="0.3">
      <c r="A41" s="35" t="s">
        <v>45</v>
      </c>
      <c r="B41" s="11" t="s">
        <v>119</v>
      </c>
      <c r="C41" s="5">
        <v>36</v>
      </c>
      <c r="D41" s="25">
        <v>23.030769629208717</v>
      </c>
      <c r="E41" s="25">
        <v>21.334763428006642</v>
      </c>
      <c r="F41" s="25">
        <v>1.7539911411837736</v>
      </c>
      <c r="G41" s="25">
        <v>4.3114620373138086</v>
      </c>
      <c r="H41" s="25">
        <v>133.67925358866589</v>
      </c>
      <c r="I41" s="25">
        <v>118.35306042140583</v>
      </c>
      <c r="J41" s="25">
        <v>20.491406594920392</v>
      </c>
      <c r="K41" s="25">
        <v>58.822250853589146</v>
      </c>
      <c r="L41" s="25">
        <v>3.6580655989026454</v>
      </c>
      <c r="M41" s="25">
        <v>77.508676051511131</v>
      </c>
      <c r="N41" s="25">
        <v>78.143529112663003</v>
      </c>
      <c r="O41" s="25">
        <v>0.70233329744813222</v>
      </c>
      <c r="P41" s="25">
        <v>8.1067602183074658</v>
      </c>
      <c r="Q41" s="25">
        <v>3.9768991010187786</v>
      </c>
      <c r="R41" s="25">
        <v>6.6684836628326378</v>
      </c>
      <c r="S41" s="25">
        <v>12.730870567110621</v>
      </c>
      <c r="T41" s="25">
        <v>9.2106179336940119</v>
      </c>
      <c r="U41" s="25">
        <v>7.2701764040418322</v>
      </c>
      <c r="V41" s="25">
        <v>6.7603660837117481</v>
      </c>
      <c r="W41" s="25">
        <v>0.17408278972224633</v>
      </c>
      <c r="X41" s="25">
        <v>2.8862715455859316E-2</v>
      </c>
      <c r="Y41" s="25">
        <v>2.3484311284074915</v>
      </c>
      <c r="Z41" s="25">
        <v>19.637024268064614</v>
      </c>
      <c r="AA41" s="25">
        <v>17.09776631679464</v>
      </c>
      <c r="AB41" s="25">
        <v>24.773852900607473</v>
      </c>
      <c r="AC41" s="25">
        <v>9.820390171430228</v>
      </c>
      <c r="AD41" s="25">
        <v>63.16321689365504</v>
      </c>
      <c r="AE41" s="25">
        <v>25.632333748347094</v>
      </c>
      <c r="AF41" s="25">
        <v>59.722249486700498</v>
      </c>
      <c r="AG41" s="25">
        <v>25.274921115880044</v>
      </c>
      <c r="AH41" s="25">
        <v>160.67153291879316</v>
      </c>
      <c r="AI41" s="25">
        <v>149.98137675042946</v>
      </c>
      <c r="AJ41" s="25">
        <v>285.45643584851399</v>
      </c>
      <c r="AK41" s="25">
        <v>590.95514679980465</v>
      </c>
      <c r="AL41" s="25">
        <v>41768.119698194343</v>
      </c>
      <c r="AM41" s="25">
        <v>11118.72493870409</v>
      </c>
      <c r="AN41" s="25">
        <v>88.067706926733123</v>
      </c>
      <c r="AO41" s="25">
        <v>48.305878453495758</v>
      </c>
      <c r="AP41" s="25">
        <v>391.5589705473754</v>
      </c>
      <c r="AQ41" s="25">
        <v>178.96091064583609</v>
      </c>
      <c r="AR41" s="25">
        <v>29.233427337313508</v>
      </c>
      <c r="AS41" s="25">
        <v>20.944659782949238</v>
      </c>
      <c r="AT41" s="25">
        <v>27.99468308644564</v>
      </c>
      <c r="AU41" s="25">
        <v>22.002569535951483</v>
      </c>
      <c r="AV41" s="25">
        <v>786.42206006416041</v>
      </c>
      <c r="AW41" s="25">
        <v>16757.380610384294</v>
      </c>
      <c r="AX41" s="25">
        <v>271.92690386794874</v>
      </c>
      <c r="AY41" s="40">
        <v>11241.326851182903</v>
      </c>
      <c r="AZ41" s="25">
        <v>4.2981168519444219</v>
      </c>
      <c r="BA41" s="25">
        <v>3.3999873134724803</v>
      </c>
      <c r="BB41" s="25">
        <v>22.831216726047206</v>
      </c>
      <c r="BC41" s="25">
        <v>9.7792439959294306</v>
      </c>
      <c r="BD41" s="25">
        <v>66.440220699295025</v>
      </c>
      <c r="BE41" s="25">
        <v>0.9692352588187495</v>
      </c>
      <c r="BF41" s="25">
        <v>4.7494570258082378</v>
      </c>
      <c r="BG41" s="25">
        <v>32.283956554095894</v>
      </c>
      <c r="BH41" s="25">
        <v>11.675920574090959</v>
      </c>
      <c r="BI41" s="25">
        <v>25.117535659091725</v>
      </c>
      <c r="BJ41" s="25">
        <v>33.107385669635867</v>
      </c>
      <c r="BK41" s="25">
        <v>42.753067014498214</v>
      </c>
      <c r="BL41" s="25">
        <v>61.705269956035742</v>
      </c>
      <c r="BM41" s="25">
        <v>6.1094552845915722</v>
      </c>
      <c r="BN41" s="25">
        <v>178.64411219393531</v>
      </c>
      <c r="BO41" s="25">
        <v>86.122547399955891</v>
      </c>
      <c r="BP41" s="25">
        <v>3.4288450741843426</v>
      </c>
      <c r="BQ41" s="25">
        <v>944.29532162300757</v>
      </c>
      <c r="BR41" s="25">
        <v>245.02647863352792</v>
      </c>
      <c r="BS41" s="25">
        <v>20.880374625890653</v>
      </c>
      <c r="BT41" s="25">
        <v>122.23661869936019</v>
      </c>
      <c r="BU41" s="25">
        <v>19.06369890094042</v>
      </c>
      <c r="BV41" s="25">
        <v>18.253064329760541</v>
      </c>
      <c r="BW41" s="25">
        <v>36.18062033752885</v>
      </c>
      <c r="BX41" s="25">
        <v>0</v>
      </c>
      <c r="BY41" s="25">
        <v>86781.572978693453</v>
      </c>
      <c r="BZ41" s="25">
        <v>16209.850370734868</v>
      </c>
      <c r="CA41" s="25">
        <v>0</v>
      </c>
      <c r="CB41" s="25">
        <v>0</v>
      </c>
      <c r="CC41" s="25">
        <v>1499.9348819154825</v>
      </c>
      <c r="CD41" s="25">
        <v>3584.2263505479905</v>
      </c>
      <c r="CE41" s="25">
        <v>-2083.5845818673261</v>
      </c>
      <c r="CF41" s="25">
        <v>19210.427021331016</v>
      </c>
      <c r="CG41" s="25">
        <v>105992</v>
      </c>
      <c r="CH41"/>
      <c r="CI41">
        <f t="shared" si="0"/>
        <v>0.18124412239915291</v>
      </c>
      <c r="CJ41"/>
      <c r="CK41"/>
      <c r="CL41"/>
      <c r="CM41"/>
      <c r="CN41"/>
      <c r="CO41"/>
      <c r="CP41"/>
      <c r="CQ41"/>
      <c r="CR41"/>
      <c r="CS41"/>
      <c r="CT41"/>
      <c r="CU41"/>
    </row>
    <row r="42" spans="1:99" s="5" customFormat="1" x14ac:dyDescent="0.3">
      <c r="A42" s="35" t="s">
        <v>46</v>
      </c>
      <c r="B42" s="11" t="s">
        <v>120</v>
      </c>
      <c r="C42" s="5">
        <v>37</v>
      </c>
      <c r="D42" s="25">
        <v>4.9868211495342329</v>
      </c>
      <c r="E42" s="25">
        <v>4.6069195410432195</v>
      </c>
      <c r="F42" s="25">
        <v>0.78082668028628288</v>
      </c>
      <c r="G42" s="25">
        <v>4.0935082752388299</v>
      </c>
      <c r="H42" s="25">
        <v>36.555408577894092</v>
      </c>
      <c r="I42" s="25">
        <v>28.323997559732756</v>
      </c>
      <c r="J42" s="25">
        <v>6.1643923228497508</v>
      </c>
      <c r="K42" s="25">
        <v>23.872375159693842</v>
      </c>
      <c r="L42" s="25">
        <v>2.6165250884680926</v>
      </c>
      <c r="M42" s="25">
        <v>22.287293821742143</v>
      </c>
      <c r="N42" s="25">
        <v>22.019794969376246</v>
      </c>
      <c r="O42" s="25">
        <v>0.951991038742527</v>
      </c>
      <c r="P42" s="25">
        <v>1.516282348817972</v>
      </c>
      <c r="Q42" s="25">
        <v>2.8505447222716263</v>
      </c>
      <c r="R42" s="25">
        <v>2.5595446686656871</v>
      </c>
      <c r="S42" s="25">
        <v>5.8027436843184077</v>
      </c>
      <c r="T42" s="25">
        <v>16.310046908766967</v>
      </c>
      <c r="U42" s="25">
        <v>5.2951023901787542</v>
      </c>
      <c r="V42" s="25">
        <v>6.1149038706905152</v>
      </c>
      <c r="W42" s="25">
        <v>0.15842795053563921</v>
      </c>
      <c r="X42" s="25">
        <v>6.3786200199413431E-2</v>
      </c>
      <c r="Y42" s="25">
        <v>3.9122942593283057</v>
      </c>
      <c r="Z42" s="25">
        <v>12.464991613664969</v>
      </c>
      <c r="AA42" s="25">
        <v>7.1965891240332542</v>
      </c>
      <c r="AB42" s="25">
        <v>8.3193813814717483</v>
      </c>
      <c r="AC42" s="25">
        <v>12.611800614114907</v>
      </c>
      <c r="AD42" s="25">
        <v>13.78068441035977</v>
      </c>
      <c r="AE42" s="25">
        <v>14.683612440308503</v>
      </c>
      <c r="AF42" s="25">
        <v>64.432299023918844</v>
      </c>
      <c r="AG42" s="25">
        <v>14.514972550016264</v>
      </c>
      <c r="AH42" s="25">
        <v>65.749304626838622</v>
      </c>
      <c r="AI42" s="25">
        <v>9.1707604277193493</v>
      </c>
      <c r="AJ42" s="25">
        <v>29.363735830143359</v>
      </c>
      <c r="AK42" s="25">
        <v>80.378690411628156</v>
      </c>
      <c r="AL42" s="25">
        <v>266.06433068103144</v>
      </c>
      <c r="AM42" s="25">
        <v>94.115435593740415</v>
      </c>
      <c r="AN42" s="25">
        <v>480.05988990730475</v>
      </c>
      <c r="AO42" s="25">
        <v>14.790079925163909</v>
      </c>
      <c r="AP42" s="25">
        <v>151.11749226844694</v>
      </c>
      <c r="AQ42" s="25">
        <v>22.426805250168904</v>
      </c>
      <c r="AR42" s="25">
        <v>3.6634390120329217</v>
      </c>
      <c r="AS42" s="25">
        <v>2.6247173435143485</v>
      </c>
      <c r="AT42" s="25">
        <v>1.8076843233351139</v>
      </c>
      <c r="AU42" s="25">
        <v>8.5592197567344641</v>
      </c>
      <c r="AV42" s="25">
        <v>134.34873154656916</v>
      </c>
      <c r="AW42" s="25">
        <v>104.3287185956416</v>
      </c>
      <c r="AX42" s="25">
        <v>47.185007596141773</v>
      </c>
      <c r="AY42" s="40">
        <v>114.28495397222106</v>
      </c>
      <c r="AZ42" s="25">
        <v>8.1753187737252304</v>
      </c>
      <c r="BA42" s="25">
        <v>3.5093606022635617</v>
      </c>
      <c r="BB42" s="25">
        <v>15.741988103756668</v>
      </c>
      <c r="BC42" s="25">
        <v>0.98892850526239373</v>
      </c>
      <c r="BD42" s="25">
        <v>13.772883960977339</v>
      </c>
      <c r="BE42" s="25">
        <v>2.0275665806359684</v>
      </c>
      <c r="BF42" s="25">
        <v>0.96708398221640157</v>
      </c>
      <c r="BG42" s="25">
        <v>5.6539211026815748</v>
      </c>
      <c r="BH42" s="25">
        <v>9.7449629974355858</v>
      </c>
      <c r="BI42" s="25">
        <v>2.8835222526933015</v>
      </c>
      <c r="BJ42" s="25">
        <v>3.4121952982324646</v>
      </c>
      <c r="BK42" s="25">
        <v>5.8203609723868146</v>
      </c>
      <c r="BL42" s="25">
        <v>29.50740973456119</v>
      </c>
      <c r="BM42" s="25">
        <v>1.2495467255479826</v>
      </c>
      <c r="BN42" s="25">
        <v>7.0318623976594559</v>
      </c>
      <c r="BO42" s="25">
        <v>10.740795794175268</v>
      </c>
      <c r="BP42" s="25">
        <v>1.4258653238884478</v>
      </c>
      <c r="BQ42" s="25">
        <v>27.065816749540872</v>
      </c>
      <c r="BR42" s="25">
        <v>3.2530216082114078</v>
      </c>
      <c r="BS42" s="25">
        <v>1.0348088976519616</v>
      </c>
      <c r="BT42" s="25">
        <v>6.8796707652408386</v>
      </c>
      <c r="BU42" s="25">
        <v>6.9804331328033218</v>
      </c>
      <c r="BV42" s="25">
        <v>3.1204937570298665</v>
      </c>
      <c r="BW42" s="25">
        <v>9.3914333435010597</v>
      </c>
      <c r="BX42" s="25">
        <v>0</v>
      </c>
      <c r="BY42" s="25">
        <v>2160.2661107767194</v>
      </c>
      <c r="BZ42" s="25">
        <v>43140.492653138856</v>
      </c>
      <c r="CA42" s="25">
        <v>0.20503361189743591</v>
      </c>
      <c r="CB42" s="25">
        <v>0</v>
      </c>
      <c r="CC42" s="25">
        <v>762.43633239786652</v>
      </c>
      <c r="CD42" s="25">
        <v>3022.7646692592871</v>
      </c>
      <c r="CE42" s="25">
        <v>-7273.1647991816653</v>
      </c>
      <c r="CF42" s="25">
        <v>39652.733889226234</v>
      </c>
      <c r="CG42" s="25">
        <v>41813</v>
      </c>
      <c r="CH42"/>
      <c r="CI42">
        <f t="shared" si="0"/>
        <v>0.94833506060857231</v>
      </c>
      <c r="CJ42"/>
      <c r="CK42"/>
      <c r="CL42"/>
      <c r="CM42"/>
      <c r="CN42"/>
      <c r="CO42"/>
      <c r="CP42"/>
      <c r="CQ42"/>
      <c r="CR42"/>
      <c r="CS42"/>
      <c r="CT42"/>
      <c r="CU42"/>
    </row>
    <row r="43" spans="1:99" s="5" customFormat="1" x14ac:dyDescent="0.3">
      <c r="A43" s="35" t="s">
        <v>47</v>
      </c>
      <c r="B43" s="11" t="s">
        <v>121</v>
      </c>
      <c r="C43" s="5">
        <v>38</v>
      </c>
      <c r="D43" s="25">
        <v>45.782288437245711</v>
      </c>
      <c r="E43" s="25">
        <v>29.239596913345242</v>
      </c>
      <c r="F43" s="25">
        <v>8.4320166405944832</v>
      </c>
      <c r="G43" s="25">
        <v>11.028587123657127</v>
      </c>
      <c r="H43" s="25">
        <v>80.655808675524071</v>
      </c>
      <c r="I43" s="25">
        <v>51.780234565585253</v>
      </c>
      <c r="J43" s="25">
        <v>8.1537520245893482</v>
      </c>
      <c r="K43" s="25">
        <v>70.003355856703521</v>
      </c>
      <c r="L43" s="25">
        <v>6.0434286287507843</v>
      </c>
      <c r="M43" s="25">
        <v>135.22112072819303</v>
      </c>
      <c r="N43" s="25">
        <v>76.098550648828109</v>
      </c>
      <c r="O43" s="25">
        <v>1.0050290181196722</v>
      </c>
      <c r="P43" s="25">
        <v>56.971174720237016</v>
      </c>
      <c r="Q43" s="25">
        <v>747.44728718589477</v>
      </c>
      <c r="R43" s="25">
        <v>163.13019854927774</v>
      </c>
      <c r="S43" s="25">
        <v>36.447294084671327</v>
      </c>
      <c r="T43" s="25">
        <v>22.146178253166504</v>
      </c>
      <c r="U43" s="25">
        <v>12.187559668481464</v>
      </c>
      <c r="V43" s="25">
        <v>29.950776492129563</v>
      </c>
      <c r="W43" s="25">
        <v>0.77037961564342716</v>
      </c>
      <c r="X43" s="25">
        <v>0.15650270436539049</v>
      </c>
      <c r="Y43" s="25">
        <v>3.1970506395294347</v>
      </c>
      <c r="Z43" s="25">
        <v>86.057607100965313</v>
      </c>
      <c r="AA43" s="25">
        <v>59.958222590080375</v>
      </c>
      <c r="AB43" s="25">
        <v>36.090306193794547</v>
      </c>
      <c r="AC43" s="25">
        <v>51.91197983661484</v>
      </c>
      <c r="AD43" s="25">
        <v>169.57606088592962</v>
      </c>
      <c r="AE43" s="25">
        <v>102.00533712396278</v>
      </c>
      <c r="AF43" s="25">
        <v>36.054503029592446</v>
      </c>
      <c r="AG43" s="25">
        <v>7.2052213003160466</v>
      </c>
      <c r="AH43" s="25">
        <v>89.485080536444698</v>
      </c>
      <c r="AI43" s="25">
        <v>61.480600967481401</v>
      </c>
      <c r="AJ43" s="25">
        <v>56.137189229721017</v>
      </c>
      <c r="AK43" s="25">
        <v>375.52821609189743</v>
      </c>
      <c r="AL43" s="25">
        <v>252.09890296761094</v>
      </c>
      <c r="AM43" s="25">
        <v>398.46123699916501</v>
      </c>
      <c r="AN43" s="25">
        <v>38.40365429506231</v>
      </c>
      <c r="AO43" s="25">
        <v>1960.1198644993181</v>
      </c>
      <c r="AP43" s="25">
        <v>165.5925563050794</v>
      </c>
      <c r="AQ43" s="25">
        <v>61.710357013717321</v>
      </c>
      <c r="AR43" s="25">
        <v>10.080442881128995</v>
      </c>
      <c r="AS43" s="25">
        <v>7.2222611522943634</v>
      </c>
      <c r="AT43" s="25">
        <v>6.0937967564972286</v>
      </c>
      <c r="AU43" s="25">
        <v>33.800583613346866</v>
      </c>
      <c r="AV43" s="25">
        <v>874.03621709689321</v>
      </c>
      <c r="AW43" s="25">
        <v>39.292437919857846</v>
      </c>
      <c r="AX43" s="25">
        <v>438.45063461684435</v>
      </c>
      <c r="AY43" s="40">
        <v>72.534590593157205</v>
      </c>
      <c r="AZ43" s="25">
        <v>53.474975030195026</v>
      </c>
      <c r="BA43" s="25">
        <v>1.8863702697401237</v>
      </c>
      <c r="BB43" s="25">
        <v>118.97152528898459</v>
      </c>
      <c r="BC43" s="25">
        <v>11.606562876415598</v>
      </c>
      <c r="BD43" s="25">
        <v>53.666761308420881</v>
      </c>
      <c r="BE43" s="25">
        <v>4.2463808734715762</v>
      </c>
      <c r="BF43" s="25">
        <v>30.04267614873508</v>
      </c>
      <c r="BG43" s="25">
        <v>8.160663636983907</v>
      </c>
      <c r="BH43" s="25">
        <v>52.216172275063364</v>
      </c>
      <c r="BI43" s="25">
        <v>124.57994644583015</v>
      </c>
      <c r="BJ43" s="25">
        <v>104.80804677786166</v>
      </c>
      <c r="BK43" s="25">
        <v>167.06610060286647</v>
      </c>
      <c r="BL43" s="25">
        <v>205.39394308036344</v>
      </c>
      <c r="BM43" s="25">
        <v>186.64130578892917</v>
      </c>
      <c r="BN43" s="25">
        <v>301.35842301516743</v>
      </c>
      <c r="BO43" s="25">
        <v>143.94754620854138</v>
      </c>
      <c r="BP43" s="25">
        <v>11.161014046942418</v>
      </c>
      <c r="BQ43" s="25">
        <v>469.840919301241</v>
      </c>
      <c r="BR43" s="25">
        <v>551.23724144244261</v>
      </c>
      <c r="BS43" s="25">
        <v>25.479786843630265</v>
      </c>
      <c r="BT43" s="25">
        <v>1456.9750726247385</v>
      </c>
      <c r="BU43" s="25">
        <v>8046.0911888969458</v>
      </c>
      <c r="BV43" s="25">
        <v>96.158920656638017</v>
      </c>
      <c r="BW43" s="25">
        <v>86.087862256028302</v>
      </c>
      <c r="BX43" s="25">
        <v>0</v>
      </c>
      <c r="BY43" s="25">
        <v>19396.335438467486</v>
      </c>
      <c r="BZ43" s="25">
        <v>3585.1584726113724</v>
      </c>
      <c r="CA43" s="25">
        <v>13.779791673091975</v>
      </c>
      <c r="CB43" s="25">
        <v>0</v>
      </c>
      <c r="CC43" s="25">
        <v>43100.800641060887</v>
      </c>
      <c r="CD43" s="25">
        <v>10150.493355155131</v>
      </c>
      <c r="CE43" s="25">
        <v>-1011.6289519688544</v>
      </c>
      <c r="CF43" s="25">
        <v>55838.603308531652</v>
      </c>
      <c r="CG43" s="25">
        <v>75235</v>
      </c>
      <c r="CH43"/>
      <c r="CI43">
        <f t="shared" si="0"/>
        <v>0.74218918466846084</v>
      </c>
      <c r="CJ43"/>
      <c r="CK43"/>
      <c r="CL43"/>
      <c r="CM43"/>
      <c r="CN43"/>
      <c r="CO43"/>
      <c r="CP43"/>
      <c r="CQ43"/>
      <c r="CR43"/>
      <c r="CS43"/>
      <c r="CT43"/>
      <c r="CU43"/>
    </row>
    <row r="44" spans="1:99" s="5" customFormat="1" x14ac:dyDescent="0.3">
      <c r="A44" s="35" t="s">
        <v>48</v>
      </c>
      <c r="B44" s="11" t="s">
        <v>122</v>
      </c>
      <c r="C44" s="5">
        <v>39</v>
      </c>
      <c r="D44" s="25">
        <v>95.999296681132464</v>
      </c>
      <c r="E44" s="25">
        <v>40.232594579558715</v>
      </c>
      <c r="F44" s="25">
        <v>86.09328184228761</v>
      </c>
      <c r="G44" s="25">
        <v>716.65195262567761</v>
      </c>
      <c r="H44" s="25">
        <v>3124.6300625370091</v>
      </c>
      <c r="I44" s="25">
        <v>1811.8295405689137</v>
      </c>
      <c r="J44" s="25">
        <v>682.14345655019474</v>
      </c>
      <c r="K44" s="25">
        <v>1147.1754610464577</v>
      </c>
      <c r="L44" s="25">
        <v>428.95832119905316</v>
      </c>
      <c r="M44" s="25">
        <v>665.69625867036598</v>
      </c>
      <c r="N44" s="25">
        <v>393.03264327304981</v>
      </c>
      <c r="O44" s="25">
        <v>12.305103637098773</v>
      </c>
      <c r="P44" s="25">
        <v>145.60212215246301</v>
      </c>
      <c r="Q44" s="25">
        <v>260.75603821784591</v>
      </c>
      <c r="R44" s="25">
        <v>168.16769926545578</v>
      </c>
      <c r="S44" s="25">
        <v>627.01736232719929</v>
      </c>
      <c r="T44" s="25">
        <v>2982.1012032257213</v>
      </c>
      <c r="U44" s="25">
        <v>1057.8342209006767</v>
      </c>
      <c r="V44" s="25">
        <v>620.66820095066282</v>
      </c>
      <c r="W44" s="25">
        <v>16.245734676674889</v>
      </c>
      <c r="X44" s="25">
        <v>12.915451439657728</v>
      </c>
      <c r="Y44" s="25">
        <v>778.15252442762608</v>
      </c>
      <c r="Z44" s="25">
        <v>1193.254417593294</v>
      </c>
      <c r="AA44" s="25">
        <v>534.26246660551578</v>
      </c>
      <c r="AB44" s="25">
        <v>157.71895599651921</v>
      </c>
      <c r="AC44" s="25">
        <v>621.45429989604781</v>
      </c>
      <c r="AD44" s="25">
        <v>554.3408438984851</v>
      </c>
      <c r="AE44" s="25">
        <v>2308.8231723313834</v>
      </c>
      <c r="AF44" s="25">
        <v>8729.3708884533844</v>
      </c>
      <c r="AG44" s="25">
        <v>1976.9636269964024</v>
      </c>
      <c r="AH44" s="25">
        <v>777.57051779516905</v>
      </c>
      <c r="AI44" s="25">
        <v>82.550318001962964</v>
      </c>
      <c r="AJ44" s="25">
        <v>458.15064711375845</v>
      </c>
      <c r="AK44" s="25">
        <v>1494.2985041274596</v>
      </c>
      <c r="AL44" s="25">
        <v>217.14626183967025</v>
      </c>
      <c r="AM44" s="25">
        <v>688.96154088669778</v>
      </c>
      <c r="AN44" s="25">
        <v>423.04824263360138</v>
      </c>
      <c r="AO44" s="25">
        <v>717.61152138013824</v>
      </c>
      <c r="AP44" s="25">
        <v>1073.442535639173</v>
      </c>
      <c r="AQ44" s="25">
        <v>1338.9613134551741</v>
      </c>
      <c r="AR44" s="25">
        <v>218.72054697927086</v>
      </c>
      <c r="AS44" s="25">
        <v>156.70510991279417</v>
      </c>
      <c r="AT44" s="25">
        <v>93.043618673964673</v>
      </c>
      <c r="AU44" s="25">
        <v>1187.090911745606</v>
      </c>
      <c r="AV44" s="25">
        <v>1957.5838891590849</v>
      </c>
      <c r="AW44" s="25">
        <v>735.16436650407445</v>
      </c>
      <c r="AX44" s="25">
        <v>4433.1198376557068</v>
      </c>
      <c r="AY44" s="40">
        <v>1319.0597394837819</v>
      </c>
      <c r="AZ44" s="25">
        <v>1781.7765364328345</v>
      </c>
      <c r="BA44" s="25">
        <v>768.3377038181635</v>
      </c>
      <c r="BB44" s="25">
        <v>3303.0994470395349</v>
      </c>
      <c r="BC44" s="25">
        <v>6.9671588698732334</v>
      </c>
      <c r="BD44" s="25">
        <v>292.83002362657419</v>
      </c>
      <c r="BE44" s="25">
        <v>404.22868151253954</v>
      </c>
      <c r="BF44" s="25">
        <v>154.53953860291639</v>
      </c>
      <c r="BG44" s="25">
        <v>393.52931220105557</v>
      </c>
      <c r="BH44" s="25">
        <v>1214.7449309694282</v>
      </c>
      <c r="BI44" s="25">
        <v>293.29376236333752</v>
      </c>
      <c r="BJ44" s="25">
        <v>155.80858758442469</v>
      </c>
      <c r="BK44" s="25">
        <v>871.89488192017279</v>
      </c>
      <c r="BL44" s="25">
        <v>175.41422656771934</v>
      </c>
      <c r="BM44" s="25">
        <v>151.98634605649491</v>
      </c>
      <c r="BN44" s="25">
        <v>956.83750310888684</v>
      </c>
      <c r="BO44" s="25">
        <v>919.48580131640881</v>
      </c>
      <c r="BP44" s="25">
        <v>224.93923811412708</v>
      </c>
      <c r="BQ44" s="25">
        <v>1063.5660838465978</v>
      </c>
      <c r="BR44" s="25">
        <v>152.45371925648601</v>
      </c>
      <c r="BS44" s="25">
        <v>1.5982707974041468</v>
      </c>
      <c r="BT44" s="25">
        <v>991.79393921623057</v>
      </c>
      <c r="BU44" s="25">
        <v>574.06167577908013</v>
      </c>
      <c r="BV44" s="25">
        <v>526.48429562594583</v>
      </c>
      <c r="BW44" s="25">
        <v>569.91556142450429</v>
      </c>
      <c r="BX44" s="25">
        <v>0</v>
      </c>
      <c r="BY44" s="25">
        <v>65272.213851603665</v>
      </c>
      <c r="BZ44" s="25">
        <v>4025.5921183981891</v>
      </c>
      <c r="CA44" s="25">
        <v>0.69952644059125191</v>
      </c>
      <c r="CB44" s="25">
        <v>0</v>
      </c>
      <c r="CC44" s="25">
        <v>770.6196783729273</v>
      </c>
      <c r="CD44" s="25">
        <v>9962.6097184136033</v>
      </c>
      <c r="CE44" s="25">
        <v>-63.734893227631026</v>
      </c>
      <c r="CF44" s="25">
        <v>14695.786148397679</v>
      </c>
      <c r="CG44" s="25">
        <v>79968</v>
      </c>
      <c r="CH44"/>
      <c r="CI44">
        <f t="shared" si="0"/>
        <v>0.18377083518904661</v>
      </c>
      <c r="CJ44"/>
      <c r="CK44"/>
      <c r="CL44"/>
      <c r="CM44"/>
      <c r="CN44"/>
      <c r="CO44"/>
      <c r="CP44"/>
      <c r="CQ44"/>
      <c r="CR44"/>
      <c r="CS44"/>
      <c r="CT44"/>
      <c r="CU44"/>
    </row>
    <row r="45" spans="1:99" s="18" customFormat="1" x14ac:dyDescent="0.3">
      <c r="A45" s="35" t="s">
        <v>49</v>
      </c>
      <c r="B45" s="4" t="s">
        <v>123</v>
      </c>
      <c r="C45" s="18">
        <v>40</v>
      </c>
      <c r="D45" s="46">
        <v>6395.2848420511436</v>
      </c>
      <c r="E45" s="46">
        <v>3669.191102193688</v>
      </c>
      <c r="F45" s="46">
        <v>323.32533505968428</v>
      </c>
      <c r="G45" s="46">
        <v>428.97571920001906</v>
      </c>
      <c r="H45" s="46">
        <v>249.12162279682406</v>
      </c>
      <c r="I45" s="46">
        <v>811.37785061707632</v>
      </c>
      <c r="J45" s="46">
        <v>272.83286268342215</v>
      </c>
      <c r="K45" s="46">
        <v>881.4067680355048</v>
      </c>
      <c r="L45" s="46">
        <v>55.54508054019044</v>
      </c>
      <c r="M45" s="46">
        <v>1747.4393465696521</v>
      </c>
      <c r="N45" s="46">
        <v>343.95120347653966</v>
      </c>
      <c r="O45" s="46">
        <v>27.165011246407275</v>
      </c>
      <c r="P45" s="46">
        <v>709.91225811816378</v>
      </c>
      <c r="Q45" s="46">
        <v>115.15108572556116</v>
      </c>
      <c r="R45" s="46">
        <v>144.75464421456547</v>
      </c>
      <c r="S45" s="46">
        <v>505.05656660149418</v>
      </c>
      <c r="T45" s="46">
        <v>1086.1980523218085</v>
      </c>
      <c r="U45" s="46">
        <v>77.841970404323575</v>
      </c>
      <c r="V45" s="46">
        <v>17.978287610272929</v>
      </c>
      <c r="W45" s="46">
        <v>0.38697918666622177</v>
      </c>
      <c r="X45" s="46">
        <v>1.8961224790417248E-2</v>
      </c>
      <c r="Y45" s="46">
        <v>54.932393285651408</v>
      </c>
      <c r="Z45" s="46">
        <v>1641.2751239942309</v>
      </c>
      <c r="AA45" s="46">
        <v>251.37967919043862</v>
      </c>
      <c r="AB45" s="46">
        <v>80.845610978814676</v>
      </c>
      <c r="AC45" s="46">
        <v>115.83358679282772</v>
      </c>
      <c r="AD45" s="46">
        <v>846.65337572872818</v>
      </c>
      <c r="AE45" s="46">
        <v>2854.4839302405439</v>
      </c>
      <c r="AF45" s="46">
        <v>1959.9920932796974</v>
      </c>
      <c r="AG45" s="46">
        <v>1834.870637334395</v>
      </c>
      <c r="AH45" s="46">
        <v>862.60401116109608</v>
      </c>
      <c r="AI45" s="46">
        <v>117.35017037558748</v>
      </c>
      <c r="AJ45" s="46">
        <v>398.86574666063683</v>
      </c>
      <c r="AK45" s="46">
        <v>431.75039602487624</v>
      </c>
      <c r="AL45" s="46">
        <v>415.45654108400561</v>
      </c>
      <c r="AM45" s="46">
        <v>900.339338092704</v>
      </c>
      <c r="AN45" s="46">
        <v>175.55883179475919</v>
      </c>
      <c r="AO45" s="46">
        <v>267.98770675658233</v>
      </c>
      <c r="AP45" s="46">
        <v>217.26177002052285</v>
      </c>
      <c r="AQ45" s="46">
        <v>56040.996010442221</v>
      </c>
      <c r="AR45" s="46">
        <v>2248.7232711605329</v>
      </c>
      <c r="AS45" s="46">
        <v>2.3733184303615484</v>
      </c>
      <c r="AT45" s="46">
        <v>3224.3241024390813</v>
      </c>
      <c r="AU45" s="46">
        <v>3664.4363186817113</v>
      </c>
      <c r="AV45" s="46">
        <v>473.83276661455142</v>
      </c>
      <c r="AW45" s="46">
        <v>1333.350375603304</v>
      </c>
      <c r="AX45" s="46">
        <v>17447.128176802285</v>
      </c>
      <c r="AY45" s="48">
        <f>'Fluxos Energia'!H20</f>
        <v>162.36655222267365</v>
      </c>
      <c r="AZ45" s="46">
        <v>53.922481575237569</v>
      </c>
      <c r="BA45" s="46">
        <v>38.803575606969062</v>
      </c>
      <c r="BB45" s="46">
        <v>1181.1446132868057</v>
      </c>
      <c r="BC45" s="46">
        <v>1186.4213504458387</v>
      </c>
      <c r="BD45" s="46">
        <v>1700.4757738361636</v>
      </c>
      <c r="BE45" s="46">
        <v>98.902912421035069</v>
      </c>
      <c r="BF45" s="46">
        <v>335.6281199531112</v>
      </c>
      <c r="BG45" s="46">
        <v>1531.1591204565723</v>
      </c>
      <c r="BH45" s="46">
        <v>595.99822168586786</v>
      </c>
      <c r="BI45" s="46">
        <v>2001.6851401712015</v>
      </c>
      <c r="BJ45" s="46">
        <v>618.68950591094335</v>
      </c>
      <c r="BK45" s="46">
        <v>1104.1971387987751</v>
      </c>
      <c r="BL45" s="46">
        <v>268.65885483073032</v>
      </c>
      <c r="BM45" s="46">
        <v>202.2699884988684</v>
      </c>
      <c r="BN45" s="46">
        <v>164.1814310579839</v>
      </c>
      <c r="BO45" s="46">
        <v>6287.5566551167794</v>
      </c>
      <c r="BP45" s="46">
        <v>89.37397936722536</v>
      </c>
      <c r="BQ45" s="46">
        <v>4731.856904244738</v>
      </c>
      <c r="BR45" s="46">
        <v>1531.872385454642</v>
      </c>
      <c r="BS45" s="46">
        <v>1968.1986246776944</v>
      </c>
      <c r="BT45" s="46">
        <v>1013.6437461149346</v>
      </c>
      <c r="BU45" s="46">
        <v>1538.7878278866106</v>
      </c>
      <c r="BV45" s="46">
        <v>916.34217629072509</v>
      </c>
      <c r="BW45" s="46">
        <v>2497.6159097856694</v>
      </c>
      <c r="BX45" s="46">
        <v>0</v>
      </c>
      <c r="BY45" s="46">
        <v>147409.28471872551</v>
      </c>
      <c r="BZ45" s="46">
        <v>74.173163542265797</v>
      </c>
      <c r="CA45" s="46">
        <v>0</v>
      </c>
      <c r="CB45" s="46">
        <v>0</v>
      </c>
      <c r="CC45" s="46">
        <v>92106.415628982795</v>
      </c>
      <c r="CD45" s="46">
        <v>179.78295665382799</v>
      </c>
      <c r="CE45" s="46">
        <v>-8028.2998607546597</v>
      </c>
      <c r="CF45" s="46">
        <v>84332.071888424252</v>
      </c>
      <c r="CG45" s="46">
        <v>231741.35660714976</v>
      </c>
      <c r="CH45"/>
      <c r="CI45">
        <f t="shared" si="0"/>
        <v>0.36390600764189368</v>
      </c>
      <c r="CJ45"/>
      <c r="CK45"/>
      <c r="CL45"/>
      <c r="CM45"/>
      <c r="CN45"/>
      <c r="CO45"/>
      <c r="CP45"/>
      <c r="CQ45"/>
      <c r="CR45"/>
      <c r="CS45"/>
      <c r="CT45"/>
      <c r="CU45"/>
    </row>
    <row r="46" spans="1:99" s="18" customFormat="1" x14ac:dyDescent="0.3">
      <c r="A46" s="35" t="s">
        <v>50</v>
      </c>
      <c r="B46" s="4" t="s">
        <v>124</v>
      </c>
      <c r="C46" s="18">
        <v>41</v>
      </c>
      <c r="D46" s="46">
        <v>1400.0172235451139</v>
      </c>
      <c r="E46" s="46">
        <v>803.22910957502359</v>
      </c>
      <c r="F46" s="46">
        <v>70.75275793752688</v>
      </c>
      <c r="G46" s="46">
        <v>21.195726764161069</v>
      </c>
      <c r="H46" s="46">
        <v>12.199259806034101</v>
      </c>
      <c r="I46" s="46">
        <v>40.075277110737119</v>
      </c>
      <c r="J46" s="46">
        <v>13.479532257438787</v>
      </c>
      <c r="K46" s="46">
        <v>190.31440517120922</v>
      </c>
      <c r="L46" s="46">
        <v>11.676093085631189</v>
      </c>
      <c r="M46" s="46">
        <v>380.54681347562149</v>
      </c>
      <c r="N46" s="46">
        <v>74.965026320641769</v>
      </c>
      <c r="O46" s="46">
        <v>5.8558789304925387</v>
      </c>
      <c r="P46" s="46">
        <v>154.29860212490846</v>
      </c>
      <c r="Q46" s="46">
        <v>23.836707510015554</v>
      </c>
      <c r="R46" s="46">
        <v>31.317968215000686</v>
      </c>
      <c r="S46" s="46">
        <v>110.40196734449107</v>
      </c>
      <c r="T46" s="46">
        <v>237.12579059888785</v>
      </c>
      <c r="U46" s="46">
        <v>7.7863479085375547</v>
      </c>
      <c r="V46" s="46">
        <v>1.5752700790749781</v>
      </c>
      <c r="W46" s="46">
        <v>3.2926073950023886E-2</v>
      </c>
      <c r="X46" s="46">
        <v>1.8735492585510666E-3</v>
      </c>
      <c r="Y46" s="46">
        <v>5.2719440437416694</v>
      </c>
      <c r="Z46" s="46">
        <v>165.2805081705267</v>
      </c>
      <c r="AA46" s="46">
        <v>25.21065694985635</v>
      </c>
      <c r="AB46" s="46">
        <v>7.9065920444664792</v>
      </c>
      <c r="AC46" s="46">
        <v>11.251018747073257</v>
      </c>
      <c r="AD46" s="46">
        <v>84.821010061106719</v>
      </c>
      <c r="AE46" s="46">
        <v>287.6814772084943</v>
      </c>
      <c r="AF46" s="46">
        <v>197.27343089664228</v>
      </c>
      <c r="AG46" s="46">
        <v>185.02013796801486</v>
      </c>
      <c r="AH46" s="46">
        <v>86.6674232251235</v>
      </c>
      <c r="AI46" s="46">
        <v>11.571197580866773</v>
      </c>
      <c r="AJ46" s="46">
        <v>40.036437247477579</v>
      </c>
      <c r="AK46" s="46">
        <v>43.156590866034414</v>
      </c>
      <c r="AL46" s="46">
        <v>41.649136682680606</v>
      </c>
      <c r="AM46" s="46">
        <v>90.469355239364148</v>
      </c>
      <c r="AN46" s="46">
        <v>17.616358624088001</v>
      </c>
      <c r="AO46" s="46">
        <v>26.709257415213148</v>
      </c>
      <c r="AP46" s="46">
        <v>10.720945718595928</v>
      </c>
      <c r="AQ46" s="46">
        <v>2329.3415319767278</v>
      </c>
      <c r="AR46" s="46">
        <v>8887.7402538823953</v>
      </c>
      <c r="AS46" s="46">
        <v>8.8882234982647274E-2</v>
      </c>
      <c r="AT46" s="46">
        <v>705.61464953902191</v>
      </c>
      <c r="AU46" s="46">
        <v>181.02949201916158</v>
      </c>
      <c r="AV46" s="46">
        <v>99.604798039048049</v>
      </c>
      <c r="AW46" s="46">
        <v>278.12074764016967</v>
      </c>
      <c r="AX46" s="46">
        <v>3669.2503475272042</v>
      </c>
      <c r="AY46" s="48">
        <f>'Fluxos Energia'!H21</f>
        <v>6.249967749604151</v>
      </c>
      <c r="AZ46" s="46">
        <v>11.526444101193297</v>
      </c>
      <c r="BA46" s="46">
        <v>8.0967208861890239</v>
      </c>
      <c r="BB46" s="46">
        <v>115.34938975458087</v>
      </c>
      <c r="BC46" s="46">
        <v>255.11247467713582</v>
      </c>
      <c r="BD46" s="46">
        <v>350.9225077203759</v>
      </c>
      <c r="BE46" s="46">
        <v>20.97852137756318</v>
      </c>
      <c r="BF46" s="46">
        <v>71.731833997546161</v>
      </c>
      <c r="BG46" s="46">
        <v>326.84620129538564</v>
      </c>
      <c r="BH46" s="46">
        <v>123.48327725766521</v>
      </c>
      <c r="BI46" s="46">
        <v>418.54052636651534</v>
      </c>
      <c r="BJ46" s="46">
        <v>127.2719886937218</v>
      </c>
      <c r="BK46" s="46">
        <v>222.23551952040407</v>
      </c>
      <c r="BL46" s="46">
        <v>54.978845367364066</v>
      </c>
      <c r="BM46" s="46">
        <v>40.20660984178518</v>
      </c>
      <c r="BN46" s="46">
        <v>31.779413204633123</v>
      </c>
      <c r="BO46" s="46">
        <v>1363.2727716625741</v>
      </c>
      <c r="BP46" s="46">
        <v>18.58963394214252</v>
      </c>
      <c r="BQ46" s="46">
        <v>473.71504157564732</v>
      </c>
      <c r="BR46" s="46">
        <v>153.72295707852274</v>
      </c>
      <c r="BS46" s="46">
        <v>412.88237624392127</v>
      </c>
      <c r="BT46" s="46">
        <v>101.67510794586833</v>
      </c>
      <c r="BU46" s="46">
        <v>327.24696915959009</v>
      </c>
      <c r="BV46" s="46">
        <v>186.63241979049721</v>
      </c>
      <c r="BW46" s="46">
        <v>533.07785938852112</v>
      </c>
      <c r="BX46" s="46">
        <v>0</v>
      </c>
      <c r="BY46" s="46">
        <v>26830.65487042172</v>
      </c>
      <c r="BZ46" s="46">
        <v>0</v>
      </c>
      <c r="CA46" s="46">
        <v>0</v>
      </c>
      <c r="CB46" s="46">
        <v>0</v>
      </c>
      <c r="CC46" s="46">
        <v>6979.057831786</v>
      </c>
      <c r="CD46" s="46">
        <v>6.1148535336989696</v>
      </c>
      <c r="CE46" s="46">
        <v>668.92538538760505</v>
      </c>
      <c r="CF46" s="46">
        <v>7654.0980707073031</v>
      </c>
      <c r="CG46" s="46">
        <v>34484.752941129023</v>
      </c>
      <c r="CH46"/>
      <c r="CI46">
        <f t="shared" si="0"/>
        <v>0.22195600715986191</v>
      </c>
      <c r="CJ46"/>
      <c r="CK46"/>
      <c r="CL46"/>
      <c r="CM46"/>
      <c r="CN46"/>
      <c r="CO46"/>
      <c r="CP46"/>
      <c r="CQ46"/>
      <c r="CR46"/>
      <c r="CS46"/>
      <c r="CT46"/>
      <c r="CU46"/>
    </row>
    <row r="47" spans="1:99" s="18" customFormat="1" x14ac:dyDescent="0.3">
      <c r="A47" s="35" t="s">
        <v>51</v>
      </c>
      <c r="B47" s="4" t="s">
        <v>125</v>
      </c>
      <c r="C47" s="18">
        <v>42</v>
      </c>
      <c r="D47" s="46">
        <v>2.1140917685023908</v>
      </c>
      <c r="E47" s="46">
        <v>1.2134196489175375</v>
      </c>
      <c r="F47" s="46">
        <v>0.10864495942257006</v>
      </c>
      <c r="G47" s="46">
        <v>0.1519773584299916</v>
      </c>
      <c r="H47" s="46">
        <v>0.19472275347510684</v>
      </c>
      <c r="I47" s="46">
        <v>0.28765797874156102</v>
      </c>
      <c r="J47" s="46">
        <v>9.7766048925944718E-2</v>
      </c>
      <c r="K47" s="46">
        <v>0.45386221373432289</v>
      </c>
      <c r="L47" s="46">
        <v>4.8693555247294087E-2</v>
      </c>
      <c r="M47" s="46">
        <v>0.70205867100052566</v>
      </c>
      <c r="N47" s="46">
        <v>0.12925739537315478</v>
      </c>
      <c r="O47" s="46">
        <v>1.3660813130261081E-2</v>
      </c>
      <c r="P47" s="46">
        <v>0.30567924307621946</v>
      </c>
      <c r="Q47" s="46">
        <v>0.12478766008522055</v>
      </c>
      <c r="R47" s="46">
        <v>6.9926296055521656E-2</v>
      </c>
      <c r="S47" s="46">
        <v>0.17644551127634889</v>
      </c>
      <c r="T47" s="46">
        <v>0.39893559875776191</v>
      </c>
      <c r="U47" s="46">
        <v>3.8227025541392727E-2</v>
      </c>
      <c r="V47" s="46">
        <v>4.9649387249920178E-2</v>
      </c>
      <c r="W47" s="46">
        <v>1.2482045627834981E-3</v>
      </c>
      <c r="X47" s="46">
        <v>1.3554722007665964E-5</v>
      </c>
      <c r="Y47" s="46">
        <v>6.7787742612850976E-2</v>
      </c>
      <c r="Z47" s="46">
        <v>0.59821907206758762</v>
      </c>
      <c r="AA47" s="46">
        <v>0.10981400755719953</v>
      </c>
      <c r="AB47" s="46">
        <v>6.8236554158800256E-2</v>
      </c>
      <c r="AC47" s="46">
        <v>0.10189907168626587</v>
      </c>
      <c r="AD47" s="46">
        <v>0.38972656732607602</v>
      </c>
      <c r="AE47" s="46">
        <v>1.008438596509883</v>
      </c>
      <c r="AF47" s="46">
        <v>0.73898058396320909</v>
      </c>
      <c r="AG47" s="46">
        <v>0.62350639954471254</v>
      </c>
      <c r="AH47" s="46">
        <v>0.35355807304863207</v>
      </c>
      <c r="AI47" s="46">
        <v>8.4922891636711295E-2</v>
      </c>
      <c r="AJ47" s="46">
        <v>0.16114737985577476</v>
      </c>
      <c r="AK47" s="46">
        <v>0.19648170477553736</v>
      </c>
      <c r="AL47" s="46">
        <v>0.16855949222823208</v>
      </c>
      <c r="AM47" s="46">
        <v>0.35746092489849074</v>
      </c>
      <c r="AN47" s="46">
        <v>7.3893667626261456E-2</v>
      </c>
      <c r="AO47" s="46">
        <v>0.1480368016098797</v>
      </c>
      <c r="AP47" s="46">
        <v>8.7934444559198827E-2</v>
      </c>
      <c r="AQ47" s="46">
        <v>16645.383086888502</v>
      </c>
      <c r="AR47" s="46">
        <v>0.20782398995164733</v>
      </c>
      <c r="AS47" s="46">
        <v>2.7647368420133069E-2</v>
      </c>
      <c r="AT47" s="46">
        <v>1.0805067646843851</v>
      </c>
      <c r="AU47" s="46">
        <v>1.3287705438090009</v>
      </c>
      <c r="AV47" s="46">
        <v>0.41526764393622018</v>
      </c>
      <c r="AW47" s="46">
        <v>1.3202834066005704</v>
      </c>
      <c r="AX47" s="46">
        <v>15.351602225585239</v>
      </c>
      <c r="AY47" s="47">
        <v>0.31437856129634317</v>
      </c>
      <c r="AZ47" s="46">
        <v>3.544987174588593E-2</v>
      </c>
      <c r="BA47" s="46">
        <v>3.8255371596953712E-2</v>
      </c>
      <c r="BB47" s="46">
        <v>1.0927636755986576</v>
      </c>
      <c r="BC47" s="46">
        <v>0.68689011918802567</v>
      </c>
      <c r="BD47" s="46">
        <v>1.9254964466497269</v>
      </c>
      <c r="BE47" s="46">
        <v>7.5540548393522602E-2</v>
      </c>
      <c r="BF47" s="46">
        <v>0.22225649225220545</v>
      </c>
      <c r="BG47" s="46">
        <v>1.0349144805183543</v>
      </c>
      <c r="BH47" s="46">
        <v>0.63671621250046229</v>
      </c>
      <c r="BI47" s="46">
        <v>1.9172753678401568</v>
      </c>
      <c r="BJ47" s="46">
        <v>0.72645642258958343</v>
      </c>
      <c r="BK47" s="46">
        <v>1.6103736920188405</v>
      </c>
      <c r="BL47" s="46">
        <v>0.28202501419976095</v>
      </c>
      <c r="BM47" s="46">
        <v>0.3271418800214434</v>
      </c>
      <c r="BN47" s="46">
        <v>0.31819807204010597</v>
      </c>
      <c r="BO47" s="46">
        <v>2.9174939524490915</v>
      </c>
      <c r="BP47" s="46">
        <v>9.1885624623398957E-2</v>
      </c>
      <c r="BQ47" s="46">
        <v>2.2552452249922998</v>
      </c>
      <c r="BR47" s="46">
        <v>0.66347015475166826</v>
      </c>
      <c r="BS47" s="46">
        <v>1.7997554308709072</v>
      </c>
      <c r="BT47" s="46">
        <v>0.44691178520480601</v>
      </c>
      <c r="BU47" s="46">
        <v>1.1222598207278118</v>
      </c>
      <c r="BV47" s="46">
        <v>1.1954726632300301</v>
      </c>
      <c r="BW47" s="46">
        <v>1.7001468066787</v>
      </c>
      <c r="BX47" s="46">
        <v>0</v>
      </c>
      <c r="BY47" s="46">
        <v>16700.571092145357</v>
      </c>
      <c r="BZ47" s="46">
        <v>0</v>
      </c>
      <c r="CA47" s="46">
        <v>0</v>
      </c>
      <c r="CB47" s="46">
        <v>0</v>
      </c>
      <c r="CC47" s="46">
        <v>19.733519849987101</v>
      </c>
      <c r="CD47" s="46">
        <v>24.2059345392449</v>
      </c>
      <c r="CE47" s="46">
        <v>9.2252057330644703</v>
      </c>
      <c r="CF47" s="46">
        <v>53.164660122296482</v>
      </c>
      <c r="CG47" s="46">
        <v>16753.735752267654</v>
      </c>
      <c r="CH47"/>
      <c r="CI47">
        <f t="shared" si="0"/>
        <v>3.1733018180796204E-3</v>
      </c>
      <c r="CJ47"/>
      <c r="CK47"/>
      <c r="CL47"/>
      <c r="CM47"/>
      <c r="CN47"/>
      <c r="CO47"/>
      <c r="CP47"/>
      <c r="CQ47"/>
      <c r="CR47"/>
      <c r="CS47"/>
      <c r="CT47"/>
      <c r="CU47"/>
    </row>
    <row r="48" spans="1:99" s="18" customFormat="1" x14ac:dyDescent="0.3">
      <c r="A48" s="35" t="s">
        <v>52</v>
      </c>
      <c r="B48" s="4" t="s">
        <v>126</v>
      </c>
      <c r="C48" s="18">
        <v>43</v>
      </c>
      <c r="D48" s="46">
        <v>521.81884440368481</v>
      </c>
      <c r="E48" s="46">
        <v>299.38343174810808</v>
      </c>
      <c r="F48" s="46">
        <v>26.375641157672085</v>
      </c>
      <c r="G48" s="46">
        <v>222.35899791484294</v>
      </c>
      <c r="H48" s="46">
        <v>124.64050516210364</v>
      </c>
      <c r="I48" s="46">
        <v>420.04605321631823</v>
      </c>
      <c r="J48" s="46">
        <v>141.3595571129872</v>
      </c>
      <c r="K48" s="46">
        <v>519.34739635040523</v>
      </c>
      <c r="L48" s="46">
        <v>31.757555455318581</v>
      </c>
      <c r="M48" s="46">
        <v>1039.529371796581</v>
      </c>
      <c r="N48" s="46">
        <v>204.81090642455376</v>
      </c>
      <c r="O48" s="46">
        <v>15.978871574331789</v>
      </c>
      <c r="P48" s="46">
        <v>442.64807427367293</v>
      </c>
      <c r="Q48" s="46">
        <v>67.95582985819307</v>
      </c>
      <c r="R48" s="46">
        <v>89.795921323571989</v>
      </c>
      <c r="S48" s="46">
        <v>316.94613878766728</v>
      </c>
      <c r="T48" s="46">
        <v>753.03007667585541</v>
      </c>
      <c r="U48" s="46">
        <v>49.397585644490086</v>
      </c>
      <c r="V48" s="46">
        <v>22.319131437219447</v>
      </c>
      <c r="W48" s="46">
        <v>0.45692501861861456</v>
      </c>
      <c r="X48" s="46">
        <v>2.8617789902563241E-2</v>
      </c>
      <c r="Y48" s="46">
        <v>79.176542560397252</v>
      </c>
      <c r="Z48" s="46">
        <v>2551.5810357386217</v>
      </c>
      <c r="AA48" s="46">
        <v>388.32409738831029</v>
      </c>
      <c r="AB48" s="46">
        <v>120.10695926216833</v>
      </c>
      <c r="AC48" s="46">
        <v>170.33375745636798</v>
      </c>
      <c r="AD48" s="46">
        <v>1305.7145939516126</v>
      </c>
      <c r="AE48" s="46">
        <v>263.63484190803092</v>
      </c>
      <c r="AF48" s="46">
        <v>1804.7351374705336</v>
      </c>
      <c r="AG48" s="46">
        <v>576.36351450617769</v>
      </c>
      <c r="AH48" s="46">
        <v>269.6070084195224</v>
      </c>
      <c r="AI48" s="46">
        <v>35.74702752033749</v>
      </c>
      <c r="AJ48" s="46">
        <v>124.52314955857504</v>
      </c>
      <c r="AK48" s="46">
        <v>133.99114934874666</v>
      </c>
      <c r="AL48" s="46">
        <v>129.49633580856297</v>
      </c>
      <c r="AM48" s="46">
        <v>281.47073729641568</v>
      </c>
      <c r="AN48" s="46">
        <v>54.778669565608368</v>
      </c>
      <c r="AO48" s="46">
        <v>82.837970217174771</v>
      </c>
      <c r="AP48" s="46">
        <v>65.805057212278143</v>
      </c>
      <c r="AQ48" s="46">
        <v>8230.2788707269774</v>
      </c>
      <c r="AR48" s="46">
        <v>496.4710179174823</v>
      </c>
      <c r="AS48" s="46">
        <v>0.10289925566487136</v>
      </c>
      <c r="AT48" s="46">
        <v>698.16099711610798</v>
      </c>
      <c r="AU48" s="46">
        <v>351.25028049389886</v>
      </c>
      <c r="AV48" s="46">
        <v>46.310899070192555</v>
      </c>
      <c r="AW48" s="46">
        <v>129.61330996575714</v>
      </c>
      <c r="AX48" s="46">
        <v>1705.5087227755357</v>
      </c>
      <c r="AY48" s="48">
        <f>'Fluxos Energia'!H22</f>
        <v>0</v>
      </c>
      <c r="AZ48" s="46">
        <v>4.3409965979291956</v>
      </c>
      <c r="BA48" s="46">
        <v>3.081680454868656</v>
      </c>
      <c r="BB48" s="46">
        <v>115.57832172798365</v>
      </c>
      <c r="BC48" s="46">
        <v>117.74710619134743</v>
      </c>
      <c r="BD48" s="46">
        <v>164.10575946455157</v>
      </c>
      <c r="BE48" s="46">
        <v>9.7246253200549191</v>
      </c>
      <c r="BF48" s="46">
        <v>33.171278592186262</v>
      </c>
      <c r="BG48" s="46">
        <v>151.2081806653739</v>
      </c>
      <c r="BH48" s="46">
        <v>57.679251451756187</v>
      </c>
      <c r="BI48" s="46">
        <v>194.90167100174267</v>
      </c>
      <c r="BJ48" s="46">
        <v>59.578899526608964</v>
      </c>
      <c r="BK48" s="46">
        <v>104.77869212299335</v>
      </c>
      <c r="BL48" s="46">
        <v>25.835397529835245</v>
      </c>
      <c r="BM48" s="46">
        <v>19.034478989945264</v>
      </c>
      <c r="BN48" s="46">
        <v>15.181498160332605</v>
      </c>
      <c r="BO48" s="46">
        <v>627.58400535281521</v>
      </c>
      <c r="BP48" s="46">
        <v>8.6712270809647887</v>
      </c>
      <c r="BQ48" s="46">
        <v>449.38657747942591</v>
      </c>
      <c r="BR48" s="46">
        <v>145.78473232147695</v>
      </c>
      <c r="BS48" s="46">
        <v>192.06581076532112</v>
      </c>
      <c r="BT48" s="46">
        <v>96.429983490523171</v>
      </c>
      <c r="BU48" s="46">
        <v>151.56913404909545</v>
      </c>
      <c r="BV48" s="46">
        <v>87.650661730195651</v>
      </c>
      <c r="BW48" s="46">
        <v>246.61920882367775</v>
      </c>
      <c r="BX48" s="46">
        <v>0</v>
      </c>
      <c r="BY48" s="46">
        <v>30040.937561798513</v>
      </c>
      <c r="BZ48" s="46">
        <v>3.4783577584564198</v>
      </c>
      <c r="CA48" s="46">
        <v>0</v>
      </c>
      <c r="CB48" s="46">
        <v>0</v>
      </c>
      <c r="CC48" s="46">
        <v>2661.4744216102399</v>
      </c>
      <c r="CD48" s="46">
        <v>75.878454015630993</v>
      </c>
      <c r="CE48" s="46">
        <v>7377.3859042707199</v>
      </c>
      <c r="CF48" s="46">
        <v>10118.217137655047</v>
      </c>
      <c r="CG48" s="46">
        <v>40159.15469945356</v>
      </c>
      <c r="CH48"/>
      <c r="CI48">
        <f t="shared" si="0"/>
        <v>0.25195294107604121</v>
      </c>
      <c r="CJ48"/>
      <c r="CK48"/>
      <c r="CL48"/>
      <c r="CM48"/>
      <c r="CN48"/>
      <c r="CO48"/>
      <c r="CP48"/>
      <c r="CQ48"/>
      <c r="CR48"/>
      <c r="CS48"/>
      <c r="CT48"/>
      <c r="CU48"/>
    </row>
    <row r="49" spans="1:99" s="5" customFormat="1" x14ac:dyDescent="0.3">
      <c r="A49" s="35" t="s">
        <v>53</v>
      </c>
      <c r="B49" s="11" t="s">
        <v>127</v>
      </c>
      <c r="C49" s="5">
        <v>44</v>
      </c>
      <c r="D49" s="25">
        <v>11.385935985274436</v>
      </c>
      <c r="E49" s="25">
        <v>2.6792019065488377</v>
      </c>
      <c r="F49" s="25">
        <v>1.477176096947511</v>
      </c>
      <c r="G49" s="25">
        <v>27.466778099537997</v>
      </c>
      <c r="H49" s="25">
        <v>76.39341714586493</v>
      </c>
      <c r="I49" s="25">
        <v>276.98821854047941</v>
      </c>
      <c r="J49" s="25">
        <v>58.205986552434929</v>
      </c>
      <c r="K49" s="25">
        <v>185.26808359632767</v>
      </c>
      <c r="L49" s="25">
        <v>57.976760215508698</v>
      </c>
      <c r="M49" s="25">
        <v>355.73583064350282</v>
      </c>
      <c r="N49" s="25">
        <v>498.03067105678667</v>
      </c>
      <c r="O49" s="25">
        <v>1.152869068502594</v>
      </c>
      <c r="P49" s="25">
        <v>68.904850336306779</v>
      </c>
      <c r="Q49" s="25">
        <v>30.051704559662081</v>
      </c>
      <c r="R49" s="25">
        <v>25.257569020744263</v>
      </c>
      <c r="S49" s="25">
        <v>261.20949047728482</v>
      </c>
      <c r="T49" s="25">
        <v>342.45194239240118</v>
      </c>
      <c r="U49" s="25">
        <v>6.4445517898716611</v>
      </c>
      <c r="V49" s="25">
        <v>412.65920008026944</v>
      </c>
      <c r="W49" s="25">
        <v>10.63000086302589</v>
      </c>
      <c r="X49" s="25">
        <v>1.9108335777401728</v>
      </c>
      <c r="Y49" s="25">
        <v>33.482582879987305</v>
      </c>
      <c r="Z49" s="25">
        <v>701.73744945232147</v>
      </c>
      <c r="AA49" s="25">
        <v>472.51164491328899</v>
      </c>
      <c r="AB49" s="25">
        <v>142.9637987561735</v>
      </c>
      <c r="AC49" s="25">
        <v>84.158642888035033</v>
      </c>
      <c r="AD49" s="25">
        <v>535.38413341082946</v>
      </c>
      <c r="AE49" s="25">
        <v>692.40927836909123</v>
      </c>
      <c r="AF49" s="25">
        <v>4649.6417093644268</v>
      </c>
      <c r="AG49" s="25">
        <v>2358.9360126241581</v>
      </c>
      <c r="AH49" s="25">
        <v>175.02493561481899</v>
      </c>
      <c r="AI49" s="25">
        <v>19.434433703053454</v>
      </c>
      <c r="AJ49" s="25">
        <v>59.444772706659933</v>
      </c>
      <c r="AK49" s="25">
        <v>86.920770037207603</v>
      </c>
      <c r="AL49" s="25">
        <v>126.88606689578958</v>
      </c>
      <c r="AM49" s="25">
        <v>311.10131164303669</v>
      </c>
      <c r="AN49" s="25">
        <v>92.757888905697897</v>
      </c>
      <c r="AO49" s="25">
        <v>79.472996583448349</v>
      </c>
      <c r="AP49" s="25">
        <v>29.881987478666833</v>
      </c>
      <c r="AQ49" s="25">
        <v>67.031585055573885</v>
      </c>
      <c r="AR49" s="25">
        <v>10.949670316022512</v>
      </c>
      <c r="AS49" s="25">
        <v>7.845030172422657</v>
      </c>
      <c r="AT49" s="25">
        <v>1.1739003575789004</v>
      </c>
      <c r="AU49" s="25">
        <v>1062.6781449527298</v>
      </c>
      <c r="AV49" s="25">
        <v>277.72858696960748</v>
      </c>
      <c r="AW49" s="25">
        <v>429.16433058271144</v>
      </c>
      <c r="AX49" s="25">
        <v>4258.8786036149886</v>
      </c>
      <c r="AY49" s="40">
        <v>343.79743351162188</v>
      </c>
      <c r="AZ49" s="25">
        <v>9.7945590589226175</v>
      </c>
      <c r="BA49" s="25">
        <v>8.2109751469891457</v>
      </c>
      <c r="BB49" s="25">
        <v>809.59566521293823</v>
      </c>
      <c r="BC49" s="25">
        <v>445.84402458133093</v>
      </c>
      <c r="BD49" s="25">
        <v>1269.9302326013269</v>
      </c>
      <c r="BE49" s="25">
        <v>25.678695660313274</v>
      </c>
      <c r="BF49" s="25">
        <v>57.186367724128694</v>
      </c>
      <c r="BG49" s="25">
        <v>49.700454115368991</v>
      </c>
      <c r="BH49" s="25">
        <v>122.75778744682799</v>
      </c>
      <c r="BI49" s="25">
        <v>472.7688459856891</v>
      </c>
      <c r="BJ49" s="25">
        <v>432.01442194773057</v>
      </c>
      <c r="BK49" s="25">
        <v>606.85135544814943</v>
      </c>
      <c r="BL49" s="25">
        <v>73.331234477903976</v>
      </c>
      <c r="BM49" s="25">
        <v>39.840043899426355</v>
      </c>
      <c r="BN49" s="25">
        <v>52.186026759690435</v>
      </c>
      <c r="BO49" s="25">
        <v>5777.2928626361463</v>
      </c>
      <c r="BP49" s="25">
        <v>31.682272632844551</v>
      </c>
      <c r="BQ49" s="25">
        <v>10413.963511517219</v>
      </c>
      <c r="BR49" s="25">
        <v>1380.3932614420371</v>
      </c>
      <c r="BS49" s="25">
        <v>276.10958537336415</v>
      </c>
      <c r="BT49" s="25">
        <v>1532.3417178410789</v>
      </c>
      <c r="BU49" s="25">
        <v>2210.7472141368899</v>
      </c>
      <c r="BV49" s="25">
        <v>124.7403971501829</v>
      </c>
      <c r="BW49" s="25">
        <v>2031.1036862129154</v>
      </c>
      <c r="BX49" s="25">
        <v>0</v>
      </c>
      <c r="BY49" s="25">
        <v>48077.743972774399</v>
      </c>
      <c r="BZ49" s="25">
        <v>24.483588934090676</v>
      </c>
      <c r="CA49" s="25">
        <v>7.567895966005847E-2</v>
      </c>
      <c r="CB49" s="25">
        <v>0</v>
      </c>
      <c r="CC49" s="25">
        <v>33927.859585955033</v>
      </c>
      <c r="CD49" s="25">
        <v>34.004921992859849</v>
      </c>
      <c r="CE49" s="25">
        <v>155.82622566054073</v>
      </c>
      <c r="CF49" s="25">
        <v>34142.250001502187</v>
      </c>
      <c r="CG49" s="25">
        <v>82220</v>
      </c>
      <c r="CH49"/>
      <c r="CI49">
        <f t="shared" si="0"/>
        <v>0.4152548042021672</v>
      </c>
      <c r="CJ49"/>
      <c r="CK49"/>
      <c r="CL49"/>
      <c r="CM49"/>
      <c r="CN49"/>
      <c r="CO49"/>
      <c r="CP49"/>
      <c r="CQ49"/>
      <c r="CR49"/>
      <c r="CS49"/>
      <c r="CT49"/>
      <c r="CU49"/>
    </row>
    <row r="50" spans="1:99" s="5" customFormat="1" x14ac:dyDescent="0.3">
      <c r="A50" s="35" t="s">
        <v>54</v>
      </c>
      <c r="B50" s="13" t="s">
        <v>128</v>
      </c>
      <c r="C50" s="5">
        <v>45</v>
      </c>
      <c r="D50" s="25">
        <v>104.44437799575309</v>
      </c>
      <c r="E50" s="25">
        <v>188.15897807636571</v>
      </c>
      <c r="F50" s="25">
        <v>12.143414890044884</v>
      </c>
      <c r="G50" s="25">
        <v>6.7017627372241373</v>
      </c>
      <c r="H50" s="25">
        <v>2129.1012085362008</v>
      </c>
      <c r="I50" s="25">
        <v>1976.3194834801707</v>
      </c>
      <c r="J50" s="25">
        <v>297.8028543692983</v>
      </c>
      <c r="K50" s="25">
        <v>11.045395852960475</v>
      </c>
      <c r="L50" s="25">
        <v>8.5788605790336394</v>
      </c>
      <c r="M50" s="25">
        <v>26.166897952772889</v>
      </c>
      <c r="N50" s="25">
        <v>5.5606197568396496</v>
      </c>
      <c r="O50" s="25">
        <v>0.75902274958898563</v>
      </c>
      <c r="P50" s="25">
        <v>25.310311767506914</v>
      </c>
      <c r="Q50" s="25">
        <v>4.4915832145390713</v>
      </c>
      <c r="R50" s="25">
        <v>1.747297147881032</v>
      </c>
      <c r="S50" s="25">
        <v>2.1934295800055317</v>
      </c>
      <c r="T50" s="25">
        <v>36.091911312794949</v>
      </c>
      <c r="U50" s="25">
        <v>20.367000673598167</v>
      </c>
      <c r="V50" s="25">
        <v>33.996864112439361</v>
      </c>
      <c r="W50" s="25">
        <v>0.87185730741528222</v>
      </c>
      <c r="X50" s="25">
        <v>5.5708767566477633E-3</v>
      </c>
      <c r="Y50" s="25">
        <v>30.079174622546024</v>
      </c>
      <c r="Z50" s="25">
        <v>75.628418984406466</v>
      </c>
      <c r="AA50" s="25">
        <v>8.4548561744811295</v>
      </c>
      <c r="AB50" s="25">
        <v>2.7737366601298268</v>
      </c>
      <c r="AC50" s="25">
        <v>5.1263300538650238</v>
      </c>
      <c r="AD50" s="25">
        <v>13.091309114593802</v>
      </c>
      <c r="AE50" s="25">
        <v>29.82842117534112</v>
      </c>
      <c r="AF50" s="25">
        <v>140.4383482720915</v>
      </c>
      <c r="AG50" s="25">
        <v>1994.8901051356327</v>
      </c>
      <c r="AH50" s="25">
        <v>68.820009743395374</v>
      </c>
      <c r="AI50" s="25">
        <v>84.541967435014499</v>
      </c>
      <c r="AJ50" s="25">
        <v>13.950060352383382</v>
      </c>
      <c r="AK50" s="25">
        <v>78.407544094695751</v>
      </c>
      <c r="AL50" s="25">
        <v>276.34445370649644</v>
      </c>
      <c r="AM50" s="25">
        <v>40.157532101152768</v>
      </c>
      <c r="AN50" s="25">
        <v>200.37671608509396</v>
      </c>
      <c r="AO50" s="25">
        <v>21.959668456431778</v>
      </c>
      <c r="AP50" s="25">
        <v>7.8919568344397035</v>
      </c>
      <c r="AQ50" s="25">
        <v>16.786776535950032</v>
      </c>
      <c r="AR50" s="25">
        <v>2.7421351976833641</v>
      </c>
      <c r="AS50" s="25">
        <v>1.9646375408408165</v>
      </c>
      <c r="AT50" s="25">
        <v>1.1312394354986428</v>
      </c>
      <c r="AU50" s="25">
        <v>4766.0306906556561</v>
      </c>
      <c r="AV50" s="25">
        <v>57477.263457093395</v>
      </c>
      <c r="AW50" s="25">
        <v>536.31096736743245</v>
      </c>
      <c r="AX50" s="25">
        <v>1171.2009835576889</v>
      </c>
      <c r="AY50" s="40">
        <v>314.30678974316061</v>
      </c>
      <c r="AZ50" s="25">
        <v>18.552863362263849</v>
      </c>
      <c r="BA50" s="25">
        <v>33.163819075336576</v>
      </c>
      <c r="BB50" s="25">
        <v>1570.886932558853</v>
      </c>
      <c r="BC50" s="25">
        <v>302.024184243224</v>
      </c>
      <c r="BD50" s="25">
        <v>546.24782075340784</v>
      </c>
      <c r="BE50" s="25">
        <v>15.626072307322612</v>
      </c>
      <c r="BF50" s="25">
        <v>234.13783300186475</v>
      </c>
      <c r="BG50" s="25">
        <v>4200.0960474358781</v>
      </c>
      <c r="BH50" s="25">
        <v>902.15740920408973</v>
      </c>
      <c r="BI50" s="25">
        <v>1220.1516136015259</v>
      </c>
      <c r="BJ50" s="25">
        <v>1941.8476114544337</v>
      </c>
      <c r="BK50" s="25">
        <v>323.17734658713493</v>
      </c>
      <c r="BL50" s="25">
        <v>688.46328546029667</v>
      </c>
      <c r="BM50" s="25">
        <v>17.059034159374335</v>
      </c>
      <c r="BN50" s="25">
        <v>213.38180308225006</v>
      </c>
      <c r="BO50" s="25">
        <v>3273.4101162213587</v>
      </c>
      <c r="BP50" s="25">
        <v>14.270600698343774</v>
      </c>
      <c r="BQ50" s="25">
        <v>15438.557869050681</v>
      </c>
      <c r="BR50" s="25">
        <v>1371.6160086401294</v>
      </c>
      <c r="BS50" s="25">
        <v>457.95439779208516</v>
      </c>
      <c r="BT50" s="25">
        <v>3510.4327797310111</v>
      </c>
      <c r="BU50" s="25">
        <v>33.634583103201265</v>
      </c>
      <c r="BV50" s="25">
        <v>149.18486688961508</v>
      </c>
      <c r="BW50" s="25">
        <v>352.21458555372539</v>
      </c>
      <c r="BX50" s="25">
        <v>0</v>
      </c>
      <c r="BY50" s="25">
        <v>109100.60647306612</v>
      </c>
      <c r="BZ50" s="25">
        <v>3991.5566844752116</v>
      </c>
      <c r="CA50" s="25">
        <v>0</v>
      </c>
      <c r="CB50" s="25">
        <v>0</v>
      </c>
      <c r="CC50" s="25">
        <v>963.46863162834723</v>
      </c>
      <c r="CD50" s="25">
        <v>438017.36821087886</v>
      </c>
      <c r="CE50" s="25">
        <v>0</v>
      </c>
      <c r="CF50" s="25">
        <v>442972.39352698246</v>
      </c>
      <c r="CG50" s="25">
        <v>552073</v>
      </c>
      <c r="CH50"/>
      <c r="CI50">
        <f t="shared" si="0"/>
        <v>0.80238010829542916</v>
      </c>
      <c r="CJ50"/>
      <c r="CK50"/>
      <c r="CL50"/>
      <c r="CM50"/>
      <c r="CN50"/>
      <c r="CO50"/>
      <c r="CP50"/>
      <c r="CQ50"/>
      <c r="CR50"/>
      <c r="CS50"/>
      <c r="CT50"/>
      <c r="CU50"/>
    </row>
    <row r="51" spans="1:99" s="5" customFormat="1" x14ac:dyDescent="0.3">
      <c r="A51" s="35" t="s">
        <v>55</v>
      </c>
      <c r="B51" s="11" t="s">
        <v>129</v>
      </c>
      <c r="C51" s="5">
        <v>46</v>
      </c>
      <c r="D51" s="25">
        <v>213.37480103832794</v>
      </c>
      <c r="E51" s="25">
        <v>44.765363093675312</v>
      </c>
      <c r="F51" s="25">
        <v>20.017807714492882</v>
      </c>
      <c r="G51" s="25">
        <v>61.762281315343984</v>
      </c>
      <c r="H51" s="25">
        <v>200.03361236079127</v>
      </c>
      <c r="I51" s="25">
        <v>1188.7545472264649</v>
      </c>
      <c r="J51" s="25">
        <v>87.962170525103176</v>
      </c>
      <c r="K51" s="25">
        <v>26.83165522550852</v>
      </c>
      <c r="L51" s="25">
        <v>21.104617555213629</v>
      </c>
      <c r="M51" s="25">
        <v>45.302600211638676</v>
      </c>
      <c r="N51" s="25">
        <v>41.953652935806936</v>
      </c>
      <c r="O51" s="25">
        <v>0.55653701350820239</v>
      </c>
      <c r="P51" s="25">
        <v>5.0787063910581844</v>
      </c>
      <c r="Q51" s="25">
        <v>1.7204557394325104</v>
      </c>
      <c r="R51" s="25">
        <v>5.1833937244737598</v>
      </c>
      <c r="S51" s="25">
        <v>2.1249755801720234</v>
      </c>
      <c r="T51" s="25">
        <v>11.237133882404294</v>
      </c>
      <c r="U51" s="25">
        <v>1.3627497741262395</v>
      </c>
      <c r="V51" s="25">
        <v>8.0836759866511194</v>
      </c>
      <c r="W51" s="25">
        <v>0.20730790379976882</v>
      </c>
      <c r="X51" s="25">
        <v>1.3322615398619008E-3</v>
      </c>
      <c r="Y51" s="25">
        <v>9.5977519962707216</v>
      </c>
      <c r="Z51" s="25">
        <v>8.2785612285069607</v>
      </c>
      <c r="AA51" s="25">
        <v>18.52958757181959</v>
      </c>
      <c r="AB51" s="25">
        <v>2.8651066338464566</v>
      </c>
      <c r="AC51" s="25">
        <v>53.26247082751614</v>
      </c>
      <c r="AD51" s="25">
        <v>242.92391132263256</v>
      </c>
      <c r="AE51" s="25">
        <v>322.63818096142745</v>
      </c>
      <c r="AF51" s="25">
        <v>22.299600349084447</v>
      </c>
      <c r="AG51" s="25">
        <v>59.935414824624345</v>
      </c>
      <c r="AH51" s="25">
        <v>8.9730046844383899</v>
      </c>
      <c r="AI51" s="25">
        <v>564.6815077901415</v>
      </c>
      <c r="AJ51" s="25">
        <v>34.453139461017706</v>
      </c>
      <c r="AK51" s="25">
        <v>2581.1766351062402</v>
      </c>
      <c r="AL51" s="25">
        <v>14341.55838378254</v>
      </c>
      <c r="AM51" s="25">
        <v>3300.3373134390467</v>
      </c>
      <c r="AN51" s="25">
        <v>983.16666526052234</v>
      </c>
      <c r="AO51" s="25">
        <v>52.330694355244297</v>
      </c>
      <c r="AP51" s="25">
        <v>301.31336943600428</v>
      </c>
      <c r="AQ51" s="25">
        <v>307.70658297023147</v>
      </c>
      <c r="AR51" s="25">
        <v>50.264149875025154</v>
      </c>
      <c r="AS51" s="25">
        <v>36.012387677438824</v>
      </c>
      <c r="AT51" s="25">
        <v>20.778222294571197</v>
      </c>
      <c r="AU51" s="25">
        <v>785.35759982255843</v>
      </c>
      <c r="AV51" s="25">
        <v>473.88532155061534</v>
      </c>
      <c r="AW51" s="25">
        <v>6440.170059070414</v>
      </c>
      <c r="AX51" s="25">
        <v>3989.5370378023049</v>
      </c>
      <c r="AY51" s="40">
        <v>10881.125533085664</v>
      </c>
      <c r="AZ51" s="25">
        <v>16.998841306626257</v>
      </c>
      <c r="BA51" s="25">
        <v>37.881388843951967</v>
      </c>
      <c r="BB51" s="25">
        <v>468.52787033164481</v>
      </c>
      <c r="BC51" s="25">
        <v>0.85423412175968472</v>
      </c>
      <c r="BD51" s="25">
        <v>127.65474750974724</v>
      </c>
      <c r="BE51" s="25">
        <v>7.9318225706842913</v>
      </c>
      <c r="BF51" s="25">
        <v>63.957248925881871</v>
      </c>
      <c r="BG51" s="25">
        <v>42.991332419774345</v>
      </c>
      <c r="BH51" s="25">
        <v>17.659687764729792</v>
      </c>
      <c r="BI51" s="25">
        <v>105.19948954504332</v>
      </c>
      <c r="BJ51" s="25">
        <v>25.894499030955213</v>
      </c>
      <c r="BK51" s="25">
        <v>4.5107129366356569</v>
      </c>
      <c r="BL51" s="25">
        <v>104.63291894372357</v>
      </c>
      <c r="BM51" s="25">
        <v>24.997551249211742</v>
      </c>
      <c r="BN51" s="25">
        <v>985.30411581027749</v>
      </c>
      <c r="BO51" s="25">
        <v>69.08566996402034</v>
      </c>
      <c r="BP51" s="25">
        <v>169.90306121994516</v>
      </c>
      <c r="BQ51" s="25">
        <v>2105.9906583047068</v>
      </c>
      <c r="BR51" s="25">
        <v>386.81705052489747</v>
      </c>
      <c r="BS51" s="25">
        <v>10.290896307426587</v>
      </c>
      <c r="BT51" s="25">
        <v>1115.0396035565848</v>
      </c>
      <c r="BU51" s="25">
        <v>756.98635480200608</v>
      </c>
      <c r="BV51" s="25">
        <v>48.775690198333443</v>
      </c>
      <c r="BW51" s="25">
        <v>56.266082128551538</v>
      </c>
      <c r="BX51" s="25">
        <v>0</v>
      </c>
      <c r="BY51" s="25">
        <v>54634.729098956406</v>
      </c>
      <c r="BZ51" s="25">
        <v>13664.824970330388</v>
      </c>
      <c r="CA51" s="25">
        <v>0.20101334499748616</v>
      </c>
      <c r="CB51" s="25">
        <v>0</v>
      </c>
      <c r="CC51" s="25">
        <v>83335.689843752582</v>
      </c>
      <c r="CD51" s="25">
        <v>23505.118287990615</v>
      </c>
      <c r="CE51" s="25">
        <v>-47.563214374699541</v>
      </c>
      <c r="CF51" s="25">
        <v>120458.2709010439</v>
      </c>
      <c r="CG51" s="25">
        <v>175093</v>
      </c>
      <c r="CH51"/>
      <c r="CI51">
        <f t="shared" si="0"/>
        <v>0.68796737106020167</v>
      </c>
      <c r="CJ51"/>
      <c r="CK51"/>
      <c r="CL51"/>
      <c r="CM51"/>
      <c r="CN51"/>
      <c r="CO51"/>
      <c r="CP51"/>
      <c r="CQ51"/>
      <c r="CR51"/>
      <c r="CS51"/>
      <c r="CT51"/>
      <c r="CU51"/>
    </row>
    <row r="52" spans="1:99" s="5" customFormat="1" x14ac:dyDescent="0.3">
      <c r="A52" s="35" t="s">
        <v>56</v>
      </c>
      <c r="B52" s="11" t="s">
        <v>130</v>
      </c>
      <c r="C52" s="5">
        <v>47</v>
      </c>
      <c r="D52" s="25">
        <v>20065.541706563621</v>
      </c>
      <c r="E52" s="25">
        <v>10578.299785838793</v>
      </c>
      <c r="F52" s="25">
        <v>921.82921251614709</v>
      </c>
      <c r="G52" s="25">
        <v>706.51262849657394</v>
      </c>
      <c r="H52" s="25">
        <v>5517.4566938904163</v>
      </c>
      <c r="I52" s="25">
        <v>2970.1372374260145</v>
      </c>
      <c r="J52" s="25">
        <v>754.48005385188662</v>
      </c>
      <c r="K52" s="25">
        <v>33868.094291948582</v>
      </c>
      <c r="L52" s="25">
        <v>822.1010947530882</v>
      </c>
      <c r="M52" s="25">
        <v>33523.526065624763</v>
      </c>
      <c r="N52" s="25">
        <v>6301.9199192604456</v>
      </c>
      <c r="O52" s="25">
        <v>2229.3668409412026</v>
      </c>
      <c r="P52" s="25">
        <v>5179.4487849168536</v>
      </c>
      <c r="Q52" s="25">
        <v>6931.9009539894305</v>
      </c>
      <c r="R52" s="25">
        <v>5598.3531478971108</v>
      </c>
      <c r="S52" s="25">
        <v>2431.9729433450375</v>
      </c>
      <c r="T52" s="25">
        <v>7897.9729107214971</v>
      </c>
      <c r="U52" s="25">
        <v>1623.316593676898</v>
      </c>
      <c r="V52" s="25">
        <v>22262.355117920535</v>
      </c>
      <c r="W52" s="25">
        <v>567.16528087012659</v>
      </c>
      <c r="X52" s="25">
        <v>67.456585823462035</v>
      </c>
      <c r="Y52" s="25">
        <v>2076.0696515024588</v>
      </c>
      <c r="Z52" s="25">
        <v>10203.639387131579</v>
      </c>
      <c r="AA52" s="25">
        <v>6324.7889013458134</v>
      </c>
      <c r="AB52" s="25">
        <v>4149.2998470587772</v>
      </c>
      <c r="AC52" s="25">
        <v>4998.2658447644781</v>
      </c>
      <c r="AD52" s="25">
        <v>9399.1905089403172</v>
      </c>
      <c r="AE52" s="25">
        <v>6500.766194258531</v>
      </c>
      <c r="AF52" s="25">
        <v>7645.9370009666663</v>
      </c>
      <c r="AG52" s="25">
        <v>4695.2800829161752</v>
      </c>
      <c r="AH52" s="25">
        <v>7185.1642708040781</v>
      </c>
      <c r="AI52" s="25">
        <v>11261.649944928764</v>
      </c>
      <c r="AJ52" s="25">
        <v>7021.0688273661181</v>
      </c>
      <c r="AK52" s="25">
        <v>12401.701450999752</v>
      </c>
      <c r="AL52" s="25">
        <v>5613.1896610773765</v>
      </c>
      <c r="AM52" s="25">
        <v>5033.881228588315</v>
      </c>
      <c r="AN52" s="25">
        <v>1692.0256145105111</v>
      </c>
      <c r="AO52" s="25">
        <v>6771.1089491394687</v>
      </c>
      <c r="AP52" s="25">
        <v>6343.2247555907634</v>
      </c>
      <c r="AQ52" s="25">
        <v>3470.2671279758006</v>
      </c>
      <c r="AR52" s="25">
        <v>566.2875932681585</v>
      </c>
      <c r="AS52" s="25">
        <v>405.72392841422777</v>
      </c>
      <c r="AT52" s="25">
        <v>241.06616049123929</v>
      </c>
      <c r="AU52" s="25">
        <v>1369.5878911629823</v>
      </c>
      <c r="AV52" s="25">
        <v>32538.159260872741</v>
      </c>
      <c r="AW52" s="25">
        <v>1957.5111608912059</v>
      </c>
      <c r="AX52" s="25">
        <v>23303.721000672413</v>
      </c>
      <c r="AY52" s="40">
        <v>11823.040499430528</v>
      </c>
      <c r="AZ52" s="25">
        <v>459.20876514324829</v>
      </c>
      <c r="BA52" s="25">
        <v>1240.7376323839374</v>
      </c>
      <c r="BB52" s="25">
        <v>1360.3615475100489</v>
      </c>
      <c r="BC52" s="25">
        <v>1200.16428329731</v>
      </c>
      <c r="BD52" s="25">
        <v>24860.589492552768</v>
      </c>
      <c r="BE52" s="25">
        <v>1464.6658423432182</v>
      </c>
      <c r="BF52" s="25">
        <v>1272.1645866824017</v>
      </c>
      <c r="BG52" s="25">
        <v>4607.3854476909264</v>
      </c>
      <c r="BH52" s="25">
        <v>3117.9396059135042</v>
      </c>
      <c r="BI52" s="25">
        <v>3851.8159122881866</v>
      </c>
      <c r="BJ52" s="25">
        <v>2039.0853134722138</v>
      </c>
      <c r="BK52" s="25">
        <v>2754.8220399539814</v>
      </c>
      <c r="BL52" s="25">
        <v>1662.6058618047957</v>
      </c>
      <c r="BM52" s="25">
        <v>3375.4601037459565</v>
      </c>
      <c r="BN52" s="25">
        <v>1110.7929290398056</v>
      </c>
      <c r="BO52" s="25">
        <v>6017.6210691162396</v>
      </c>
      <c r="BP52" s="25">
        <v>460.41962990087433</v>
      </c>
      <c r="BQ52" s="25">
        <v>7320.3861655476358</v>
      </c>
      <c r="BR52" s="25">
        <v>5232.9747963414893</v>
      </c>
      <c r="BS52" s="25">
        <v>1673.3487107260698</v>
      </c>
      <c r="BT52" s="25">
        <v>7300.7418781253546</v>
      </c>
      <c r="BU52" s="25">
        <v>19050.647809622886</v>
      </c>
      <c r="BV52" s="25">
        <v>758.17377742172118</v>
      </c>
      <c r="BW52" s="25">
        <v>4810.0605338152945</v>
      </c>
      <c r="BX52" s="25">
        <v>0</v>
      </c>
      <c r="BY52" s="25">
        <v>472812.99832978169</v>
      </c>
      <c r="BZ52" s="25">
        <v>83853.490913122063</v>
      </c>
      <c r="CA52" s="25">
        <v>2765.5801388253753</v>
      </c>
      <c r="CB52" s="25">
        <v>2.4717411121239743</v>
      </c>
      <c r="CC52" s="25">
        <v>503799.2473376143</v>
      </c>
      <c r="CD52" s="25">
        <v>55581.557027372633</v>
      </c>
      <c r="CE52" s="25">
        <v>1763.6545121717481</v>
      </c>
      <c r="CF52" s="25">
        <v>647766.00167021831</v>
      </c>
      <c r="CG52" s="25">
        <v>1120579</v>
      </c>
      <c r="CH52"/>
      <c r="CI52">
        <f t="shared" si="0"/>
        <v>0.57806366322251113</v>
      </c>
      <c r="CJ52"/>
      <c r="CK52"/>
      <c r="CL52"/>
      <c r="CM52"/>
      <c r="CN52"/>
      <c r="CO52"/>
      <c r="CP52"/>
      <c r="CQ52"/>
      <c r="CR52"/>
      <c r="CS52"/>
      <c r="CT52"/>
      <c r="CU52"/>
    </row>
    <row r="53" spans="1:99" s="5" customFormat="1" x14ac:dyDescent="0.3">
      <c r="A53" s="36" t="s">
        <v>57</v>
      </c>
      <c r="B53" s="37" t="s">
        <v>131</v>
      </c>
      <c r="C53" s="65">
        <v>48</v>
      </c>
      <c r="D53" s="40">
        <v>7307.3660232477596</v>
      </c>
      <c r="E53" s="40">
        <v>2201.7665120681136</v>
      </c>
      <c r="F53" s="40">
        <v>759.10340752990169</v>
      </c>
      <c r="G53" s="40">
        <v>912.95436208083402</v>
      </c>
      <c r="H53" s="40">
        <v>6475.7006601466092</v>
      </c>
      <c r="I53" s="40">
        <v>3552.9980438873413</v>
      </c>
      <c r="J53" s="40">
        <v>781.7960738524331</v>
      </c>
      <c r="K53" s="40">
        <v>13074.053973132557</v>
      </c>
      <c r="L53" s="40">
        <v>3165.556141587002</v>
      </c>
      <c r="M53" s="40">
        <v>19108.959591359398</v>
      </c>
      <c r="N53" s="40">
        <v>3878.9551326853975</v>
      </c>
      <c r="O53" s="40">
        <v>300.63614987092728</v>
      </c>
      <c r="P53" s="40">
        <v>1315.00911060158</v>
      </c>
      <c r="Q53" s="40">
        <v>1051.8336654525804</v>
      </c>
      <c r="R53" s="40">
        <v>1211.3050703596639</v>
      </c>
      <c r="S53" s="40">
        <v>1569.2350687456862</v>
      </c>
      <c r="T53" s="40">
        <v>4157.8348546183315</v>
      </c>
      <c r="U53" s="40">
        <v>362.96299434351118</v>
      </c>
      <c r="V53" s="40">
        <v>5179.9924896021985</v>
      </c>
      <c r="W53" s="40">
        <v>131.32714249839793</v>
      </c>
      <c r="X53" s="40">
        <v>1.2085581841205741</v>
      </c>
      <c r="Y53" s="40">
        <v>2459.0715608331079</v>
      </c>
      <c r="Z53" s="40">
        <v>7156.4766755123464</v>
      </c>
      <c r="AA53" s="40">
        <v>2644.5351018205947</v>
      </c>
      <c r="AB53" s="40">
        <v>1989.3038032327186</v>
      </c>
      <c r="AC53" s="40">
        <v>3369.966023381889</v>
      </c>
      <c r="AD53" s="40">
        <v>3931.0659008956814</v>
      </c>
      <c r="AE53" s="40">
        <v>3424.3341707904519</v>
      </c>
      <c r="AF53" s="40">
        <v>7094.8221607334444</v>
      </c>
      <c r="AG53" s="40">
        <v>1499.330712084917</v>
      </c>
      <c r="AH53" s="40">
        <v>3232.6086077441591</v>
      </c>
      <c r="AI53" s="40">
        <v>2218.7861598598147</v>
      </c>
      <c r="AJ53" s="40">
        <v>1900.3046112759368</v>
      </c>
      <c r="AK53" s="40">
        <v>2935.6551544705976</v>
      </c>
      <c r="AL53" s="40">
        <v>5758.2056320100082</v>
      </c>
      <c r="AM53" s="40">
        <v>2546.4417560488491</v>
      </c>
      <c r="AN53" s="40">
        <v>772.23847171810689</v>
      </c>
      <c r="AO53" s="40">
        <v>1818.4498348962331</v>
      </c>
      <c r="AP53" s="40">
        <v>694.19440831480495</v>
      </c>
      <c r="AQ53" s="40">
        <v>3289.3868614696476</v>
      </c>
      <c r="AR53" s="40">
        <v>537.32433217993366</v>
      </c>
      <c r="AS53" s="40">
        <v>384.97283266695285</v>
      </c>
      <c r="AT53" s="40">
        <v>639.87315691344418</v>
      </c>
      <c r="AU53" s="40">
        <v>502.70007673407656</v>
      </c>
      <c r="AV53" s="40">
        <v>5229.3343750739723</v>
      </c>
      <c r="AW53" s="40">
        <v>1827.7701448998821</v>
      </c>
      <c r="AX53" s="40">
        <v>45681.213222787577</v>
      </c>
      <c r="AY53" s="40">
        <v>42845.105908360987</v>
      </c>
      <c r="AZ53" s="40">
        <v>286.10225480011775</v>
      </c>
      <c r="BA53" s="40">
        <v>351.73585615243695</v>
      </c>
      <c r="BB53" s="40">
        <v>5689.8904157816396</v>
      </c>
      <c r="BC53" s="40">
        <v>159.70357458075645</v>
      </c>
      <c r="BD53" s="40">
        <v>2928.6506095261602</v>
      </c>
      <c r="BE53" s="40">
        <v>432.91400896660303</v>
      </c>
      <c r="BF53" s="40">
        <v>501.40469538133152</v>
      </c>
      <c r="BG53" s="40">
        <v>642.82359557461996</v>
      </c>
      <c r="BH53" s="40">
        <v>779.7681183094694</v>
      </c>
      <c r="BI53" s="40">
        <v>2072.0931144338556</v>
      </c>
      <c r="BJ53" s="40">
        <v>359.99090184204476</v>
      </c>
      <c r="BK53" s="40">
        <v>1279.8994913363929</v>
      </c>
      <c r="BL53" s="40">
        <v>1038.5243666643423</v>
      </c>
      <c r="BM53" s="40">
        <v>445.46072578398775</v>
      </c>
      <c r="BN53" s="40">
        <v>596.29321067965964</v>
      </c>
      <c r="BO53" s="40">
        <v>897.37588982598277</v>
      </c>
      <c r="BP53" s="40">
        <v>146.71538069477421</v>
      </c>
      <c r="BQ53" s="40">
        <v>4091.6499007281814</v>
      </c>
      <c r="BR53" s="40">
        <v>2338.8551006309112</v>
      </c>
      <c r="BS53" s="40">
        <v>1558.6124707310425</v>
      </c>
      <c r="BT53" s="40">
        <v>1497.2123866294062</v>
      </c>
      <c r="BU53" s="40">
        <v>615.04952014553612</v>
      </c>
      <c r="BV53" s="40">
        <v>325.60879577067749</v>
      </c>
      <c r="BW53" s="40">
        <v>2457.6103397295406</v>
      </c>
      <c r="BX53" s="40">
        <v>0</v>
      </c>
      <c r="BY53" s="40">
        <v>264377.97140726389</v>
      </c>
      <c r="BZ53" s="40">
        <v>16374.593619082512</v>
      </c>
      <c r="CA53" s="40">
        <v>89.02712311319813</v>
      </c>
      <c r="CB53" s="40">
        <v>0</v>
      </c>
      <c r="CC53" s="40">
        <v>113227.29825149941</v>
      </c>
      <c r="CD53" s="40">
        <v>4736.7297729722841</v>
      </c>
      <c r="CE53" s="40">
        <v>7.4247544151011349</v>
      </c>
      <c r="CF53" s="40">
        <v>134435.07352108249</v>
      </c>
      <c r="CG53" s="40">
        <v>398813</v>
      </c>
      <c r="CH53"/>
      <c r="CI53">
        <f t="shared" si="0"/>
        <v>0.3370879924202132</v>
      </c>
      <c r="CJ53"/>
      <c r="CK53"/>
      <c r="CL53"/>
      <c r="CM53"/>
      <c r="CN53"/>
      <c r="CO53"/>
      <c r="CP53"/>
      <c r="CQ53"/>
      <c r="CR53"/>
      <c r="CS53"/>
      <c r="CT53"/>
      <c r="CU53"/>
    </row>
    <row r="54" spans="1:99" s="5" customFormat="1" x14ac:dyDescent="0.3">
      <c r="A54" s="35" t="s">
        <v>58</v>
      </c>
      <c r="B54" s="11" t="s">
        <v>132</v>
      </c>
      <c r="C54" s="5">
        <v>49</v>
      </c>
      <c r="D54" s="25">
        <v>39.738558740146246</v>
      </c>
      <c r="E54" s="25">
        <v>30.188918246216822</v>
      </c>
      <c r="F54" s="25">
        <v>2.6028833823347202</v>
      </c>
      <c r="G54" s="25">
        <v>2.5855371349157599</v>
      </c>
      <c r="H54" s="25">
        <v>6014.8755587431851</v>
      </c>
      <c r="I54" s="25">
        <v>6.5371674912135287</v>
      </c>
      <c r="J54" s="25">
        <v>12.379639175879493</v>
      </c>
      <c r="K54" s="25">
        <v>1215.6784063633283</v>
      </c>
      <c r="L54" s="25">
        <v>99.638254040825615</v>
      </c>
      <c r="M54" s="25">
        <v>529.87292202419474</v>
      </c>
      <c r="N54" s="25">
        <v>15.88119763356746</v>
      </c>
      <c r="O54" s="25">
        <v>4.1122728787308764</v>
      </c>
      <c r="P54" s="25">
        <v>17.862456136156563</v>
      </c>
      <c r="Q54" s="25">
        <v>18.671242358527557</v>
      </c>
      <c r="R54" s="25">
        <v>10.956892188280534</v>
      </c>
      <c r="S54" s="25">
        <v>168.8246464021579</v>
      </c>
      <c r="T54" s="25">
        <v>1369.3082061469966</v>
      </c>
      <c r="U54" s="25">
        <v>15.165712719845541</v>
      </c>
      <c r="V54" s="25">
        <v>101.21961418139165</v>
      </c>
      <c r="W54" s="25">
        <v>2.5958000121991187</v>
      </c>
      <c r="X54" s="25">
        <v>1.6586294373946282E-2</v>
      </c>
      <c r="Y54" s="25">
        <v>38.12868923004001</v>
      </c>
      <c r="Z54" s="25">
        <v>681.41859492518847</v>
      </c>
      <c r="AA54" s="25">
        <v>22.967492923394623</v>
      </c>
      <c r="AB54" s="25">
        <v>44.625488462328235</v>
      </c>
      <c r="AC54" s="25">
        <v>7.3439862481081155</v>
      </c>
      <c r="AD54" s="25">
        <v>61.018072297882867</v>
      </c>
      <c r="AE54" s="25">
        <v>117.53425250062286</v>
      </c>
      <c r="AF54" s="25">
        <v>364.35022320822014</v>
      </c>
      <c r="AG54" s="25">
        <v>29.901182597955984</v>
      </c>
      <c r="AH54" s="25">
        <v>46.359125724543944</v>
      </c>
      <c r="AI54" s="25">
        <v>47.513142873108485</v>
      </c>
      <c r="AJ54" s="25">
        <v>46.656802865813631</v>
      </c>
      <c r="AK54" s="25">
        <v>252.53357961632307</v>
      </c>
      <c r="AL54" s="25">
        <v>200.58448276321442</v>
      </c>
      <c r="AM54" s="25">
        <v>87.17513606303028</v>
      </c>
      <c r="AN54" s="25">
        <v>92.291004147773691</v>
      </c>
      <c r="AO54" s="25">
        <v>11.271709712572363</v>
      </c>
      <c r="AP54" s="25">
        <v>19.772229527510056</v>
      </c>
      <c r="AQ54" s="25">
        <v>10.425441832857267</v>
      </c>
      <c r="AR54" s="25">
        <v>1.7030053947555313</v>
      </c>
      <c r="AS54" s="25">
        <v>1.2201398142650921</v>
      </c>
      <c r="AT54" s="25">
        <v>1.9369097344608115</v>
      </c>
      <c r="AU54" s="25">
        <v>3.9900222023776273</v>
      </c>
      <c r="AV54" s="25">
        <v>85.468364875685026</v>
      </c>
      <c r="AW54" s="25">
        <v>17.570055112240993</v>
      </c>
      <c r="AX54" s="25">
        <v>974.42611412135864</v>
      </c>
      <c r="AY54" s="40">
        <v>662.32474817511718</v>
      </c>
      <c r="AZ54" s="25">
        <v>942.87093059620565</v>
      </c>
      <c r="BA54" s="25">
        <v>4.0695481146660315</v>
      </c>
      <c r="BB54" s="25">
        <v>56.843633095432182</v>
      </c>
      <c r="BC54" s="25">
        <v>4.3362899842979017</v>
      </c>
      <c r="BD54" s="25">
        <v>66.858184593534176</v>
      </c>
      <c r="BE54" s="25">
        <v>1.4128613280297491</v>
      </c>
      <c r="BF54" s="25">
        <v>3.4855759526679879</v>
      </c>
      <c r="BG54" s="25">
        <v>6.1442029474498181</v>
      </c>
      <c r="BH54" s="25">
        <v>19.801372660073508</v>
      </c>
      <c r="BI54" s="25">
        <v>14.746732686413331</v>
      </c>
      <c r="BJ54" s="25">
        <v>9.2220012855881137</v>
      </c>
      <c r="BK54" s="25">
        <v>15.018517159942935</v>
      </c>
      <c r="BL54" s="25">
        <v>5.1919710583971082</v>
      </c>
      <c r="BM54" s="25">
        <v>4.4003647920266644</v>
      </c>
      <c r="BN54" s="25">
        <v>3.7254654495693149</v>
      </c>
      <c r="BO54" s="25">
        <v>239.95377005778735</v>
      </c>
      <c r="BP54" s="25">
        <v>1.6846209135302099</v>
      </c>
      <c r="BQ54" s="25">
        <v>14.07295316425826</v>
      </c>
      <c r="BR54" s="25">
        <v>5.5129645052011389</v>
      </c>
      <c r="BS54" s="25">
        <v>12.051006748532979</v>
      </c>
      <c r="BT54" s="25">
        <v>7.2066724344558706</v>
      </c>
      <c r="BU54" s="25">
        <v>19.466725314694735</v>
      </c>
      <c r="BV54" s="25">
        <v>9.8233458443424642</v>
      </c>
      <c r="BW54" s="25">
        <v>13.563344936561172</v>
      </c>
      <c r="BX54" s="25">
        <v>0</v>
      </c>
      <c r="BY54" s="25">
        <v>15090.685524868877</v>
      </c>
      <c r="BZ54" s="25">
        <v>5851.6851012527004</v>
      </c>
      <c r="CA54" s="25">
        <v>2.0410605773876287</v>
      </c>
      <c r="CB54" s="25">
        <v>0</v>
      </c>
      <c r="CC54" s="25">
        <v>1989.5854759988795</v>
      </c>
      <c r="CD54" s="25">
        <v>108.00283731465244</v>
      </c>
      <c r="CE54" s="25">
        <v>0</v>
      </c>
      <c r="CF54" s="25">
        <v>7951.3144751436203</v>
      </c>
      <c r="CG54" s="25">
        <v>23042</v>
      </c>
      <c r="CH54"/>
      <c r="CI54">
        <f t="shared" si="0"/>
        <v>0.34507918041591962</v>
      </c>
      <c r="CJ54"/>
      <c r="CK54"/>
      <c r="CL54"/>
      <c r="CM54"/>
      <c r="CN54"/>
      <c r="CO54"/>
      <c r="CP54"/>
      <c r="CQ54"/>
      <c r="CR54"/>
      <c r="CS54"/>
      <c r="CT54"/>
      <c r="CU54"/>
    </row>
    <row r="55" spans="1:99" s="5" customFormat="1" x14ac:dyDescent="0.3">
      <c r="A55" s="35" t="s">
        <v>59</v>
      </c>
      <c r="B55" s="11" t="s">
        <v>133</v>
      </c>
      <c r="C55" s="5">
        <v>50</v>
      </c>
      <c r="D55" s="25">
        <v>0.79905326692108847</v>
      </c>
      <c r="E55" s="25">
        <v>1.4439554785159681E-2</v>
      </c>
      <c r="F55" s="25">
        <v>1.5836669790570173</v>
      </c>
      <c r="G55" s="25">
        <v>3.1838363064399311</v>
      </c>
      <c r="H55" s="25">
        <v>2233.721365296376</v>
      </c>
      <c r="I55" s="25">
        <v>14.193181798831777</v>
      </c>
      <c r="J55" s="25">
        <v>26.652112690132729</v>
      </c>
      <c r="K55" s="25">
        <v>281.00853600982867</v>
      </c>
      <c r="L55" s="25">
        <v>6.5657007927906239</v>
      </c>
      <c r="M55" s="25">
        <v>241.49937327503272</v>
      </c>
      <c r="N55" s="25">
        <v>40.851482869586718</v>
      </c>
      <c r="O55" s="25">
        <v>19.611217216316742</v>
      </c>
      <c r="P55" s="25">
        <v>27.322520590872287</v>
      </c>
      <c r="Q55" s="25">
        <v>31.392047492944254</v>
      </c>
      <c r="R55" s="25">
        <v>44.045633143730328</v>
      </c>
      <c r="S55" s="25">
        <v>47.832557330721329</v>
      </c>
      <c r="T55" s="25">
        <v>96.658070521193025</v>
      </c>
      <c r="U55" s="25">
        <v>14.98810947867139</v>
      </c>
      <c r="V55" s="25">
        <v>39.344344055720526</v>
      </c>
      <c r="W55" s="25">
        <v>1.0089946460058863</v>
      </c>
      <c r="X55" s="25">
        <v>6.44713850902995E-3</v>
      </c>
      <c r="Y55" s="25">
        <v>5.9729268799432429</v>
      </c>
      <c r="Z55" s="25">
        <v>264.93539712872956</v>
      </c>
      <c r="AA55" s="25">
        <v>280.40282687550774</v>
      </c>
      <c r="AB55" s="25">
        <v>11.368271568480099</v>
      </c>
      <c r="AC55" s="25">
        <v>127.40858922296806</v>
      </c>
      <c r="AD55" s="25">
        <v>43.297397548671846</v>
      </c>
      <c r="AE55" s="25">
        <v>102.16068047384822</v>
      </c>
      <c r="AF55" s="25">
        <v>93.104242004305348</v>
      </c>
      <c r="AG55" s="25">
        <v>12.549693807093385</v>
      </c>
      <c r="AH55" s="25">
        <v>48.356506890068552</v>
      </c>
      <c r="AI55" s="25">
        <v>234.43860203246516</v>
      </c>
      <c r="AJ55" s="25">
        <v>144.25546938827034</v>
      </c>
      <c r="AK55" s="25">
        <v>177.37014319415687</v>
      </c>
      <c r="AL55" s="25">
        <v>220.18353642741127</v>
      </c>
      <c r="AM55" s="25">
        <v>91.31017008409313</v>
      </c>
      <c r="AN55" s="25">
        <v>47.099513457103818</v>
      </c>
      <c r="AO55" s="25">
        <v>33.44472077240443</v>
      </c>
      <c r="AP55" s="25">
        <v>72.917505390122955</v>
      </c>
      <c r="AQ55" s="25">
        <v>321.08406570378929</v>
      </c>
      <c r="AR55" s="25">
        <v>52.449373832795224</v>
      </c>
      <c r="AS55" s="25">
        <v>37.578019097146665</v>
      </c>
      <c r="AT55" s="25">
        <v>117.87551411520981</v>
      </c>
      <c r="AU55" s="25">
        <v>44.588147844944181</v>
      </c>
      <c r="AV55" s="25">
        <v>926.79588030933155</v>
      </c>
      <c r="AW55" s="25">
        <v>195.094440121877</v>
      </c>
      <c r="AX55" s="25">
        <v>3175.7569603532124</v>
      </c>
      <c r="AY55" s="40">
        <v>202.62404661747215</v>
      </c>
      <c r="AZ55" s="25">
        <v>85.475450371379267</v>
      </c>
      <c r="BA55" s="25">
        <v>12.776601096574467</v>
      </c>
      <c r="BB55" s="25">
        <v>716.74798812707093</v>
      </c>
      <c r="BC55" s="25">
        <v>67.135472436385641</v>
      </c>
      <c r="BD55" s="25">
        <v>64.579261167507681</v>
      </c>
      <c r="BE55" s="25">
        <v>12.95193854753712</v>
      </c>
      <c r="BF55" s="25">
        <v>142.7618131583499</v>
      </c>
      <c r="BG55" s="25">
        <v>154.00668186818808</v>
      </c>
      <c r="BH55" s="25">
        <v>661.76746376484198</v>
      </c>
      <c r="BI55" s="25">
        <v>1955.7044157217938</v>
      </c>
      <c r="BJ55" s="25">
        <v>61.593475700029707</v>
      </c>
      <c r="BK55" s="25">
        <v>848.28966343902027</v>
      </c>
      <c r="BL55" s="25">
        <v>251.59133410202563</v>
      </c>
      <c r="BM55" s="25">
        <v>548.838226182639</v>
      </c>
      <c r="BN55" s="25">
        <v>84.822661739423751</v>
      </c>
      <c r="BO55" s="25">
        <v>305.04012607751815</v>
      </c>
      <c r="BP55" s="25">
        <v>22.538514957049436</v>
      </c>
      <c r="BQ55" s="25">
        <v>1037.9844848969544</v>
      </c>
      <c r="BR55" s="25">
        <v>307.43786699756174</v>
      </c>
      <c r="BS55" s="25">
        <v>1902.2029143282734</v>
      </c>
      <c r="BT55" s="25">
        <v>343.80313866984761</v>
      </c>
      <c r="BU55" s="25">
        <v>6.1739410674261332</v>
      </c>
      <c r="BV55" s="25">
        <v>90.362573023187764</v>
      </c>
      <c r="BW55" s="25">
        <v>6697.2625784778875</v>
      </c>
      <c r="BX55" s="25">
        <v>0</v>
      </c>
      <c r="BY55" s="25">
        <v>26638.553917514364</v>
      </c>
      <c r="BZ55" s="25">
        <v>7922.3153352442387</v>
      </c>
      <c r="CA55" s="25">
        <v>0</v>
      </c>
      <c r="CB55" s="25">
        <v>0</v>
      </c>
      <c r="CC55" s="25">
        <v>10246.13074725425</v>
      </c>
      <c r="CD55" s="25">
        <v>0</v>
      </c>
      <c r="CE55" s="25">
        <v>0</v>
      </c>
      <c r="CF55" s="25">
        <v>18168.446082498489</v>
      </c>
      <c r="CG55" s="25">
        <v>44807</v>
      </c>
      <c r="CH55"/>
      <c r="CI55">
        <f t="shared" si="0"/>
        <v>0.40548231487264241</v>
      </c>
      <c r="CJ55"/>
      <c r="CK55"/>
      <c r="CL55"/>
      <c r="CM55"/>
      <c r="CN55"/>
      <c r="CO55"/>
      <c r="CP55"/>
      <c r="CQ55"/>
      <c r="CR55"/>
      <c r="CS55"/>
      <c r="CT55"/>
      <c r="CU55"/>
    </row>
    <row r="56" spans="1:99" s="5" customFormat="1" x14ac:dyDescent="0.3">
      <c r="A56" s="35" t="s">
        <v>60</v>
      </c>
      <c r="B56" s="11" t="s">
        <v>134</v>
      </c>
      <c r="C56" s="5">
        <v>51</v>
      </c>
      <c r="D56" s="25">
        <v>1107.5530893104053</v>
      </c>
      <c r="E56" s="25">
        <v>52.734320300833829</v>
      </c>
      <c r="F56" s="25">
        <v>257.12418087482206</v>
      </c>
      <c r="G56" s="25">
        <v>27.332603392649428</v>
      </c>
      <c r="H56" s="25">
        <v>4686.5244651753528</v>
      </c>
      <c r="I56" s="25">
        <v>2866.9374720018664</v>
      </c>
      <c r="J56" s="25">
        <v>452.77896691470039</v>
      </c>
      <c r="K56" s="25">
        <v>3106.4543221425342</v>
      </c>
      <c r="L56" s="25">
        <v>1445.7661406731338</v>
      </c>
      <c r="M56" s="25">
        <v>3759.9643714657623</v>
      </c>
      <c r="N56" s="25">
        <v>1966.434338465094</v>
      </c>
      <c r="O56" s="25">
        <v>30.597631579185716</v>
      </c>
      <c r="P56" s="25">
        <v>174.62685915767094</v>
      </c>
      <c r="Q56" s="25">
        <v>117.35982557940046</v>
      </c>
      <c r="R56" s="25">
        <v>178.81607674240067</v>
      </c>
      <c r="S56" s="25">
        <v>283.69214735234266</v>
      </c>
      <c r="T56" s="25">
        <v>1642.0242484833598</v>
      </c>
      <c r="U56" s="25">
        <v>168.0324596306701</v>
      </c>
      <c r="V56" s="25">
        <v>785.99973305102799</v>
      </c>
      <c r="W56" s="25">
        <v>20.157141806389667</v>
      </c>
      <c r="X56" s="25">
        <v>0.12879739816894351</v>
      </c>
      <c r="Y56" s="25">
        <v>888.97562803098106</v>
      </c>
      <c r="Z56" s="25">
        <v>1113.0502184619572</v>
      </c>
      <c r="AA56" s="25">
        <v>890.70270508442729</v>
      </c>
      <c r="AB56" s="25">
        <v>427.10706328202031</v>
      </c>
      <c r="AC56" s="25">
        <v>680.8296416773336</v>
      </c>
      <c r="AD56" s="25">
        <v>289.22322789928495</v>
      </c>
      <c r="AE56" s="25">
        <v>340.4563316440142</v>
      </c>
      <c r="AF56" s="25">
        <v>3106.143447158548</v>
      </c>
      <c r="AG56" s="25">
        <v>156.05659709763083</v>
      </c>
      <c r="AH56" s="25">
        <v>882.07570623616118</v>
      </c>
      <c r="AI56" s="25">
        <v>721.49553988904836</v>
      </c>
      <c r="AJ56" s="25">
        <v>872.11436804355446</v>
      </c>
      <c r="AK56" s="25">
        <v>355.37907464917532</v>
      </c>
      <c r="AL56" s="25">
        <v>3921.2234692979123</v>
      </c>
      <c r="AM56" s="25">
        <v>725.8449677609218</v>
      </c>
      <c r="AN56" s="25">
        <v>363.13483923989639</v>
      </c>
      <c r="AO56" s="25">
        <v>382.29547029925698</v>
      </c>
      <c r="AP56" s="25">
        <v>230.35013783318922</v>
      </c>
      <c r="AQ56" s="25">
        <v>533.24293120405105</v>
      </c>
      <c r="AR56" s="25">
        <v>87.105717255425631</v>
      </c>
      <c r="AS56" s="25">
        <v>62.407995888186534</v>
      </c>
      <c r="AT56" s="25">
        <v>91.493001976555561</v>
      </c>
      <c r="AU56" s="25">
        <v>26.775828013869667</v>
      </c>
      <c r="AV56" s="25">
        <v>631.94792252939851</v>
      </c>
      <c r="AW56" s="25">
        <v>761.13506529545714</v>
      </c>
      <c r="AX56" s="25">
        <v>16732.046905600353</v>
      </c>
      <c r="AY56" s="40">
        <v>8818.9588852887646</v>
      </c>
      <c r="AZ56" s="25">
        <v>2554.2717158953233</v>
      </c>
      <c r="BA56" s="25">
        <v>5204.6672426241585</v>
      </c>
      <c r="BB56" s="25">
        <v>5321.281311320422</v>
      </c>
      <c r="BC56" s="25">
        <v>72.467839472057094</v>
      </c>
      <c r="BD56" s="25">
        <v>328.64455285321708</v>
      </c>
      <c r="BE56" s="25">
        <v>57.145727050278083</v>
      </c>
      <c r="BF56" s="25">
        <v>87.252761869702184</v>
      </c>
      <c r="BG56" s="25">
        <v>571.79887165813284</v>
      </c>
      <c r="BH56" s="25">
        <v>184.265875497129</v>
      </c>
      <c r="BI56" s="25">
        <v>4048.7975784176729</v>
      </c>
      <c r="BJ56" s="25">
        <v>236.48941730981929</v>
      </c>
      <c r="BK56" s="25">
        <v>685.69265925087916</v>
      </c>
      <c r="BL56" s="25">
        <v>220.72559103183312</v>
      </c>
      <c r="BM56" s="25">
        <v>295.91744032336356</v>
      </c>
      <c r="BN56" s="25">
        <v>239.99222233599662</v>
      </c>
      <c r="BO56" s="25">
        <v>830.20474620239497</v>
      </c>
      <c r="BP56" s="25">
        <v>78.821922895319474</v>
      </c>
      <c r="BQ56" s="25">
        <v>3809.818074670743</v>
      </c>
      <c r="BR56" s="25">
        <v>316.69512482140237</v>
      </c>
      <c r="BS56" s="25">
        <v>504.49716694563062</v>
      </c>
      <c r="BT56" s="25">
        <v>409.62304004189883</v>
      </c>
      <c r="BU56" s="25">
        <v>347.65630013322732</v>
      </c>
      <c r="BV56" s="25">
        <v>80.772732225547003</v>
      </c>
      <c r="BW56" s="25">
        <v>1440.9069236435296</v>
      </c>
      <c r="BX56" s="25">
        <v>0</v>
      </c>
      <c r="BY56" s="25">
        <v>95151.018716624792</v>
      </c>
      <c r="BZ56" s="25">
        <v>11538.986655413724</v>
      </c>
      <c r="CA56" s="25">
        <v>0.43480693774667994</v>
      </c>
      <c r="CB56" s="25">
        <v>0</v>
      </c>
      <c r="CC56" s="25">
        <v>32126.448709308461</v>
      </c>
      <c r="CD56" s="25">
        <v>27.164585408448154</v>
      </c>
      <c r="CE56" s="25">
        <v>-5.3473668458267343E-2</v>
      </c>
      <c r="CF56" s="25">
        <v>43692.981283399931</v>
      </c>
      <c r="CG56" s="25">
        <v>138844</v>
      </c>
      <c r="CH56"/>
      <c r="CI56">
        <f t="shared" si="0"/>
        <v>0.31469117342773134</v>
      </c>
      <c r="CJ56"/>
      <c r="CK56"/>
      <c r="CL56"/>
      <c r="CM56"/>
      <c r="CN56"/>
      <c r="CO56"/>
      <c r="CP56"/>
      <c r="CQ56"/>
      <c r="CR56"/>
      <c r="CS56"/>
      <c r="CT56"/>
      <c r="CU56"/>
    </row>
    <row r="57" spans="1:99" s="5" customFormat="1" x14ac:dyDescent="0.3">
      <c r="A57" s="35" t="s">
        <v>61</v>
      </c>
      <c r="B57" s="13" t="s">
        <v>135</v>
      </c>
      <c r="C57" s="5">
        <v>52</v>
      </c>
      <c r="D57" s="25">
        <v>4.1299403891300894</v>
      </c>
      <c r="E57" s="25">
        <v>1.6539141168804776</v>
      </c>
      <c r="F57" s="25">
        <v>1.8855479741863035</v>
      </c>
      <c r="G57" s="25">
        <v>7.1801427190256737</v>
      </c>
      <c r="H57" s="25">
        <v>210.79458798825763</v>
      </c>
      <c r="I57" s="25">
        <v>67.189308294123691</v>
      </c>
      <c r="J57" s="25">
        <v>10.722197356910591</v>
      </c>
      <c r="K57" s="25">
        <v>227.90752147712357</v>
      </c>
      <c r="L57" s="25">
        <v>17.923758997004594</v>
      </c>
      <c r="M57" s="25">
        <v>219.73660869357889</v>
      </c>
      <c r="N57" s="25">
        <v>37.954434703365123</v>
      </c>
      <c r="O57" s="25">
        <v>18.431230210578658</v>
      </c>
      <c r="P57" s="25">
        <v>19.077938535895267</v>
      </c>
      <c r="Q57" s="25">
        <v>16.25863062844563</v>
      </c>
      <c r="R57" s="25">
        <v>20.680217006945465</v>
      </c>
      <c r="S57" s="25">
        <v>6.5217089329862228</v>
      </c>
      <c r="T57" s="25">
        <v>63.922052311575101</v>
      </c>
      <c r="U57" s="25">
        <v>6.4289490904216215</v>
      </c>
      <c r="V57" s="25">
        <v>24.168982174261171</v>
      </c>
      <c r="W57" s="25">
        <v>0.61981904130119891</v>
      </c>
      <c r="X57" s="25">
        <v>3.9604364855863397E-3</v>
      </c>
      <c r="Y57" s="25">
        <v>11.931859118285539</v>
      </c>
      <c r="Z57" s="25">
        <v>99.185218472284745</v>
      </c>
      <c r="AA57" s="25">
        <v>109.70875104985157</v>
      </c>
      <c r="AB57" s="25">
        <v>28.097571139949583</v>
      </c>
      <c r="AC57" s="25">
        <v>149.94686271690583</v>
      </c>
      <c r="AD57" s="25">
        <v>79.003465364983967</v>
      </c>
      <c r="AE57" s="25">
        <v>57.578128736208946</v>
      </c>
      <c r="AF57" s="25">
        <v>146.301262182264</v>
      </c>
      <c r="AG57" s="25">
        <v>33.303140250125658</v>
      </c>
      <c r="AH57" s="25">
        <v>115.729047456459</v>
      </c>
      <c r="AI57" s="25">
        <v>112.15544866816481</v>
      </c>
      <c r="AJ57" s="25">
        <v>84.579515697068715</v>
      </c>
      <c r="AK57" s="25">
        <v>210.10910413450665</v>
      </c>
      <c r="AL57" s="25">
        <v>92.81491084604329</v>
      </c>
      <c r="AM57" s="25">
        <v>69.413079918143765</v>
      </c>
      <c r="AN57" s="25">
        <v>44.510514192529314</v>
      </c>
      <c r="AO57" s="25">
        <v>82.030390631206998</v>
      </c>
      <c r="AP57" s="25">
        <v>53.462758137576323</v>
      </c>
      <c r="AQ57" s="25">
        <v>111.47479007738856</v>
      </c>
      <c r="AR57" s="25">
        <v>18.20950823232435</v>
      </c>
      <c r="AS57" s="25">
        <v>13.046433123975129</v>
      </c>
      <c r="AT57" s="25">
        <v>33.053968069323808</v>
      </c>
      <c r="AU57" s="25">
        <v>9.7735635946774817</v>
      </c>
      <c r="AV57" s="25">
        <v>701.0105264509159</v>
      </c>
      <c r="AW57" s="25">
        <v>259.87589815154803</v>
      </c>
      <c r="AX57" s="25">
        <v>2207.8944152886243</v>
      </c>
      <c r="AY57" s="40">
        <v>143.84622313269489</v>
      </c>
      <c r="AZ57" s="25">
        <v>3.2071102550848822</v>
      </c>
      <c r="BA57" s="25">
        <v>48.46961589671853</v>
      </c>
      <c r="BB57" s="25">
        <v>154.51379073081534</v>
      </c>
      <c r="BC57" s="25">
        <v>1.4376490191730635</v>
      </c>
      <c r="BD57" s="25">
        <v>31.326821418496454</v>
      </c>
      <c r="BE57" s="25">
        <v>41.951638028711251</v>
      </c>
      <c r="BF57" s="25">
        <v>100.1945395103802</v>
      </c>
      <c r="BG57" s="25">
        <v>64.727150329350081</v>
      </c>
      <c r="BH57" s="25">
        <v>375.71861868480795</v>
      </c>
      <c r="BI57" s="25">
        <v>679.87963362726805</v>
      </c>
      <c r="BJ57" s="25">
        <v>43.252992669439386</v>
      </c>
      <c r="BK57" s="25">
        <v>239.44119742959046</v>
      </c>
      <c r="BL57" s="25">
        <v>184.68858197646082</v>
      </c>
      <c r="BM57" s="25">
        <v>108.1845177176971</v>
      </c>
      <c r="BN57" s="25">
        <v>103.5002900171001</v>
      </c>
      <c r="BO57" s="25">
        <v>118.54613348883626</v>
      </c>
      <c r="BP57" s="25">
        <v>29.531699344222481</v>
      </c>
      <c r="BQ57" s="25">
        <v>1383.4049461425404</v>
      </c>
      <c r="BR57" s="25">
        <v>155.66127396500133</v>
      </c>
      <c r="BS57" s="25">
        <v>255.27052038774477</v>
      </c>
      <c r="BT57" s="25">
        <v>224.24028635002691</v>
      </c>
      <c r="BU57" s="25">
        <v>4.831271841991799</v>
      </c>
      <c r="BV57" s="25">
        <v>96.513917184275584</v>
      </c>
      <c r="BW57" s="25">
        <v>4241.445451017602</v>
      </c>
      <c r="BX57" s="25">
        <v>0</v>
      </c>
      <c r="BY57" s="25">
        <v>14751.177452945849</v>
      </c>
      <c r="BZ57" s="25">
        <v>6880.209336048214</v>
      </c>
      <c r="CA57" s="25">
        <v>0.24925654779688283</v>
      </c>
      <c r="CB57" s="25">
        <v>0</v>
      </c>
      <c r="CC57" s="25">
        <v>6148.9937125620991</v>
      </c>
      <c r="CD57" s="25">
        <v>6.3702419016962235</v>
      </c>
      <c r="CE57" s="25">
        <v>0</v>
      </c>
      <c r="CF57" s="25">
        <v>13035.822547059804</v>
      </c>
      <c r="CG57" s="25">
        <v>27787</v>
      </c>
      <c r="CH57"/>
      <c r="CI57">
        <f t="shared" si="0"/>
        <v>0.46913385925288098</v>
      </c>
      <c r="CJ57"/>
      <c r="CK57"/>
      <c r="CL57"/>
      <c r="CM57"/>
      <c r="CN57"/>
      <c r="CO57"/>
      <c r="CP57"/>
      <c r="CQ57"/>
      <c r="CR57"/>
      <c r="CS57"/>
      <c r="CT57"/>
      <c r="CU57"/>
    </row>
    <row r="58" spans="1:99" s="5" customFormat="1" x14ac:dyDescent="0.3">
      <c r="A58" s="35" t="s">
        <v>62</v>
      </c>
      <c r="B58" s="11" t="s">
        <v>136</v>
      </c>
      <c r="C58" s="5">
        <v>53</v>
      </c>
      <c r="D58" s="25">
        <v>5.7119932735848611</v>
      </c>
      <c r="E58" s="25">
        <v>1.4331555606058743</v>
      </c>
      <c r="F58" s="25">
        <v>2.3233255211820136</v>
      </c>
      <c r="G58" s="25">
        <v>2.347896864613694</v>
      </c>
      <c r="H58" s="25">
        <v>283.53170987077993</v>
      </c>
      <c r="I58" s="25">
        <v>12.248523266194535</v>
      </c>
      <c r="J58" s="25">
        <v>7.5612080659865466</v>
      </c>
      <c r="K58" s="25">
        <v>11.132710380226914</v>
      </c>
      <c r="L58" s="25">
        <v>2.699068888044085</v>
      </c>
      <c r="M58" s="25">
        <v>142.84797368956083</v>
      </c>
      <c r="N58" s="25">
        <v>4.3215952222837561</v>
      </c>
      <c r="O58" s="25">
        <v>0.62829077831660807</v>
      </c>
      <c r="P58" s="25">
        <v>10.940055490937596</v>
      </c>
      <c r="Q58" s="25">
        <v>5.0451783118353903</v>
      </c>
      <c r="R58" s="25">
        <v>1.5443919100336991</v>
      </c>
      <c r="S58" s="25">
        <v>1.3941140877125768</v>
      </c>
      <c r="T58" s="25">
        <v>10.376542611336134</v>
      </c>
      <c r="U58" s="25">
        <v>13.041173943425179</v>
      </c>
      <c r="V58" s="25">
        <v>6.3176786733876149</v>
      </c>
      <c r="W58" s="25">
        <v>0.16201830554363614</v>
      </c>
      <c r="X58" s="25">
        <v>1.0352428141943415E-3</v>
      </c>
      <c r="Y58" s="25">
        <v>3.477555211943594</v>
      </c>
      <c r="Z58" s="25">
        <v>101.34716896151355</v>
      </c>
      <c r="AA58" s="25">
        <v>120.55989439740378</v>
      </c>
      <c r="AB58" s="25">
        <v>2.8213971837212117</v>
      </c>
      <c r="AC58" s="25">
        <v>277.56402506414582</v>
      </c>
      <c r="AD58" s="25">
        <v>19.001141502228066</v>
      </c>
      <c r="AE58" s="25">
        <v>3.8044545382215311</v>
      </c>
      <c r="AF58" s="25">
        <v>34.642971176702112</v>
      </c>
      <c r="AG58" s="25">
        <v>59.37071991650479</v>
      </c>
      <c r="AH58" s="25">
        <v>29.351325738963634</v>
      </c>
      <c r="AI58" s="25">
        <v>6.3299634959740887</v>
      </c>
      <c r="AJ58" s="25">
        <v>2.7023425081903838</v>
      </c>
      <c r="AK58" s="25">
        <v>96.737355014011698</v>
      </c>
      <c r="AL58" s="25">
        <v>401.0511018513044</v>
      </c>
      <c r="AM58" s="25">
        <v>17.727465690797683</v>
      </c>
      <c r="AN58" s="25">
        <v>3.8891572364784723</v>
      </c>
      <c r="AO58" s="25">
        <v>3.4957758393728264</v>
      </c>
      <c r="AP58" s="25">
        <v>91.2304217083514</v>
      </c>
      <c r="AQ58" s="25">
        <v>196.26756790793888</v>
      </c>
      <c r="AR58" s="25">
        <v>32.060485523917798</v>
      </c>
      <c r="AS58" s="25">
        <v>22.97014147627948</v>
      </c>
      <c r="AT58" s="25">
        <v>56.486009004530274</v>
      </c>
      <c r="AU58" s="25">
        <v>12.381419761657984</v>
      </c>
      <c r="AV58" s="25">
        <v>28.155344045088931</v>
      </c>
      <c r="AW58" s="25">
        <v>166.75301266337561</v>
      </c>
      <c r="AX58" s="25">
        <v>845.30466811454164</v>
      </c>
      <c r="AY58" s="40">
        <v>43.108678152778765</v>
      </c>
      <c r="AZ58" s="25">
        <v>6.6604751236730477</v>
      </c>
      <c r="BA58" s="25">
        <v>789.18576729284098</v>
      </c>
      <c r="BB58" s="25">
        <v>60.95671091984584</v>
      </c>
      <c r="BC58" s="25">
        <v>246.79012356927458</v>
      </c>
      <c r="BD58" s="25">
        <v>43.246198133561975</v>
      </c>
      <c r="BE58" s="25">
        <v>4.916015595987993</v>
      </c>
      <c r="BF58" s="25">
        <v>676.29798457555387</v>
      </c>
      <c r="BG58" s="25">
        <v>82.536731008727145</v>
      </c>
      <c r="BH58" s="25">
        <v>45.198176938507501</v>
      </c>
      <c r="BI58" s="25">
        <v>2652.6170622015643</v>
      </c>
      <c r="BJ58" s="25">
        <v>76.064863973035742</v>
      </c>
      <c r="BK58" s="25">
        <v>1420.0686317556774</v>
      </c>
      <c r="BL58" s="25">
        <v>10.699210170689003</v>
      </c>
      <c r="BM58" s="25">
        <v>244.56918146234131</v>
      </c>
      <c r="BN58" s="25">
        <v>16.8016652905619</v>
      </c>
      <c r="BO58" s="25">
        <v>1589.0943610225627</v>
      </c>
      <c r="BP58" s="25">
        <v>6.7428345471960593</v>
      </c>
      <c r="BQ58" s="25">
        <v>10034.803579670324</v>
      </c>
      <c r="BR58" s="25">
        <v>1761.0156824189401</v>
      </c>
      <c r="BS58" s="25">
        <v>264.58281386664521</v>
      </c>
      <c r="BT58" s="25">
        <v>4477.6520204477038</v>
      </c>
      <c r="BU58" s="25">
        <v>4109.6975460689673</v>
      </c>
      <c r="BV58" s="25">
        <v>62.948878005696599</v>
      </c>
      <c r="BW58" s="25">
        <v>8593.9851075231836</v>
      </c>
      <c r="BX58" s="25">
        <v>0</v>
      </c>
      <c r="BY58" s="25">
        <v>40481.332825227408</v>
      </c>
      <c r="BZ58" s="25">
        <v>5122.7291598456031</v>
      </c>
      <c r="CA58" s="25">
        <v>0.21106401224736046</v>
      </c>
      <c r="CB58" s="25">
        <v>0</v>
      </c>
      <c r="CC58" s="25">
        <v>231328.33279449592</v>
      </c>
      <c r="CD58" s="25">
        <v>5.3941564490169629</v>
      </c>
      <c r="CE58" s="25">
        <v>0</v>
      </c>
      <c r="CF58" s="25">
        <v>236456.66717480277</v>
      </c>
      <c r="CG58" s="25">
        <v>276938</v>
      </c>
      <c r="CH58"/>
      <c r="CI58">
        <f t="shared" si="0"/>
        <v>0.85382528643524103</v>
      </c>
      <c r="CJ58"/>
      <c r="CK58"/>
      <c r="CL58"/>
      <c r="CM58"/>
      <c r="CN58"/>
      <c r="CO58"/>
      <c r="CP58"/>
      <c r="CQ58"/>
      <c r="CR58"/>
      <c r="CS58"/>
      <c r="CT58"/>
      <c r="CU58"/>
    </row>
    <row r="59" spans="1:99" s="5" customFormat="1" x14ac:dyDescent="0.3">
      <c r="A59" s="35" t="s">
        <v>63</v>
      </c>
      <c r="B59" s="11" t="s">
        <v>137</v>
      </c>
      <c r="C59" s="5">
        <v>54</v>
      </c>
      <c r="D59" s="25">
        <v>2.0258132149867252</v>
      </c>
      <c r="E59" s="25">
        <v>0.91149838588941379</v>
      </c>
      <c r="F59" s="25">
        <v>0.1822430209748187</v>
      </c>
      <c r="G59" s="25">
        <v>8.6837528400186562E-2</v>
      </c>
      <c r="H59" s="25">
        <v>1.1233094123965901</v>
      </c>
      <c r="I59" s="25">
        <v>0.96245542282347751</v>
      </c>
      <c r="J59" s="25">
        <v>0.24641011305250751</v>
      </c>
      <c r="K59" s="25">
        <v>5.8841823162726774</v>
      </c>
      <c r="L59" s="25">
        <v>0.69258435348848013</v>
      </c>
      <c r="M59" s="25">
        <v>6.4348791007019921</v>
      </c>
      <c r="N59" s="25">
        <v>10.596533914261132</v>
      </c>
      <c r="O59" s="25">
        <v>0.233236784716363</v>
      </c>
      <c r="P59" s="25">
        <v>1.2834554785248247</v>
      </c>
      <c r="Q59" s="25">
        <v>1.4841893026128259</v>
      </c>
      <c r="R59" s="25">
        <v>0.81508008565592727</v>
      </c>
      <c r="S59" s="25">
        <v>1.1191412446894213</v>
      </c>
      <c r="T59" s="25">
        <v>6.5122798659269021</v>
      </c>
      <c r="U59" s="25">
        <v>45.700343912602541</v>
      </c>
      <c r="V59" s="25">
        <v>2.2185371103076563</v>
      </c>
      <c r="W59" s="25">
        <v>5.6895360991163262E-2</v>
      </c>
      <c r="X59" s="25">
        <v>3.8196834771031475E-4</v>
      </c>
      <c r="Y59" s="25">
        <v>0.78824225214414634</v>
      </c>
      <c r="Z59" s="25">
        <v>121.28068740323424</v>
      </c>
      <c r="AA59" s="25">
        <v>1.5730779879621539</v>
      </c>
      <c r="AB59" s="25">
        <v>0.60857889989279024</v>
      </c>
      <c r="AC59" s="25">
        <v>1.21478178808615</v>
      </c>
      <c r="AD59" s="25">
        <v>2.3424463338117487</v>
      </c>
      <c r="AE59" s="25">
        <v>1.1009232019463009</v>
      </c>
      <c r="AF59" s="25">
        <v>1.7264799436406693</v>
      </c>
      <c r="AG59" s="25">
        <v>0.52027498405020067</v>
      </c>
      <c r="AH59" s="25">
        <v>1.7508633322688381</v>
      </c>
      <c r="AI59" s="25">
        <v>9.7763993432559619</v>
      </c>
      <c r="AJ59" s="25">
        <v>1.1422225232476197</v>
      </c>
      <c r="AK59" s="25">
        <v>2.1106986045670366</v>
      </c>
      <c r="AL59" s="25">
        <v>1.6438696962854227</v>
      </c>
      <c r="AM59" s="25">
        <v>3.7261301883896647</v>
      </c>
      <c r="AN59" s="25">
        <v>0.41958233630724334</v>
      </c>
      <c r="AO59" s="25">
        <v>1.9487136635978644</v>
      </c>
      <c r="AP59" s="25">
        <v>13.555992238427523</v>
      </c>
      <c r="AQ59" s="25">
        <v>60.779443523597919</v>
      </c>
      <c r="AR59" s="25">
        <v>9.9283773167969773</v>
      </c>
      <c r="AS59" s="25">
        <v>7.1133118500833632</v>
      </c>
      <c r="AT59" s="25">
        <v>18.017854697654155</v>
      </c>
      <c r="AU59" s="25">
        <v>5.1970877260274131</v>
      </c>
      <c r="AV59" s="25">
        <v>5.462842999503466</v>
      </c>
      <c r="AW59" s="25">
        <v>8.6483781874724102</v>
      </c>
      <c r="AX59" s="25">
        <v>546.41530252215944</v>
      </c>
      <c r="AY59" s="40">
        <v>4.7530342397125187</v>
      </c>
      <c r="AZ59" s="25">
        <v>0.14129981457110569</v>
      </c>
      <c r="BA59" s="25">
        <v>1.7442844113978919</v>
      </c>
      <c r="BB59" s="25">
        <v>5.8243706003479288</v>
      </c>
      <c r="BC59" s="25">
        <v>49.678506678278808</v>
      </c>
      <c r="BD59" s="25">
        <v>11.823150216683201</v>
      </c>
      <c r="BE59" s="25">
        <v>66.255003652261479</v>
      </c>
      <c r="BF59" s="25">
        <v>11.912114357984734</v>
      </c>
      <c r="BG59" s="25">
        <v>116.15928233582866</v>
      </c>
      <c r="BH59" s="25">
        <v>27.293283348842138</v>
      </c>
      <c r="BI59" s="25">
        <v>1117.0738257166572</v>
      </c>
      <c r="BJ59" s="25">
        <v>50.80409460818364</v>
      </c>
      <c r="BK59" s="25">
        <v>261.00112658909984</v>
      </c>
      <c r="BL59" s="25">
        <v>105.7901066333506</v>
      </c>
      <c r="BM59" s="25">
        <v>1522.6839540381463</v>
      </c>
      <c r="BN59" s="25">
        <v>19.496104513616036</v>
      </c>
      <c r="BO59" s="25">
        <v>65.060908493551835</v>
      </c>
      <c r="BP59" s="25">
        <v>0.41834075070169691</v>
      </c>
      <c r="BQ59" s="25">
        <v>861.45928642045214</v>
      </c>
      <c r="BR59" s="25">
        <v>2152.4843865835683</v>
      </c>
      <c r="BS59" s="25">
        <v>1193.0430377192133</v>
      </c>
      <c r="BT59" s="25">
        <v>29.877389256922896</v>
      </c>
      <c r="BU59" s="25">
        <v>116.80605127803531</v>
      </c>
      <c r="BV59" s="25">
        <v>18.994663529403145</v>
      </c>
      <c r="BW59" s="25">
        <v>125.85249391933657</v>
      </c>
      <c r="BX59" s="25">
        <v>0</v>
      </c>
      <c r="BY59" s="25">
        <v>8853.7929511481816</v>
      </c>
      <c r="BZ59" s="25">
        <v>788.70625769899766</v>
      </c>
      <c r="CA59" s="25">
        <v>0.18694241084766214</v>
      </c>
      <c r="CB59" s="25">
        <v>0</v>
      </c>
      <c r="CC59" s="25">
        <v>8410.8482348965717</v>
      </c>
      <c r="CD59" s="25">
        <v>25.38590928757036</v>
      </c>
      <c r="CE59" s="25">
        <v>-175.92029543528432</v>
      </c>
      <c r="CF59" s="25">
        <v>9049.2070488587051</v>
      </c>
      <c r="CG59" s="25">
        <v>17903</v>
      </c>
      <c r="CH59"/>
      <c r="CI59">
        <f t="shared" si="0"/>
        <v>0.50545757967149108</v>
      </c>
      <c r="CJ59"/>
      <c r="CK59"/>
      <c r="CL59"/>
      <c r="CM59"/>
      <c r="CN59"/>
      <c r="CO59"/>
      <c r="CP59"/>
      <c r="CQ59"/>
      <c r="CR59"/>
      <c r="CS59"/>
      <c r="CT59"/>
      <c r="CU59"/>
    </row>
    <row r="60" spans="1:99" s="5" customFormat="1" x14ac:dyDescent="0.3">
      <c r="A60" s="35" t="s">
        <v>64</v>
      </c>
      <c r="B60" s="11" t="s">
        <v>138</v>
      </c>
      <c r="C60" s="5">
        <v>55</v>
      </c>
      <c r="D60" s="25">
        <v>1.4623936840894449</v>
      </c>
      <c r="E60" s="25">
        <v>0.74959420751684103</v>
      </c>
      <c r="F60" s="25">
        <v>6.8320076448985578E-2</v>
      </c>
      <c r="G60" s="25">
        <v>5.2242622594728699E-2</v>
      </c>
      <c r="H60" s="25">
        <v>0.44620480116524386</v>
      </c>
      <c r="I60" s="25">
        <v>0.21020320123129194</v>
      </c>
      <c r="J60" s="25">
        <v>5.4978499854368784E-2</v>
      </c>
      <c r="K60" s="25">
        <v>2.4564688066523765</v>
      </c>
      <c r="L60" s="25">
        <v>8.2689809930710387E-2</v>
      </c>
      <c r="M60" s="25">
        <v>2.3987122170862167</v>
      </c>
      <c r="N60" s="25">
        <v>0.45741897910085544</v>
      </c>
      <c r="O60" s="25">
        <v>0.17031789499433475</v>
      </c>
      <c r="P60" s="25">
        <v>0.44932796357389115</v>
      </c>
      <c r="Q60" s="25">
        <v>0.59337073298647591</v>
      </c>
      <c r="R60" s="25">
        <v>0.43556960979208392</v>
      </c>
      <c r="S60" s="25">
        <v>0.18500157520996946</v>
      </c>
      <c r="T60" s="25">
        <v>0.59992882725414964</v>
      </c>
      <c r="U60" s="25">
        <v>0.12323921035776123</v>
      </c>
      <c r="V60" s="25">
        <v>1.5341917133547167</v>
      </c>
      <c r="W60" s="25">
        <v>3.934469520013345E-2</v>
      </c>
      <c r="X60" s="25">
        <v>2.5139945048761577E-4</v>
      </c>
      <c r="Y60" s="25">
        <v>0.17409640432525381</v>
      </c>
      <c r="Z60" s="25">
        <v>0.78391528750776462</v>
      </c>
      <c r="AA60" s="25">
        <v>0.48273775138454528</v>
      </c>
      <c r="AB60" s="25">
        <v>0.33535901626304171</v>
      </c>
      <c r="AC60" s="25">
        <v>0.39313732829697673</v>
      </c>
      <c r="AD60" s="25">
        <v>0.78057684119533766</v>
      </c>
      <c r="AE60" s="25">
        <v>0.50300547888907288</v>
      </c>
      <c r="AF60" s="25">
        <v>0.57894524481941168</v>
      </c>
      <c r="AG60" s="25">
        <v>0.34079801136237703</v>
      </c>
      <c r="AH60" s="25">
        <v>0.58084694911215107</v>
      </c>
      <c r="AI60" s="25">
        <v>0.86508674310725708</v>
      </c>
      <c r="AJ60" s="25">
        <v>0.53800500638230953</v>
      </c>
      <c r="AK60" s="25">
        <v>0.95309495601876537</v>
      </c>
      <c r="AL60" s="25">
        <v>0.42722378206188683</v>
      </c>
      <c r="AM60" s="25">
        <v>0.41364234608035422</v>
      </c>
      <c r="AN60" s="25">
        <v>0.13424463392557376</v>
      </c>
      <c r="AO60" s="25">
        <v>0.54666389318098263</v>
      </c>
      <c r="AP60" s="25">
        <v>0.47352151811536686</v>
      </c>
      <c r="AQ60" s="25">
        <v>0.44168181465374001</v>
      </c>
      <c r="AR60" s="25">
        <v>7.2149125685024573E-2</v>
      </c>
      <c r="AS60" s="25">
        <v>5.1692156163340747E-2</v>
      </c>
      <c r="AT60" s="25">
        <v>2.9764373500110811E-2</v>
      </c>
      <c r="AU60" s="25">
        <v>0.15822930078479941</v>
      </c>
      <c r="AV60" s="25">
        <v>2.5908657861780524</v>
      </c>
      <c r="AW60" s="25">
        <v>0.92628260906895366</v>
      </c>
      <c r="AX60" s="25">
        <v>10.199374782515363</v>
      </c>
      <c r="AY60" s="40">
        <v>2.0504121453923929</v>
      </c>
      <c r="AZ60" s="25">
        <v>3.5482508774162633E-2</v>
      </c>
      <c r="BA60" s="25">
        <v>9.960429344692634E-2</v>
      </c>
      <c r="BB60" s="25">
        <v>0.69255754942542536</v>
      </c>
      <c r="BC60" s="25">
        <v>4.1351881908847616</v>
      </c>
      <c r="BD60" s="25">
        <v>2.9238603519814714</v>
      </c>
      <c r="BE60" s="25">
        <v>9.6079550360328785</v>
      </c>
      <c r="BF60" s="25">
        <v>5381.713715310616</v>
      </c>
      <c r="BG60" s="25">
        <v>4752.774157203743</v>
      </c>
      <c r="BH60" s="25">
        <v>1.5258283561737078</v>
      </c>
      <c r="BI60" s="25">
        <v>3.262742418281535</v>
      </c>
      <c r="BJ60" s="25">
        <v>0.61568536858566381</v>
      </c>
      <c r="BK60" s="25">
        <v>1.301696306945773</v>
      </c>
      <c r="BL60" s="25">
        <v>0.29090175905228749</v>
      </c>
      <c r="BM60" s="25">
        <v>30979.524346272967</v>
      </c>
      <c r="BN60" s="25">
        <v>0.30813851130669717</v>
      </c>
      <c r="BO60" s="25">
        <v>33.35351992575854</v>
      </c>
      <c r="BP60" s="25">
        <v>2.9272783452186357</v>
      </c>
      <c r="BQ60" s="25">
        <v>1.0633686017038397</v>
      </c>
      <c r="BR60" s="25">
        <v>0.49285669538811927</v>
      </c>
      <c r="BS60" s="25">
        <v>1.1412072610311279</v>
      </c>
      <c r="BT60" s="25">
        <v>0.56259615802322094</v>
      </c>
      <c r="BU60" s="25">
        <v>1.8677590433415223</v>
      </c>
      <c r="BV60" s="25">
        <v>122.96938165559818</v>
      </c>
      <c r="BW60" s="25">
        <v>1.1216462773531788</v>
      </c>
      <c r="BX60" s="25">
        <v>0</v>
      </c>
      <c r="BY60" s="25">
        <v>41342.706597215445</v>
      </c>
      <c r="BZ60" s="25">
        <v>601.25605731477049</v>
      </c>
      <c r="CA60" s="25">
        <v>0.15478027564806435</v>
      </c>
      <c r="CB60" s="25">
        <v>0</v>
      </c>
      <c r="CC60" s="25">
        <v>1925.9268504660065</v>
      </c>
      <c r="CD60" s="25">
        <v>3.9557147292791064</v>
      </c>
      <c r="CE60" s="25">
        <v>0</v>
      </c>
      <c r="CF60" s="25">
        <v>2531.2934027857045</v>
      </c>
      <c r="CG60" s="25">
        <v>43874</v>
      </c>
      <c r="CH60"/>
      <c r="CI60">
        <f t="shared" si="0"/>
        <v>5.7694611906498258E-2</v>
      </c>
      <c r="CJ60"/>
      <c r="CK60"/>
      <c r="CL60"/>
      <c r="CM60"/>
      <c r="CN60"/>
      <c r="CO60"/>
      <c r="CP60"/>
      <c r="CQ60"/>
      <c r="CR60"/>
      <c r="CS60"/>
      <c r="CT60"/>
      <c r="CU60"/>
    </row>
    <row r="61" spans="1:99" s="5" customFormat="1" x14ac:dyDescent="0.3">
      <c r="A61" s="35" t="s">
        <v>65</v>
      </c>
      <c r="B61" s="11" t="s">
        <v>139</v>
      </c>
      <c r="C61" s="5">
        <v>56</v>
      </c>
      <c r="D61" s="25">
        <v>16.095394153161944</v>
      </c>
      <c r="E61" s="25">
        <v>8.1882034910178749</v>
      </c>
      <c r="F61" s="25">
        <v>6.7764694878306342</v>
      </c>
      <c r="G61" s="25">
        <v>23.844407690864713</v>
      </c>
      <c r="H61" s="25">
        <v>652.40866885198704</v>
      </c>
      <c r="I61" s="25">
        <v>96.569418871452896</v>
      </c>
      <c r="J61" s="25">
        <v>21.508600951986914</v>
      </c>
      <c r="K61" s="25">
        <v>649.00720235094684</v>
      </c>
      <c r="L61" s="25">
        <v>121.70130252143487</v>
      </c>
      <c r="M61" s="25">
        <v>1204.8444794955258</v>
      </c>
      <c r="N61" s="25">
        <v>308.95515704815602</v>
      </c>
      <c r="O61" s="25">
        <v>13.943432718020063</v>
      </c>
      <c r="P61" s="25">
        <v>168.84066419224717</v>
      </c>
      <c r="Q61" s="25">
        <v>424.00173967069503</v>
      </c>
      <c r="R61" s="25">
        <v>140.25247036372838</v>
      </c>
      <c r="S61" s="25">
        <v>89.021644706421668</v>
      </c>
      <c r="T61" s="25">
        <v>337.68279629567581</v>
      </c>
      <c r="U61" s="25">
        <v>241.63111814568936</v>
      </c>
      <c r="V61" s="25">
        <v>193.08726778347003</v>
      </c>
      <c r="W61" s="25">
        <v>4.9517668697058719</v>
      </c>
      <c r="X61" s="25">
        <v>3.1640135058985414E-2</v>
      </c>
      <c r="Y61" s="25">
        <v>122.25364147509148</v>
      </c>
      <c r="Z61" s="25">
        <v>248.15978265308127</v>
      </c>
      <c r="AA61" s="25">
        <v>227.37705321043117</v>
      </c>
      <c r="AB61" s="25">
        <v>27.927794598186544</v>
      </c>
      <c r="AC61" s="25">
        <v>214.84180673116987</v>
      </c>
      <c r="AD61" s="25">
        <v>300.51242398043337</v>
      </c>
      <c r="AE61" s="25">
        <v>332.19137837964087</v>
      </c>
      <c r="AF61" s="25">
        <v>174.76699851017469</v>
      </c>
      <c r="AG61" s="25">
        <v>62.175480092054336</v>
      </c>
      <c r="AH61" s="25">
        <v>298.17345964792634</v>
      </c>
      <c r="AI61" s="25">
        <v>718.89968021904997</v>
      </c>
      <c r="AJ61" s="25">
        <v>350.56179704849018</v>
      </c>
      <c r="AK61" s="25">
        <v>359.04944895342072</v>
      </c>
      <c r="AL61" s="25">
        <v>1101.7208063331718</v>
      </c>
      <c r="AM61" s="25">
        <v>1104.5691831587555</v>
      </c>
      <c r="AN61" s="25">
        <v>123.1056115251104</v>
      </c>
      <c r="AO61" s="25">
        <v>380.86497118253624</v>
      </c>
      <c r="AP61" s="25">
        <v>108.3633217234439</v>
      </c>
      <c r="AQ61" s="25">
        <v>306.81574180255535</v>
      </c>
      <c r="AR61" s="25">
        <v>50.118630160969374</v>
      </c>
      <c r="AS61" s="25">
        <v>35.908128232679161</v>
      </c>
      <c r="AT61" s="25">
        <v>20.6759210629581</v>
      </c>
      <c r="AU61" s="25">
        <v>153.34863179159547</v>
      </c>
      <c r="AV61" s="25">
        <v>897.56288759480742</v>
      </c>
      <c r="AW61" s="25">
        <v>933.65266393600314</v>
      </c>
      <c r="AX61" s="25">
        <v>5911.7444429114339</v>
      </c>
      <c r="AY61" s="40">
        <v>828.5013731770631</v>
      </c>
      <c r="AZ61" s="25">
        <v>29.106145415253007</v>
      </c>
      <c r="BA61" s="25">
        <v>53.795880817354956</v>
      </c>
      <c r="BB61" s="25">
        <v>707.67379578570581</v>
      </c>
      <c r="BC61" s="25">
        <v>209.13638542857552</v>
      </c>
      <c r="BD61" s="25">
        <v>680.30335063822633</v>
      </c>
      <c r="BE61" s="25">
        <v>85.316471310573164</v>
      </c>
      <c r="BF61" s="25">
        <v>268.18291236428001</v>
      </c>
      <c r="BG61" s="25">
        <v>17663.068469250476</v>
      </c>
      <c r="BH61" s="25">
        <v>1509.9743635627997</v>
      </c>
      <c r="BI61" s="25">
        <v>7005.6622339306641</v>
      </c>
      <c r="BJ61" s="25">
        <v>516.45216878376425</v>
      </c>
      <c r="BK61" s="25">
        <v>2346.2453974211521</v>
      </c>
      <c r="BL61" s="25">
        <v>307.50402440826031</v>
      </c>
      <c r="BM61" s="25">
        <v>2111.8393730889734</v>
      </c>
      <c r="BN61" s="25">
        <v>107.61295726615778</v>
      </c>
      <c r="BO61" s="25">
        <v>1663.4056929905148</v>
      </c>
      <c r="BP61" s="25">
        <v>236.40062885837148</v>
      </c>
      <c r="BQ61" s="25">
        <v>4486.4823165761836</v>
      </c>
      <c r="BR61" s="25">
        <v>834.69827706691672</v>
      </c>
      <c r="BS61" s="25">
        <v>1159.8556294594989</v>
      </c>
      <c r="BT61" s="25">
        <v>376.67354478307169</v>
      </c>
      <c r="BU61" s="25">
        <v>1044.0377959837992</v>
      </c>
      <c r="BV61" s="25">
        <v>214.00008386922875</v>
      </c>
      <c r="BW61" s="25">
        <v>1459.6282737187817</v>
      </c>
      <c r="BX61" s="25">
        <v>0</v>
      </c>
      <c r="BY61" s="25">
        <v>65194.243078665888</v>
      </c>
      <c r="BZ61" s="25">
        <v>1877.6632270372982</v>
      </c>
      <c r="CA61" s="25">
        <v>1.2080902034348919</v>
      </c>
      <c r="CB61" s="25">
        <v>0</v>
      </c>
      <c r="CC61" s="25">
        <v>99402.1889032771</v>
      </c>
      <c r="CD61" s="25">
        <v>403.69670081928729</v>
      </c>
      <c r="CE61" s="25">
        <v>0</v>
      </c>
      <c r="CF61" s="25">
        <v>101684.75692133712</v>
      </c>
      <c r="CG61" s="25">
        <v>166879</v>
      </c>
      <c r="CH61"/>
      <c r="CI61">
        <f t="shared" si="0"/>
        <v>0.6093322522386706</v>
      </c>
      <c r="CJ61"/>
      <c r="CK61"/>
      <c r="CL61"/>
      <c r="CM61"/>
      <c r="CN61"/>
      <c r="CO61"/>
      <c r="CP61"/>
      <c r="CQ61"/>
      <c r="CR61"/>
      <c r="CS61"/>
      <c r="CT61"/>
      <c r="CU61"/>
    </row>
    <row r="62" spans="1:99" s="5" customFormat="1" x14ac:dyDescent="0.3">
      <c r="A62" s="35" t="s">
        <v>66</v>
      </c>
      <c r="B62" s="11" t="s">
        <v>140</v>
      </c>
      <c r="C62" s="5">
        <v>57</v>
      </c>
      <c r="D62" s="25">
        <v>38.728256353026197</v>
      </c>
      <c r="E62" s="25">
        <v>19.623890088850146</v>
      </c>
      <c r="F62" s="25">
        <v>1.7845164544971936</v>
      </c>
      <c r="G62" s="25">
        <v>1.6246711609089481</v>
      </c>
      <c r="H62" s="25">
        <v>62.83360492559887</v>
      </c>
      <c r="I62" s="25">
        <v>325.52937927100385</v>
      </c>
      <c r="J62" s="25">
        <v>32.157036189811031</v>
      </c>
      <c r="K62" s="25">
        <v>572.69611490078648</v>
      </c>
      <c r="L62" s="25">
        <v>13.936163515011824</v>
      </c>
      <c r="M62" s="25">
        <v>988.09711363429676</v>
      </c>
      <c r="N62" s="25">
        <v>80.711040888771251</v>
      </c>
      <c r="O62" s="25">
        <v>34.102023776982904</v>
      </c>
      <c r="P62" s="25">
        <v>43.84524496183181</v>
      </c>
      <c r="Q62" s="25">
        <v>54.641887062058103</v>
      </c>
      <c r="R62" s="25">
        <v>18.522191257457813</v>
      </c>
      <c r="S62" s="25">
        <v>16.423592180781757</v>
      </c>
      <c r="T62" s="25">
        <v>231.89467735719307</v>
      </c>
      <c r="U62" s="25">
        <v>4.3449913433617811</v>
      </c>
      <c r="V62" s="25">
        <v>67.015268949577163</v>
      </c>
      <c r="W62" s="25">
        <v>1.7186218043184394</v>
      </c>
      <c r="X62" s="25">
        <v>1.0981418841954195E-2</v>
      </c>
      <c r="Y62" s="25">
        <v>3.8632430637546182</v>
      </c>
      <c r="Z62" s="25">
        <v>398.49709219225417</v>
      </c>
      <c r="AA62" s="25">
        <v>256.29127837608087</v>
      </c>
      <c r="AB62" s="25">
        <v>28.507674842669076</v>
      </c>
      <c r="AC62" s="25">
        <v>445.72369258532217</v>
      </c>
      <c r="AD62" s="25">
        <v>165.08976778260086</v>
      </c>
      <c r="AE62" s="25">
        <v>90.365383280495251</v>
      </c>
      <c r="AF62" s="25">
        <v>212.02172640770348</v>
      </c>
      <c r="AG62" s="25">
        <v>37.230247315691351</v>
      </c>
      <c r="AH62" s="25">
        <v>117.79315570050633</v>
      </c>
      <c r="AI62" s="25">
        <v>216.72525779514413</v>
      </c>
      <c r="AJ62" s="25">
        <v>353.89937825485384</v>
      </c>
      <c r="AK62" s="25">
        <v>201.36635389025892</v>
      </c>
      <c r="AL62" s="25">
        <v>898.8604704715973</v>
      </c>
      <c r="AM62" s="25">
        <v>148.09881454280236</v>
      </c>
      <c r="AN62" s="25">
        <v>56.925881015558012</v>
      </c>
      <c r="AO62" s="25">
        <v>139.64198790949871</v>
      </c>
      <c r="AP62" s="25">
        <v>104.28166841144629</v>
      </c>
      <c r="AQ62" s="25">
        <v>1178.9423337780784</v>
      </c>
      <c r="AR62" s="25">
        <v>192.58130127416271</v>
      </c>
      <c r="AS62" s="25">
        <v>137.97731580369876</v>
      </c>
      <c r="AT62" s="25">
        <v>79.463750393803863</v>
      </c>
      <c r="AU62" s="25">
        <v>386.97546061087439</v>
      </c>
      <c r="AV62" s="25">
        <v>450.07065072931778</v>
      </c>
      <c r="AW62" s="25">
        <v>448.45671081407789</v>
      </c>
      <c r="AX62" s="25">
        <v>9249.1320622787753</v>
      </c>
      <c r="AY62" s="40">
        <v>950.631560981608</v>
      </c>
      <c r="AZ62" s="25">
        <v>1.3063107684784032</v>
      </c>
      <c r="BA62" s="25">
        <v>728.46924818059244</v>
      </c>
      <c r="BB62" s="25">
        <v>1386.1741189130844</v>
      </c>
      <c r="BC62" s="25">
        <v>77.741748066025139</v>
      </c>
      <c r="BD62" s="25">
        <v>144.72223065325733</v>
      </c>
      <c r="BE62" s="25">
        <v>432.95244089647503</v>
      </c>
      <c r="BF62" s="25">
        <v>1134.1664620907934</v>
      </c>
      <c r="BG62" s="25">
        <v>3003.669536936146</v>
      </c>
      <c r="BH62" s="25">
        <v>10878.656025888309</v>
      </c>
      <c r="BI62" s="25">
        <v>15800.579762554977</v>
      </c>
      <c r="BJ62" s="25">
        <v>374.86157953550168</v>
      </c>
      <c r="BK62" s="25">
        <v>2785.733315785762</v>
      </c>
      <c r="BL62" s="25">
        <v>60.919595416456183</v>
      </c>
      <c r="BM62" s="25">
        <v>8243.9433594445964</v>
      </c>
      <c r="BN62" s="25">
        <v>406.71786948488955</v>
      </c>
      <c r="BO62" s="25">
        <v>1063.1863023875724</v>
      </c>
      <c r="BP62" s="25">
        <v>189.14503965930257</v>
      </c>
      <c r="BQ62" s="25">
        <v>11300.844400055425</v>
      </c>
      <c r="BR62" s="25">
        <v>1406.7020513370592</v>
      </c>
      <c r="BS62" s="25">
        <v>442.48724077401943</v>
      </c>
      <c r="BT62" s="25">
        <v>2218.1458266342102</v>
      </c>
      <c r="BU62" s="25">
        <v>24.347565770161836</v>
      </c>
      <c r="BV62" s="25">
        <v>173.94851766525323</v>
      </c>
      <c r="BW62" s="25">
        <v>1533.2824737564472</v>
      </c>
      <c r="BX62" s="25">
        <v>0</v>
      </c>
      <c r="BY62" s="25">
        <v>83372.358510652411</v>
      </c>
      <c r="BZ62" s="25">
        <v>7680.9940767048547</v>
      </c>
      <c r="CA62" s="25">
        <v>2.1347617238733032</v>
      </c>
      <c r="CB62" s="25">
        <v>0</v>
      </c>
      <c r="CC62" s="25">
        <v>2709.5850052853557</v>
      </c>
      <c r="CD62" s="25">
        <v>73604.041317383584</v>
      </c>
      <c r="CE62" s="25">
        <v>40.886328261854104</v>
      </c>
      <c r="CF62" s="25">
        <v>84037.641489359507</v>
      </c>
      <c r="CG62" s="25">
        <v>167410</v>
      </c>
      <c r="CH62"/>
      <c r="CI62">
        <f t="shared" si="0"/>
        <v>0.50198698697425193</v>
      </c>
      <c r="CJ62"/>
      <c r="CK62"/>
      <c r="CL62"/>
      <c r="CM62"/>
      <c r="CN62"/>
      <c r="CO62"/>
      <c r="CP62"/>
      <c r="CQ62"/>
      <c r="CR62"/>
      <c r="CS62"/>
      <c r="CT62"/>
      <c r="CU62"/>
    </row>
    <row r="63" spans="1:99" s="5" customFormat="1" x14ac:dyDescent="0.3">
      <c r="A63" s="35" t="s">
        <v>67</v>
      </c>
      <c r="B63" s="13" t="s">
        <v>141</v>
      </c>
      <c r="C63" s="5">
        <v>58</v>
      </c>
      <c r="D63" s="25">
        <v>6602.3352820543769</v>
      </c>
      <c r="E63" s="25">
        <v>2359.416172989927</v>
      </c>
      <c r="F63" s="25">
        <v>582.05123161848223</v>
      </c>
      <c r="G63" s="25">
        <v>641.68060783197473</v>
      </c>
      <c r="H63" s="25">
        <v>4232.4863364409757</v>
      </c>
      <c r="I63" s="25">
        <v>1860.5817647822951</v>
      </c>
      <c r="J63" s="25">
        <v>575.34196988331621</v>
      </c>
      <c r="K63" s="25">
        <v>5796.4200030124593</v>
      </c>
      <c r="L63" s="25">
        <v>1719.6327803524207</v>
      </c>
      <c r="M63" s="25">
        <v>5838.5102103517693</v>
      </c>
      <c r="N63" s="25">
        <v>1514.6829725899984</v>
      </c>
      <c r="O63" s="25">
        <v>313.08935110493485</v>
      </c>
      <c r="P63" s="25">
        <v>884.74338212528244</v>
      </c>
      <c r="Q63" s="25">
        <v>1115.5440813563603</v>
      </c>
      <c r="R63" s="25">
        <v>819.5313960375089</v>
      </c>
      <c r="S63" s="25">
        <v>581.7556366009253</v>
      </c>
      <c r="T63" s="25">
        <v>2603.3534922175927</v>
      </c>
      <c r="U63" s="25">
        <v>408.75910421460236</v>
      </c>
      <c r="V63" s="25">
        <v>3201.7427415923166</v>
      </c>
      <c r="W63" s="25">
        <v>82.109420342087134</v>
      </c>
      <c r="X63" s="25">
        <v>0.52465174908223344</v>
      </c>
      <c r="Y63" s="25">
        <v>1273.2515914686749</v>
      </c>
      <c r="Z63" s="25">
        <v>4101.6545644029175</v>
      </c>
      <c r="AA63" s="25">
        <v>1476.4253339379834</v>
      </c>
      <c r="AB63" s="25">
        <v>895.66042481235115</v>
      </c>
      <c r="AC63" s="25">
        <v>1229.2177816781229</v>
      </c>
      <c r="AD63" s="25">
        <v>1995.4977187302229</v>
      </c>
      <c r="AE63" s="25">
        <v>1991.9790980381915</v>
      </c>
      <c r="AF63" s="25">
        <v>3017.80946863692</v>
      </c>
      <c r="AG63" s="25">
        <v>1251.9992517617609</v>
      </c>
      <c r="AH63" s="25">
        <v>1622.2480053415395</v>
      </c>
      <c r="AI63" s="25">
        <v>1922.9433090079483</v>
      </c>
      <c r="AJ63" s="25">
        <v>1439.5881967115095</v>
      </c>
      <c r="AK63" s="25">
        <v>2268.0871422695545</v>
      </c>
      <c r="AL63" s="25">
        <v>3572.3719476650072</v>
      </c>
      <c r="AM63" s="25">
        <v>1433.9013754787461</v>
      </c>
      <c r="AN63" s="25">
        <v>812.70921780385788</v>
      </c>
      <c r="AO63" s="25">
        <v>1041.6387753436397</v>
      </c>
      <c r="AP63" s="25">
        <v>758.13782670701926</v>
      </c>
      <c r="AQ63" s="25">
        <v>5797.2326472892601</v>
      </c>
      <c r="AR63" s="25">
        <v>946.98321963403237</v>
      </c>
      <c r="AS63" s="25">
        <v>678.4781382811143</v>
      </c>
      <c r="AT63" s="25">
        <v>390.66810553707404</v>
      </c>
      <c r="AU63" s="25">
        <v>1504.0576525349597</v>
      </c>
      <c r="AV63" s="25">
        <v>8139.5713778785139</v>
      </c>
      <c r="AW63" s="25">
        <v>2995.6862972509057</v>
      </c>
      <c r="AX63" s="25">
        <v>30959.876911436764</v>
      </c>
      <c r="AY63" s="40">
        <v>9636.0336623211424</v>
      </c>
      <c r="AZ63" s="25">
        <v>656.23570569576134</v>
      </c>
      <c r="BA63" s="25">
        <v>1554.5954009003133</v>
      </c>
      <c r="BB63" s="25">
        <v>3712.8598792394764</v>
      </c>
      <c r="BC63" s="25">
        <v>692.29050557282415</v>
      </c>
      <c r="BD63" s="25">
        <v>3512.5449256361298</v>
      </c>
      <c r="BE63" s="25">
        <v>442.37578934724803</v>
      </c>
      <c r="BF63" s="25">
        <v>1055.7912479525148</v>
      </c>
      <c r="BG63" s="25">
        <v>7280.4945532615111</v>
      </c>
      <c r="BH63" s="25">
        <v>3145.4131626801791</v>
      </c>
      <c r="BI63" s="25">
        <v>83013.598112740801</v>
      </c>
      <c r="BJ63" s="25">
        <v>22883.602366002386</v>
      </c>
      <c r="BK63" s="25">
        <v>4905.4915526766945</v>
      </c>
      <c r="BL63" s="25">
        <v>1337.8200810580283</v>
      </c>
      <c r="BM63" s="25">
        <v>1032.8942421431939</v>
      </c>
      <c r="BN63" s="25">
        <v>1398.2646266221736</v>
      </c>
      <c r="BO63" s="25">
        <v>5741.1878909335273</v>
      </c>
      <c r="BP63" s="25">
        <v>1069.0797960578209</v>
      </c>
      <c r="BQ63" s="25">
        <v>55942.129987645218</v>
      </c>
      <c r="BR63" s="25">
        <v>788.84308051837559</v>
      </c>
      <c r="BS63" s="25">
        <v>2530.70833702459</v>
      </c>
      <c r="BT63" s="25">
        <v>426.36690677848236</v>
      </c>
      <c r="BU63" s="25">
        <v>5587.23100290404</v>
      </c>
      <c r="BV63" s="25">
        <v>1035.141164827857</v>
      </c>
      <c r="BW63" s="25">
        <v>2639.5184822086894</v>
      </c>
      <c r="BX63" s="25">
        <v>0</v>
      </c>
      <c r="BY63" s="25">
        <v>347272.48043163639</v>
      </c>
      <c r="BZ63" s="25">
        <v>6672.8521437571972</v>
      </c>
      <c r="CA63" s="25">
        <v>2246.9377218986174</v>
      </c>
      <c r="CB63" s="25">
        <v>305.59708295350953</v>
      </c>
      <c r="CC63" s="25">
        <v>291803.17950075812</v>
      </c>
      <c r="CD63" s="25">
        <v>707.64795215834283</v>
      </c>
      <c r="CE63" s="25">
        <v>0.30516711532505897</v>
      </c>
      <c r="CF63" s="25">
        <v>301736.51956864109</v>
      </c>
      <c r="CG63" s="25">
        <v>649009</v>
      </c>
      <c r="CH63"/>
      <c r="CI63">
        <f t="shared" si="0"/>
        <v>0.46491885254078308</v>
      </c>
      <c r="CJ63"/>
      <c r="CK63"/>
      <c r="CL63"/>
      <c r="CM63"/>
      <c r="CN63"/>
      <c r="CO63"/>
      <c r="CP63"/>
      <c r="CQ63"/>
      <c r="CR63"/>
      <c r="CS63"/>
      <c r="CT63"/>
      <c r="CU63"/>
    </row>
    <row r="64" spans="1:99" s="5" customFormat="1" x14ac:dyDescent="0.3">
      <c r="A64" s="35" t="s">
        <v>68</v>
      </c>
      <c r="B64" s="11" t="s">
        <v>142</v>
      </c>
      <c r="C64" s="5">
        <v>59</v>
      </c>
      <c r="D64" s="25">
        <v>5.7983309880035012</v>
      </c>
      <c r="E64" s="25">
        <v>5.0735396145030638</v>
      </c>
      <c r="F64" s="25">
        <v>6.5231223615039395</v>
      </c>
      <c r="G64" s="25">
        <v>18.84457571101138</v>
      </c>
      <c r="H64" s="25">
        <v>387.76338482273417</v>
      </c>
      <c r="I64" s="25">
        <v>37.689151422022761</v>
      </c>
      <c r="J64" s="25">
        <v>15.945410217009631</v>
      </c>
      <c r="K64" s="25">
        <v>575.48435055934749</v>
      </c>
      <c r="L64" s="25">
        <v>107.26912327806478</v>
      </c>
      <c r="M64" s="25">
        <v>441.39794646176659</v>
      </c>
      <c r="N64" s="25">
        <v>55.808935759533703</v>
      </c>
      <c r="O64" s="25">
        <v>16.670201590510068</v>
      </c>
      <c r="P64" s="25">
        <v>251.50260660465185</v>
      </c>
      <c r="Q64" s="25">
        <v>306.58675099068518</v>
      </c>
      <c r="R64" s="25">
        <v>78.277468338047271</v>
      </c>
      <c r="S64" s="25">
        <v>34.065194554520573</v>
      </c>
      <c r="T64" s="25">
        <v>142.05910920608576</v>
      </c>
      <c r="U64" s="25">
        <v>42.037899663025385</v>
      </c>
      <c r="V64" s="25">
        <v>154.02916653595349</v>
      </c>
      <c r="W64" s="25">
        <v>3.9501129855773858</v>
      </c>
      <c r="X64" s="25">
        <v>2.5239901564538786E-2</v>
      </c>
      <c r="Y64" s="25">
        <v>173.94992964010504</v>
      </c>
      <c r="Z64" s="25">
        <v>152.20618843509192</v>
      </c>
      <c r="AA64" s="25">
        <v>87.699756193552957</v>
      </c>
      <c r="AB64" s="25">
        <v>144.95827470008754</v>
      </c>
      <c r="AC64" s="25">
        <v>223.23574303813481</v>
      </c>
      <c r="AD64" s="25">
        <v>365.29485224422064</v>
      </c>
      <c r="AE64" s="25">
        <v>150.75660568809104</v>
      </c>
      <c r="AF64" s="25">
        <v>268.17280819516191</v>
      </c>
      <c r="AG64" s="25">
        <v>10.147079229006128</v>
      </c>
      <c r="AH64" s="25">
        <v>218.16220342363175</v>
      </c>
      <c r="AI64" s="25">
        <v>160.17889354359673</v>
      </c>
      <c r="AJ64" s="25">
        <v>93.498087181556457</v>
      </c>
      <c r="AK64" s="25">
        <v>180.47305200160898</v>
      </c>
      <c r="AL64" s="25">
        <v>100.74600091656083</v>
      </c>
      <c r="AM64" s="25">
        <v>187.72096573661335</v>
      </c>
      <c r="AN64" s="25">
        <v>51.460187518531079</v>
      </c>
      <c r="AO64" s="25">
        <v>202.94158458012254</v>
      </c>
      <c r="AP64" s="25">
        <v>49.285813398029759</v>
      </c>
      <c r="AQ64" s="25">
        <v>811.49347584892712</v>
      </c>
      <c r="AR64" s="25">
        <v>132.55819650963286</v>
      </c>
      <c r="AS64" s="25">
        <v>94.973001122992287</v>
      </c>
      <c r="AT64" s="25">
        <v>54.685509130608025</v>
      </c>
      <c r="AU64" s="25">
        <v>268.89759956866237</v>
      </c>
      <c r="AV64" s="25">
        <v>914.68671335755243</v>
      </c>
      <c r="AW64" s="25">
        <v>3108.6302009433775</v>
      </c>
      <c r="AX64" s="25">
        <v>33878.198380157461</v>
      </c>
      <c r="AY64" s="40">
        <v>1079.9391465156523</v>
      </c>
      <c r="AZ64" s="25">
        <v>62.33205812103764</v>
      </c>
      <c r="BA64" s="25">
        <v>89.87413031405427</v>
      </c>
      <c r="BB64" s="25">
        <v>2450.5196338049795</v>
      </c>
      <c r="BC64" s="25">
        <v>1042.2499950936294</v>
      </c>
      <c r="BD64" s="25">
        <v>4818.4130510309096</v>
      </c>
      <c r="BE64" s="25">
        <v>151.48139706159148</v>
      </c>
      <c r="BF64" s="25">
        <v>393.56171581073767</v>
      </c>
      <c r="BG64" s="25">
        <v>1869.9617436311291</v>
      </c>
      <c r="BH64" s="25">
        <v>1554.6774961584388</v>
      </c>
      <c r="BI64" s="25">
        <v>4437.8975799431801</v>
      </c>
      <c r="BJ64" s="25">
        <v>1844.594045558614</v>
      </c>
      <c r="BK64" s="25">
        <v>4400.9332198946577</v>
      </c>
      <c r="BL64" s="25">
        <v>687.82701345191549</v>
      </c>
      <c r="BM64" s="25">
        <v>919.76025297205558</v>
      </c>
      <c r="BN64" s="25">
        <v>932.80649769506329</v>
      </c>
      <c r="BO64" s="25">
        <v>2970.195048604794</v>
      </c>
      <c r="BP64" s="25">
        <v>220.33657754413304</v>
      </c>
      <c r="BQ64" s="25">
        <v>2312.8092728398969</v>
      </c>
      <c r="BR64" s="25">
        <v>513.15229243830993</v>
      </c>
      <c r="BS64" s="25">
        <v>4061.7308570964528</v>
      </c>
      <c r="BT64" s="25">
        <v>367.46922636472192</v>
      </c>
      <c r="BU64" s="25">
        <v>2169.3005808868102</v>
      </c>
      <c r="BV64" s="25">
        <v>3154.2920574739046</v>
      </c>
      <c r="BW64" s="25">
        <v>3091.9599993528677</v>
      </c>
      <c r="BX64" s="25">
        <v>0</v>
      </c>
      <c r="BY64" s="25">
        <v>90369.887613528597</v>
      </c>
      <c r="BZ64" s="25">
        <v>3047.2543167395993</v>
      </c>
      <c r="CA64" s="25">
        <v>0</v>
      </c>
      <c r="CB64" s="25">
        <v>0</v>
      </c>
      <c r="CC64" s="25">
        <v>546334.85807424737</v>
      </c>
      <c r="CD64" s="25">
        <v>0</v>
      </c>
      <c r="CE64" s="25">
        <v>0</v>
      </c>
      <c r="CF64" s="25">
        <v>549382.11239098699</v>
      </c>
      <c r="CG64" s="25">
        <v>639752</v>
      </c>
      <c r="CH64"/>
      <c r="CI64">
        <f t="shared" si="0"/>
        <v>0.85874231325730443</v>
      </c>
      <c r="CJ64"/>
      <c r="CK64"/>
      <c r="CL64"/>
      <c r="CM64"/>
      <c r="CN64"/>
      <c r="CO64"/>
      <c r="CP64"/>
      <c r="CQ64"/>
      <c r="CR64"/>
      <c r="CS64"/>
      <c r="CT64"/>
      <c r="CU64"/>
    </row>
    <row r="65" spans="1:99" s="5" customFormat="1" x14ac:dyDescent="0.3">
      <c r="A65" s="35" t="s">
        <v>69</v>
      </c>
      <c r="B65" s="11" t="s">
        <v>143</v>
      </c>
      <c r="C65" s="5">
        <v>60</v>
      </c>
      <c r="D65" s="25">
        <v>23.272916355466521</v>
      </c>
      <c r="E65" s="25">
        <v>9.8925019398190379</v>
      </c>
      <c r="F65" s="25">
        <v>33.75296003180771</v>
      </c>
      <c r="G65" s="25">
        <v>517.28380854943907</v>
      </c>
      <c r="H65" s="25">
        <v>10436.079361689524</v>
      </c>
      <c r="I65" s="25">
        <v>2747.4792190050885</v>
      </c>
      <c r="J65" s="25">
        <v>302.08222788788345</v>
      </c>
      <c r="K65" s="25">
        <v>4121.9710954896464</v>
      </c>
      <c r="L65" s="25">
        <v>536.00213099611119</v>
      </c>
      <c r="M65" s="25">
        <v>7390.5518425056971</v>
      </c>
      <c r="N65" s="25">
        <v>2064.1462020933764</v>
      </c>
      <c r="O65" s="25">
        <v>742.38887776228273</v>
      </c>
      <c r="P65" s="25">
        <v>371.02640888108976</v>
      </c>
      <c r="Q65" s="25">
        <v>373.04490533874758</v>
      </c>
      <c r="R65" s="25">
        <v>253.95314627965797</v>
      </c>
      <c r="S65" s="25">
        <v>305.81976744430563</v>
      </c>
      <c r="T65" s="25">
        <v>2410.6918564129737</v>
      </c>
      <c r="U65" s="25">
        <v>85.225416994027881</v>
      </c>
      <c r="V65" s="25">
        <v>6216.4726316737288</v>
      </c>
      <c r="W65" s="25">
        <v>159.42285360045116</v>
      </c>
      <c r="X65" s="25">
        <v>1.0186587438650456</v>
      </c>
      <c r="Y65" s="25">
        <v>660.1723984385161</v>
      </c>
      <c r="Z65" s="25">
        <v>3720.7685424709784</v>
      </c>
      <c r="AA65" s="25">
        <v>5223.1735154292974</v>
      </c>
      <c r="AB65" s="25">
        <v>1777.1204292248131</v>
      </c>
      <c r="AC65" s="25">
        <v>5256.8238125519611</v>
      </c>
      <c r="AD65" s="25">
        <v>1812.4679928897315</v>
      </c>
      <c r="AE65" s="25">
        <v>2141.341301527993</v>
      </c>
      <c r="AF65" s="25">
        <v>1388.783376760673</v>
      </c>
      <c r="AG65" s="25">
        <v>590.29317007141174</v>
      </c>
      <c r="AH65" s="25">
        <v>853.83422585465985</v>
      </c>
      <c r="AI65" s="25">
        <v>2979.6333944393905</v>
      </c>
      <c r="AJ65" s="25">
        <v>1734.8444428229632</v>
      </c>
      <c r="AK65" s="25">
        <v>1710.6961873718815</v>
      </c>
      <c r="AL65" s="25">
        <v>2390.9339876713798</v>
      </c>
      <c r="AM65" s="25">
        <v>1188.3368383155353</v>
      </c>
      <c r="AN65" s="25">
        <v>242.00158072399486</v>
      </c>
      <c r="AO65" s="25">
        <v>466.76289230098701</v>
      </c>
      <c r="AP65" s="25">
        <v>738.40724027323449</v>
      </c>
      <c r="AQ65" s="25">
        <v>991.56319941165179</v>
      </c>
      <c r="AR65" s="25">
        <v>161.9727494442601</v>
      </c>
      <c r="AS65" s="25">
        <v>116.04743063735026</v>
      </c>
      <c r="AT65" s="25">
        <v>66.820177868066438</v>
      </c>
      <c r="AU65" s="25">
        <v>1440.4557319132934</v>
      </c>
      <c r="AV65" s="25">
        <v>3953.3066227006584</v>
      </c>
      <c r="AW65" s="25">
        <v>7186.3214217680079</v>
      </c>
      <c r="AX65" s="25">
        <v>27986.876183019751</v>
      </c>
      <c r="AY65" s="40">
        <v>2468.8984850465076</v>
      </c>
      <c r="AZ65" s="25">
        <v>129.40306220419515</v>
      </c>
      <c r="BA65" s="25">
        <v>501.47123014316753</v>
      </c>
      <c r="BB65" s="25">
        <v>2268.5182184061769</v>
      </c>
      <c r="BC65" s="25">
        <v>275.05984668023166</v>
      </c>
      <c r="BD65" s="25">
        <v>1285.3570635588956</v>
      </c>
      <c r="BE65" s="25">
        <v>404.16716929115779</v>
      </c>
      <c r="BF65" s="25">
        <v>2879.7173761172357</v>
      </c>
      <c r="BG65" s="25">
        <v>3346.7482573272928</v>
      </c>
      <c r="BH65" s="25">
        <v>3250.5904801306674</v>
      </c>
      <c r="BI65" s="25">
        <v>16159.323787216927</v>
      </c>
      <c r="BJ65" s="25">
        <v>2774.4413646386806</v>
      </c>
      <c r="BK65" s="25">
        <v>16667.53661750826</v>
      </c>
      <c r="BL65" s="25">
        <v>4649.5690869474884</v>
      </c>
      <c r="BM65" s="25">
        <v>454.01877533068551</v>
      </c>
      <c r="BN65" s="25">
        <v>954.16807430047584</v>
      </c>
      <c r="BO65" s="25">
        <v>4426.9768774596114</v>
      </c>
      <c r="BP65" s="25">
        <v>1461.5696646316403</v>
      </c>
      <c r="BQ65" s="25">
        <v>5306.5420043233789</v>
      </c>
      <c r="BR65" s="25">
        <v>236.70659129242065</v>
      </c>
      <c r="BS65" s="25">
        <v>2501.7124421804237</v>
      </c>
      <c r="BT65" s="25">
        <v>306.63607693679575</v>
      </c>
      <c r="BU65" s="25">
        <v>3383.9809251620154</v>
      </c>
      <c r="BV65" s="25">
        <v>1153.5022710254257</v>
      </c>
      <c r="BW65" s="25">
        <v>3450.1949589799742</v>
      </c>
      <c r="BX65" s="25">
        <v>0</v>
      </c>
      <c r="BY65" s="25">
        <v>196578.14834241717</v>
      </c>
      <c r="BZ65" s="25">
        <v>13956.507962754715</v>
      </c>
      <c r="CA65" s="25">
        <v>0.21307414569733535</v>
      </c>
      <c r="CB65" s="25">
        <v>0</v>
      </c>
      <c r="CC65" s="25">
        <v>18072.685091320462</v>
      </c>
      <c r="CD65" s="25">
        <v>5.4455293675790299</v>
      </c>
      <c r="CE65" s="25">
        <v>0</v>
      </c>
      <c r="CF65" s="25">
        <v>32034.851657588457</v>
      </c>
      <c r="CG65" s="25">
        <v>228613</v>
      </c>
      <c r="CH65"/>
      <c r="CI65">
        <f t="shared" si="0"/>
        <v>0.14012699040556947</v>
      </c>
      <c r="CJ65"/>
      <c r="CK65"/>
      <c r="CL65"/>
      <c r="CM65"/>
      <c r="CN65"/>
      <c r="CO65"/>
      <c r="CP65"/>
      <c r="CQ65"/>
      <c r="CR65"/>
      <c r="CS65"/>
      <c r="CT65"/>
      <c r="CU65"/>
    </row>
    <row r="66" spans="1:99" s="5" customFormat="1" x14ac:dyDescent="0.3">
      <c r="A66" s="35" t="s">
        <v>70</v>
      </c>
      <c r="B66" s="11" t="s">
        <v>144</v>
      </c>
      <c r="C66" s="5">
        <v>61</v>
      </c>
      <c r="D66" s="25">
        <v>718.3966543563281</v>
      </c>
      <c r="E66" s="25">
        <v>23.732097147130816</v>
      </c>
      <c r="F66" s="25">
        <v>0.33195957003182014</v>
      </c>
      <c r="G66" s="25">
        <v>36.083974207080644</v>
      </c>
      <c r="H66" s="25">
        <v>1572.31505554708</v>
      </c>
      <c r="I66" s="25">
        <v>395.45980305987706</v>
      </c>
      <c r="J66" s="25">
        <v>95.707760847209641</v>
      </c>
      <c r="K66" s="25">
        <v>785.13914623763173</v>
      </c>
      <c r="L66" s="25">
        <v>185.91799650692712</v>
      </c>
      <c r="M66" s="25">
        <v>809.50784483494692</v>
      </c>
      <c r="N66" s="25">
        <v>160.01503692457311</v>
      </c>
      <c r="O66" s="25">
        <v>71.356507289358348</v>
      </c>
      <c r="P66" s="25">
        <v>43.626953711115618</v>
      </c>
      <c r="Q66" s="25">
        <v>103.42656028365677</v>
      </c>
      <c r="R66" s="25">
        <v>76.930976899851828</v>
      </c>
      <c r="S66" s="25">
        <v>43.674958739737306</v>
      </c>
      <c r="T66" s="25">
        <v>366.53851753609621</v>
      </c>
      <c r="U66" s="25">
        <v>24.554571734664631</v>
      </c>
      <c r="V66" s="25">
        <v>127.17244912977122</v>
      </c>
      <c r="W66" s="25">
        <v>3.2615066084491526</v>
      </c>
      <c r="X66" s="25">
        <v>2.6308599745689679E-2</v>
      </c>
      <c r="Y66" s="25">
        <v>180.63405196627349</v>
      </c>
      <c r="Z66" s="25">
        <v>557.88364504603817</v>
      </c>
      <c r="AA66" s="25">
        <v>416.34629959775185</v>
      </c>
      <c r="AB66" s="25">
        <v>288.72097384254465</v>
      </c>
      <c r="AC66" s="25">
        <v>651.88767553795071</v>
      </c>
      <c r="AD66" s="25">
        <v>635.73941383452689</v>
      </c>
      <c r="AE66" s="25">
        <v>341.38675864871368</v>
      </c>
      <c r="AF66" s="25">
        <v>312.49243234572816</v>
      </c>
      <c r="AG66" s="25">
        <v>200.18865828079646</v>
      </c>
      <c r="AH66" s="25">
        <v>313.12335878154499</v>
      </c>
      <c r="AI66" s="25">
        <v>432.6866836297246</v>
      </c>
      <c r="AJ66" s="25">
        <v>253.36048053837018</v>
      </c>
      <c r="AK66" s="25">
        <v>1193.2459282038503</v>
      </c>
      <c r="AL66" s="25">
        <v>1225.4392350205328</v>
      </c>
      <c r="AM66" s="25">
        <v>514.61505318396314</v>
      </c>
      <c r="AN66" s="25">
        <v>118.63723635374754</v>
      </c>
      <c r="AO66" s="25">
        <v>180.22440117634508</v>
      </c>
      <c r="AP66" s="25">
        <v>194.58671601245075</v>
      </c>
      <c r="AQ66" s="25">
        <v>1657.3160657788428</v>
      </c>
      <c r="AR66" s="25">
        <v>270.72408499188293</v>
      </c>
      <c r="AS66" s="25">
        <v>193.96370428204139</v>
      </c>
      <c r="AT66" s="25">
        <v>111.5059362215317</v>
      </c>
      <c r="AU66" s="25">
        <v>347.12119381373867</v>
      </c>
      <c r="AV66" s="25">
        <v>1978.6182890752661</v>
      </c>
      <c r="AW66" s="25">
        <v>72.417731323085363</v>
      </c>
      <c r="AX66" s="25">
        <v>1216.3394588959059</v>
      </c>
      <c r="AY66" s="40">
        <v>230.32232767025084</v>
      </c>
      <c r="AZ66" s="25">
        <v>9.9749793051058013</v>
      </c>
      <c r="BA66" s="25">
        <v>0.42553047046471698</v>
      </c>
      <c r="BB66" s="25">
        <v>3339.4436618741329</v>
      </c>
      <c r="BC66" s="25">
        <v>8.8081516522185481</v>
      </c>
      <c r="BD66" s="25">
        <v>28.710019434497475</v>
      </c>
      <c r="BE66" s="25">
        <v>0.89709438329907432</v>
      </c>
      <c r="BF66" s="25">
        <v>1.6923970123296401</v>
      </c>
      <c r="BG66" s="25">
        <v>18.043698371978458</v>
      </c>
      <c r="BH66" s="25">
        <v>248.45837650777761</v>
      </c>
      <c r="BI66" s="25">
        <v>419.52983912533017</v>
      </c>
      <c r="BJ66" s="25">
        <v>18.453922505345368</v>
      </c>
      <c r="BK66" s="25">
        <v>18.507951661913012</v>
      </c>
      <c r="BL66" s="25">
        <v>1722.7997235805485</v>
      </c>
      <c r="BM66" s="25">
        <v>3.9041187447384753</v>
      </c>
      <c r="BN66" s="25">
        <v>55.633660928466611</v>
      </c>
      <c r="BO66" s="25">
        <v>32.969002002624336</v>
      </c>
      <c r="BP66" s="25">
        <v>1.2010057204687821</v>
      </c>
      <c r="BQ66" s="25">
        <v>4719.4629756159902</v>
      </c>
      <c r="BR66" s="25">
        <v>1341.3790137445703</v>
      </c>
      <c r="BS66" s="25">
        <v>88.102104276410259</v>
      </c>
      <c r="BT66" s="25">
        <v>1368.9886549960875</v>
      </c>
      <c r="BU66" s="25">
        <v>11.424638252980708</v>
      </c>
      <c r="BV66" s="25">
        <v>12.845555337072048</v>
      </c>
      <c r="BW66" s="25">
        <v>13.109328671003013</v>
      </c>
      <c r="BX66" s="25">
        <v>0</v>
      </c>
      <c r="BY66" s="25">
        <v>33217.469838000012</v>
      </c>
      <c r="BZ66" s="25">
        <v>22160.160248651791</v>
      </c>
      <c r="CA66" s="25">
        <v>0.10653707284866767</v>
      </c>
      <c r="CB66" s="25">
        <v>0</v>
      </c>
      <c r="CC66" s="25">
        <v>879.51022555371264</v>
      </c>
      <c r="CD66" s="25">
        <v>6641.1850712291762</v>
      </c>
      <c r="CE66" s="25">
        <v>-7.4319204837301536</v>
      </c>
      <c r="CF66" s="25">
        <v>29673.530162023799</v>
      </c>
      <c r="CG66" s="25">
        <v>62891</v>
      </c>
      <c r="CH66"/>
      <c r="CI66">
        <f t="shared" si="0"/>
        <v>0.4718247469753033</v>
      </c>
      <c r="CJ66"/>
      <c r="CK66"/>
      <c r="CL66"/>
      <c r="CM66"/>
      <c r="CN66"/>
      <c r="CO66"/>
      <c r="CP66"/>
      <c r="CQ66"/>
      <c r="CR66"/>
      <c r="CS66"/>
      <c r="CT66"/>
      <c r="CU66"/>
    </row>
    <row r="67" spans="1:99" s="5" customFormat="1" x14ac:dyDescent="0.3">
      <c r="A67" s="35" t="s">
        <v>71</v>
      </c>
      <c r="B67" s="11" t="s">
        <v>145</v>
      </c>
      <c r="C67" s="5">
        <v>62</v>
      </c>
      <c r="D67" s="25">
        <v>15.093023184318485</v>
      </c>
      <c r="E67" s="25">
        <v>428.77741954459185</v>
      </c>
      <c r="F67" s="25">
        <v>101.73546722970767</v>
      </c>
      <c r="G67" s="25">
        <v>37.898929599101791</v>
      </c>
      <c r="H67" s="25">
        <v>834.77219379227222</v>
      </c>
      <c r="I67" s="25">
        <v>14.263895014824083</v>
      </c>
      <c r="J67" s="25">
        <v>0.78761504891165535</v>
      </c>
      <c r="K67" s="25">
        <v>2443.9041178230427</v>
      </c>
      <c r="L67" s="25">
        <v>155.23811105094239</v>
      </c>
      <c r="M67" s="25">
        <v>3877.0480771093448</v>
      </c>
      <c r="N67" s="25">
        <v>4985.176169238769</v>
      </c>
      <c r="O67" s="25">
        <v>222.05138442213556</v>
      </c>
      <c r="P67" s="25">
        <v>90.986076279737233</v>
      </c>
      <c r="Q67" s="25">
        <v>365.73815920927439</v>
      </c>
      <c r="R67" s="25">
        <v>824.21355379777629</v>
      </c>
      <c r="S67" s="25">
        <v>42.449862701070629</v>
      </c>
      <c r="T67" s="25">
        <v>554.92690090155236</v>
      </c>
      <c r="U67" s="25">
        <v>56.514711171160712</v>
      </c>
      <c r="V67" s="25">
        <v>231.93107242626769</v>
      </c>
      <c r="W67" s="25">
        <v>5.9479250686982095</v>
      </c>
      <c r="X67" s="25">
        <v>3.8005252962467283E-2</v>
      </c>
      <c r="Y67" s="25">
        <v>111.54259413927437</v>
      </c>
      <c r="Z67" s="25">
        <v>125.30336328007401</v>
      </c>
      <c r="AA67" s="25">
        <v>534.77932478733828</v>
      </c>
      <c r="AB67" s="25">
        <v>1323.7033577635452</v>
      </c>
      <c r="AC67" s="25">
        <v>2089.7675878003752</v>
      </c>
      <c r="AD67" s="25">
        <v>566.29794415223716</v>
      </c>
      <c r="AE67" s="25">
        <v>266.87945465512837</v>
      </c>
      <c r="AF67" s="25">
        <v>255.85801582811462</v>
      </c>
      <c r="AG67" s="25">
        <v>20.275698743758635</v>
      </c>
      <c r="AH67" s="25">
        <v>531.94417590765761</v>
      </c>
      <c r="AI67" s="25">
        <v>1413.1369619458917</v>
      </c>
      <c r="AJ67" s="25">
        <v>660.99929857141183</v>
      </c>
      <c r="AK67" s="25">
        <v>459.43719935996006</v>
      </c>
      <c r="AL67" s="25">
        <v>4549.4881312101597</v>
      </c>
      <c r="AM67" s="25">
        <v>171.09015186719751</v>
      </c>
      <c r="AN67" s="25">
        <v>259.89892560666954</v>
      </c>
      <c r="AO67" s="25">
        <v>434.68065973430538</v>
      </c>
      <c r="AP67" s="25">
        <v>147.30747115458632</v>
      </c>
      <c r="AQ67" s="25">
        <v>2755.3710581761834</v>
      </c>
      <c r="AR67" s="25">
        <v>450.09236556655981</v>
      </c>
      <c r="AS67" s="25">
        <v>322.47438382504538</v>
      </c>
      <c r="AT67" s="25">
        <v>185.68093724040995</v>
      </c>
      <c r="AU67" s="25">
        <v>213.2669769921242</v>
      </c>
      <c r="AV67" s="25">
        <v>1442.8978255846428</v>
      </c>
      <c r="AW67" s="25">
        <v>2669.0785921410261</v>
      </c>
      <c r="AX67" s="25">
        <v>18997.389371972502</v>
      </c>
      <c r="AY67" s="40">
        <v>763.5779322768077</v>
      </c>
      <c r="AZ67" s="25">
        <v>45.332452878567167</v>
      </c>
      <c r="BA67" s="25">
        <v>193.83665800532469</v>
      </c>
      <c r="BB67" s="25">
        <v>1315.4889290565861</v>
      </c>
      <c r="BC67" s="25">
        <v>335.5221588104647</v>
      </c>
      <c r="BD67" s="25">
        <v>862.49022131088282</v>
      </c>
      <c r="BE67" s="25">
        <v>676.34861945086641</v>
      </c>
      <c r="BF67" s="25">
        <v>1996.1941752903199</v>
      </c>
      <c r="BG67" s="25">
        <v>3016.4241151376455</v>
      </c>
      <c r="BH67" s="25">
        <v>2121.0139750365483</v>
      </c>
      <c r="BI67" s="25">
        <v>9538.6922657731247</v>
      </c>
      <c r="BJ67" s="25">
        <v>928.41987003530789</v>
      </c>
      <c r="BK67" s="25">
        <v>4481.0501076940909</v>
      </c>
      <c r="BL67" s="25">
        <v>407.29628857809814</v>
      </c>
      <c r="BM67" s="25">
        <v>2054.5567801959974</v>
      </c>
      <c r="BN67" s="25">
        <v>1044.2708441913148</v>
      </c>
      <c r="BO67" s="25">
        <v>1742.8634265246103</v>
      </c>
      <c r="BP67" s="25">
        <v>189.44255996050995</v>
      </c>
      <c r="BQ67" s="25">
        <v>4030.7572238501957</v>
      </c>
      <c r="BR67" s="25">
        <v>654.50592633963868</v>
      </c>
      <c r="BS67" s="25">
        <v>2758.0428235483923</v>
      </c>
      <c r="BT67" s="25">
        <v>1108.7243533550179</v>
      </c>
      <c r="BU67" s="25">
        <v>45.433719695587143</v>
      </c>
      <c r="BV67" s="25">
        <v>1489.645856424544</v>
      </c>
      <c r="BW67" s="25">
        <v>1673.124902137891</v>
      </c>
      <c r="BX67" s="25">
        <v>0</v>
      </c>
      <c r="BY67" s="25">
        <v>99721.190683430963</v>
      </c>
      <c r="BZ67" s="25">
        <v>3441.3441972555283</v>
      </c>
      <c r="CA67" s="25">
        <v>0.10452693939869281</v>
      </c>
      <c r="CB67" s="25">
        <v>0</v>
      </c>
      <c r="CC67" s="25">
        <v>1654.689200611997</v>
      </c>
      <c r="CD67" s="25">
        <v>2.6713917652274488</v>
      </c>
      <c r="CE67" s="25">
        <v>0</v>
      </c>
      <c r="CF67" s="25">
        <v>5098.8093165721521</v>
      </c>
      <c r="CG67" s="25">
        <v>104820</v>
      </c>
      <c r="CH67"/>
      <c r="CI67">
        <f t="shared" si="0"/>
        <v>4.8643477547912158E-2</v>
      </c>
      <c r="CJ67"/>
      <c r="CK67"/>
      <c r="CL67"/>
      <c r="CM67"/>
      <c r="CN67"/>
      <c r="CO67"/>
      <c r="CP67"/>
      <c r="CQ67"/>
      <c r="CR67"/>
      <c r="CS67"/>
      <c r="CT67"/>
      <c r="CU67"/>
    </row>
    <row r="68" spans="1:99" s="5" customFormat="1" x14ac:dyDescent="0.3">
      <c r="A68" s="35" t="s">
        <v>72</v>
      </c>
      <c r="B68" s="13" t="s">
        <v>146</v>
      </c>
      <c r="C68" s="5">
        <v>63</v>
      </c>
      <c r="D68" s="25">
        <v>205.60424964953293</v>
      </c>
      <c r="E68" s="25">
        <v>28.023518298222324</v>
      </c>
      <c r="F68" s="25">
        <v>38.508606855517549</v>
      </c>
      <c r="G68" s="25">
        <v>116.86728051323043</v>
      </c>
      <c r="H68" s="25">
        <v>6131.8541762540463</v>
      </c>
      <c r="I68" s="25">
        <v>894.53871931067351</v>
      </c>
      <c r="J68" s="25">
        <v>127.17831177848983</v>
      </c>
      <c r="K68" s="25">
        <v>217.42906554111181</v>
      </c>
      <c r="L68" s="25">
        <v>150.92641103544005</v>
      </c>
      <c r="M68" s="25">
        <v>631.16842581109574</v>
      </c>
      <c r="N68" s="25">
        <v>190.81122677137262</v>
      </c>
      <c r="O68" s="25">
        <v>21.270996659198861</v>
      </c>
      <c r="P68" s="25">
        <v>32.99846305752947</v>
      </c>
      <c r="Q68" s="25">
        <v>55.841001149375131</v>
      </c>
      <c r="R68" s="25">
        <v>40.169062916981353</v>
      </c>
      <c r="S68" s="25">
        <v>86.284969345043024</v>
      </c>
      <c r="T68" s="25">
        <v>473.18735490788873</v>
      </c>
      <c r="U68" s="25">
        <v>90.593479798092531</v>
      </c>
      <c r="V68" s="25">
        <v>252.78269318409866</v>
      </c>
      <c r="W68" s="25">
        <v>6.4931625431138027</v>
      </c>
      <c r="X68" s="25">
        <v>0.45064599733962518</v>
      </c>
      <c r="Y68" s="25">
        <v>58.966029032117767</v>
      </c>
      <c r="Z68" s="25">
        <v>260.72578316504865</v>
      </c>
      <c r="AA68" s="25">
        <v>223.08808232749669</v>
      </c>
      <c r="AB68" s="25">
        <v>49.535794382551529</v>
      </c>
      <c r="AC68" s="25">
        <v>117.3086033485307</v>
      </c>
      <c r="AD68" s="25">
        <v>354.35758435694197</v>
      </c>
      <c r="AE68" s="25">
        <v>229.81965227726525</v>
      </c>
      <c r="AF68" s="25">
        <v>528.0464150104973</v>
      </c>
      <c r="AG68" s="25">
        <v>166.89182734224278</v>
      </c>
      <c r="AH68" s="25">
        <v>339.00118283371751</v>
      </c>
      <c r="AI68" s="25">
        <v>239.28106688759601</v>
      </c>
      <c r="AJ68" s="25">
        <v>112.42012627046684</v>
      </c>
      <c r="AK68" s="25">
        <v>334.31928605873645</v>
      </c>
      <c r="AL68" s="25">
        <v>928.69795763416107</v>
      </c>
      <c r="AM68" s="25">
        <v>325.97179431016639</v>
      </c>
      <c r="AN68" s="25">
        <v>256.3214193516996</v>
      </c>
      <c r="AO68" s="25">
        <v>129.95185615157328</v>
      </c>
      <c r="AP68" s="25">
        <v>210.2934120767498</v>
      </c>
      <c r="AQ68" s="25">
        <v>343.07950048435032</v>
      </c>
      <c r="AR68" s="25">
        <v>56.042348086724061</v>
      </c>
      <c r="AS68" s="25">
        <v>40.152251071013843</v>
      </c>
      <c r="AT68" s="25">
        <v>23.141367766589816</v>
      </c>
      <c r="AU68" s="25">
        <v>727.32046238757903</v>
      </c>
      <c r="AV68" s="25">
        <v>1408.9252559048648</v>
      </c>
      <c r="AW68" s="25">
        <v>417.98522368287553</v>
      </c>
      <c r="AX68" s="25">
        <v>4507.9893468683085</v>
      </c>
      <c r="AY68" s="40">
        <v>1890.69138399657</v>
      </c>
      <c r="AZ68" s="25">
        <v>500.2843845143708</v>
      </c>
      <c r="BA68" s="25">
        <v>1122.7658630557933</v>
      </c>
      <c r="BB68" s="25">
        <v>1079.689850763288</v>
      </c>
      <c r="BC68" s="25">
        <v>75.054183781357338</v>
      </c>
      <c r="BD68" s="25">
        <v>688.59315334436087</v>
      </c>
      <c r="BE68" s="25">
        <v>282.64602669145324</v>
      </c>
      <c r="BF68" s="25">
        <v>555.51643129469835</v>
      </c>
      <c r="BG68" s="25">
        <v>1872.7530622378949</v>
      </c>
      <c r="BH68" s="25">
        <v>1377.181951787745</v>
      </c>
      <c r="BI68" s="25">
        <v>695.51883977965838</v>
      </c>
      <c r="BJ68" s="25">
        <v>164.20389522258773</v>
      </c>
      <c r="BK68" s="25">
        <v>409.66228818732378</v>
      </c>
      <c r="BL68" s="25">
        <v>378.28087832692717</v>
      </c>
      <c r="BM68" s="25">
        <v>142.84219032052388</v>
      </c>
      <c r="BN68" s="25">
        <v>789.20854804280123</v>
      </c>
      <c r="BO68" s="25">
        <v>528.48832551482633</v>
      </c>
      <c r="BP68" s="25">
        <v>141.97707264495585</v>
      </c>
      <c r="BQ68" s="25">
        <v>1448.9570618755711</v>
      </c>
      <c r="BR68" s="25">
        <v>609.81669565994855</v>
      </c>
      <c r="BS68" s="25">
        <v>960.06159177312838</v>
      </c>
      <c r="BT68" s="25">
        <v>749.56684560163535</v>
      </c>
      <c r="BU68" s="25">
        <v>419.02907139924116</v>
      </c>
      <c r="BV68" s="25">
        <v>266.34843807138458</v>
      </c>
      <c r="BW68" s="25">
        <v>168.96916621311962</v>
      </c>
      <c r="BX68" s="25">
        <v>0</v>
      </c>
      <c r="BY68" s="25">
        <v>39500.722650548421</v>
      </c>
      <c r="BZ68" s="25">
        <v>5848.3397258344175</v>
      </c>
      <c r="CA68" s="25">
        <v>0</v>
      </c>
      <c r="CB68" s="25">
        <v>0</v>
      </c>
      <c r="CC68" s="25">
        <v>2640.9916912795111</v>
      </c>
      <c r="CD68" s="25">
        <v>485.66329839225301</v>
      </c>
      <c r="CE68" s="25">
        <v>3.2826339988799145</v>
      </c>
      <c r="CF68" s="25">
        <v>8978.2773495050624</v>
      </c>
      <c r="CG68" s="25">
        <v>48479</v>
      </c>
      <c r="CH68"/>
      <c r="CI68">
        <f t="shared" si="0"/>
        <v>0.1851993100003107</v>
      </c>
      <c r="CJ68"/>
      <c r="CK68"/>
      <c r="CL68"/>
      <c r="CM68"/>
      <c r="CN68"/>
      <c r="CO68"/>
      <c r="CP68"/>
      <c r="CQ68"/>
      <c r="CR68"/>
      <c r="CS68"/>
      <c r="CT68"/>
      <c r="CU68"/>
    </row>
    <row r="69" spans="1:99" s="5" customFormat="1" x14ac:dyDescent="0.3">
      <c r="A69" s="35" t="s">
        <v>73</v>
      </c>
      <c r="B69" s="11" t="s">
        <v>147</v>
      </c>
      <c r="C69" s="5">
        <v>64</v>
      </c>
      <c r="D69" s="25">
        <v>32.649423028091199</v>
      </c>
      <c r="E69" s="25">
        <v>18.755261157951061</v>
      </c>
      <c r="F69" s="25">
        <v>29.35477031948778</v>
      </c>
      <c r="G69" s="25">
        <v>536.17133510112262</v>
      </c>
      <c r="H69" s="25">
        <v>1105.0543823110036</v>
      </c>
      <c r="I69" s="25">
        <v>840.96716723066106</v>
      </c>
      <c r="J69" s="25">
        <v>200.98821522101832</v>
      </c>
      <c r="K69" s="25">
        <v>934.50170802081868</v>
      </c>
      <c r="L69" s="25">
        <v>431.23671092684219</v>
      </c>
      <c r="M69" s="25">
        <v>1456.6948204968085</v>
      </c>
      <c r="N69" s="25">
        <v>1105.5168647542537</v>
      </c>
      <c r="O69" s="25">
        <v>150.87684554241133</v>
      </c>
      <c r="P69" s="25">
        <v>213.69838746672355</v>
      </c>
      <c r="Q69" s="25">
        <v>201.22557205859525</v>
      </c>
      <c r="R69" s="25">
        <v>286.27648391460298</v>
      </c>
      <c r="S69" s="25">
        <v>57.538058185312742</v>
      </c>
      <c r="T69" s="25">
        <v>725.10994721928114</v>
      </c>
      <c r="U69" s="25">
        <v>36.002924232523554</v>
      </c>
      <c r="V69" s="25">
        <v>293.44293323880748</v>
      </c>
      <c r="W69" s="25">
        <v>7.5254107204557679</v>
      </c>
      <c r="X69" s="25">
        <v>4.808485896746191E-2</v>
      </c>
      <c r="Y69" s="25">
        <v>530.39057472236584</v>
      </c>
      <c r="Z69" s="25">
        <v>607.80239758586833</v>
      </c>
      <c r="AA69" s="25">
        <v>985.40458337874952</v>
      </c>
      <c r="AB69" s="25">
        <v>413.05358781774072</v>
      </c>
      <c r="AC69" s="25">
        <v>1363.2085286645388</v>
      </c>
      <c r="AD69" s="25">
        <v>792.36284824142285</v>
      </c>
      <c r="AE69" s="25">
        <v>824.268855190566</v>
      </c>
      <c r="AF69" s="25">
        <v>665.80550378299245</v>
      </c>
      <c r="AG69" s="25">
        <v>665.1474890448012</v>
      </c>
      <c r="AH69" s="25">
        <v>813.0239229424418</v>
      </c>
      <c r="AI69" s="25">
        <v>989.39069107945761</v>
      </c>
      <c r="AJ69" s="25">
        <v>719.62156526722526</v>
      </c>
      <c r="AK69" s="25">
        <v>2151.6935586468908</v>
      </c>
      <c r="AL69" s="25">
        <v>1610.6231247984024</v>
      </c>
      <c r="AM69" s="25">
        <v>435.6103670677503</v>
      </c>
      <c r="AN69" s="25">
        <v>159.95456206518563</v>
      </c>
      <c r="AO69" s="25">
        <v>311.09128867234108</v>
      </c>
      <c r="AP69" s="25">
        <v>457.37414964008502</v>
      </c>
      <c r="AQ69" s="25">
        <v>2733.1140757594053</v>
      </c>
      <c r="AR69" s="25">
        <v>446.45666726864272</v>
      </c>
      <c r="AS69" s="25">
        <v>319.86954166799444</v>
      </c>
      <c r="AT69" s="25">
        <v>184.18106761558121</v>
      </c>
      <c r="AU69" s="25">
        <v>442.03788754256817</v>
      </c>
      <c r="AV69" s="25">
        <v>1940.5177302309221</v>
      </c>
      <c r="AW69" s="25">
        <v>2052.8728961320053</v>
      </c>
      <c r="AX69" s="25">
        <v>34387.888269365707</v>
      </c>
      <c r="AY69" s="40">
        <v>2256.388089598539</v>
      </c>
      <c r="AZ69" s="25">
        <v>101.70296743531351</v>
      </c>
      <c r="BA69" s="25">
        <v>993.32183300690144</v>
      </c>
      <c r="BB69" s="25">
        <v>3310.347216834426</v>
      </c>
      <c r="BC69" s="25">
        <v>963.8540989232057</v>
      </c>
      <c r="BD69" s="25">
        <v>2351.7966015597917</v>
      </c>
      <c r="BE69" s="25">
        <v>227.39343922081298</v>
      </c>
      <c r="BF69" s="25">
        <v>1016.0364473026622</v>
      </c>
      <c r="BG69" s="25">
        <v>18009.30608658319</v>
      </c>
      <c r="BH69" s="25">
        <v>6538.2520784141834</v>
      </c>
      <c r="BI69" s="25">
        <v>20801.038659864713</v>
      </c>
      <c r="BJ69" s="25">
        <v>1551.8024596373566</v>
      </c>
      <c r="BK69" s="25">
        <v>4590.9657980645143</v>
      </c>
      <c r="BL69" s="25">
        <v>548.73087473248006</v>
      </c>
      <c r="BM69" s="25">
        <v>764.43175477833711</v>
      </c>
      <c r="BN69" s="25">
        <v>694.41207160454451</v>
      </c>
      <c r="BO69" s="25">
        <v>7148.239509064646</v>
      </c>
      <c r="BP69" s="25">
        <v>413.07854929836788</v>
      </c>
      <c r="BQ69" s="25">
        <v>26280.895753210785</v>
      </c>
      <c r="BR69" s="25">
        <v>11439.974337001982</v>
      </c>
      <c r="BS69" s="25">
        <v>4317.8972991269766</v>
      </c>
      <c r="BT69" s="25">
        <v>10166.818410314007</v>
      </c>
      <c r="BU69" s="25">
        <v>4405.3130286183668</v>
      </c>
      <c r="BV69" s="25">
        <v>1168.3698969347392</v>
      </c>
      <c r="BW69" s="25">
        <v>7014.5432379977537</v>
      </c>
      <c r="BX69" s="25">
        <v>0</v>
      </c>
      <c r="BY69" s="25">
        <v>202741.31153932598</v>
      </c>
      <c r="BZ69" s="25">
        <v>7098.179265942661</v>
      </c>
      <c r="CA69" s="25">
        <v>0.15880054254801407</v>
      </c>
      <c r="CB69" s="25">
        <v>36935</v>
      </c>
      <c r="CC69" s="25">
        <v>14910.063280014376</v>
      </c>
      <c r="CD69" s="25">
        <v>30.287114208055485</v>
      </c>
      <c r="CE69" s="25">
        <v>0</v>
      </c>
      <c r="CF69" s="25">
        <v>58973.688460707635</v>
      </c>
      <c r="CG69" s="25">
        <v>261715</v>
      </c>
      <c r="CH69"/>
      <c r="CI69">
        <f t="shared" si="0"/>
        <v>0.22533553086642966</v>
      </c>
      <c r="CJ69"/>
      <c r="CK69"/>
      <c r="CL69"/>
      <c r="CM69"/>
      <c r="CN69"/>
      <c r="CO69"/>
      <c r="CP69"/>
      <c r="CQ69"/>
      <c r="CR69"/>
      <c r="CS69"/>
      <c r="CT69"/>
      <c r="CU69"/>
    </row>
    <row r="70" spans="1:99" s="5" customFormat="1" x14ac:dyDescent="0.3">
      <c r="A70" s="35" t="s">
        <v>74</v>
      </c>
      <c r="B70" s="11" t="s">
        <v>148</v>
      </c>
      <c r="C70" s="5">
        <v>65</v>
      </c>
      <c r="D70" s="25">
        <v>1.907882371450748</v>
      </c>
      <c r="E70" s="25">
        <v>0.48734656155973116</v>
      </c>
      <c r="F70" s="25">
        <v>1.9603187760086069</v>
      </c>
      <c r="G70" s="25">
        <v>7.6968911749750628</v>
      </c>
      <c r="H70" s="25">
        <v>127.69534052883463</v>
      </c>
      <c r="I70" s="25">
        <v>93.027520909891479</v>
      </c>
      <c r="J70" s="25">
        <v>17.274263635549723</v>
      </c>
      <c r="K70" s="25">
        <v>379.91235068989135</v>
      </c>
      <c r="L70" s="25">
        <v>99.656064451783166</v>
      </c>
      <c r="M70" s="25">
        <v>346.34328667956413</v>
      </c>
      <c r="N70" s="25">
        <v>122.87558807079138</v>
      </c>
      <c r="O70" s="25">
        <v>118.85417793800191</v>
      </c>
      <c r="P70" s="25">
        <v>31.921961763906456</v>
      </c>
      <c r="Q70" s="25">
        <v>31.064384860588024</v>
      </c>
      <c r="R70" s="25">
        <v>45.298953826524517</v>
      </c>
      <c r="S70" s="25">
        <v>65.240512135197889</v>
      </c>
      <c r="T70" s="25">
        <v>508.88854248996728</v>
      </c>
      <c r="U70" s="25">
        <v>16.364065739302706</v>
      </c>
      <c r="V70" s="25">
        <v>134.50498390270354</v>
      </c>
      <c r="W70" s="25">
        <v>3.4494108842361895</v>
      </c>
      <c r="X70" s="25">
        <v>2.204058250780495E-2</v>
      </c>
      <c r="Y70" s="25">
        <v>2.048708216454096</v>
      </c>
      <c r="Z70" s="25">
        <v>278.22912418076567</v>
      </c>
      <c r="AA70" s="25">
        <v>178.43621708116024</v>
      </c>
      <c r="AB70" s="25">
        <v>38.538573326914829</v>
      </c>
      <c r="AC70" s="25">
        <v>250.2135137259277</v>
      </c>
      <c r="AD70" s="25">
        <v>227.49956690980653</v>
      </c>
      <c r="AE70" s="25">
        <v>414.98244519779206</v>
      </c>
      <c r="AF70" s="25">
        <v>87.548525850318399</v>
      </c>
      <c r="AG70" s="25">
        <v>71.084426126538133</v>
      </c>
      <c r="AH70" s="25">
        <v>186.17602742198338</v>
      </c>
      <c r="AI70" s="25">
        <v>146.13483915549162</v>
      </c>
      <c r="AJ70" s="25">
        <v>96.119728193658503</v>
      </c>
      <c r="AK70" s="25">
        <v>252.48727749669695</v>
      </c>
      <c r="AL70" s="25">
        <v>647.62262244836347</v>
      </c>
      <c r="AM70" s="25">
        <v>312.46624031072156</v>
      </c>
      <c r="AN70" s="25">
        <v>89.149442958866487</v>
      </c>
      <c r="AO70" s="25">
        <v>57.834482220038481</v>
      </c>
      <c r="AP70" s="25">
        <v>210.98389794575056</v>
      </c>
      <c r="AQ70" s="25">
        <v>283.161293237047</v>
      </c>
      <c r="AR70" s="25">
        <v>46.254654498080122</v>
      </c>
      <c r="AS70" s="25">
        <v>33.13973386225539</v>
      </c>
      <c r="AT70" s="25">
        <v>19.081877978809608</v>
      </c>
      <c r="AU70" s="25">
        <v>548.83558735337635</v>
      </c>
      <c r="AV70" s="25">
        <v>578.26143829970658</v>
      </c>
      <c r="AW70" s="25">
        <v>734.48410141703334</v>
      </c>
      <c r="AX70" s="25">
        <v>5576.1445484668102</v>
      </c>
      <c r="AY70" s="40">
        <v>1584.7038377001663</v>
      </c>
      <c r="AZ70" s="25">
        <v>24.92781256572988</v>
      </c>
      <c r="BA70" s="25">
        <v>192.55159066615735</v>
      </c>
      <c r="BB70" s="25">
        <v>3195.2707181322726</v>
      </c>
      <c r="BC70" s="25">
        <v>107.59958893571401</v>
      </c>
      <c r="BD70" s="25">
        <v>717.78816399094251</v>
      </c>
      <c r="BE70" s="25">
        <v>30.752881909411364</v>
      </c>
      <c r="BF70" s="25">
        <v>299.89363554041813</v>
      </c>
      <c r="BG70" s="25">
        <v>598.24394893607109</v>
      </c>
      <c r="BH70" s="25">
        <v>594.26717166641583</v>
      </c>
      <c r="BI70" s="25">
        <v>5066.1246937467113</v>
      </c>
      <c r="BJ70" s="25">
        <v>207.4571169568145</v>
      </c>
      <c r="BK70" s="25">
        <v>882.34939176338287</v>
      </c>
      <c r="BL70" s="25">
        <v>11.760968237936002</v>
      </c>
      <c r="BM70" s="25">
        <v>215.87582210967875</v>
      </c>
      <c r="BN70" s="25">
        <v>131.50020497398734</v>
      </c>
      <c r="BO70" s="25">
        <v>860.06985621587103</v>
      </c>
      <c r="BP70" s="25">
        <v>47.962383080056355</v>
      </c>
      <c r="BQ70" s="25">
        <v>7774.7084209636632</v>
      </c>
      <c r="BR70" s="25">
        <v>3379.7286305500447</v>
      </c>
      <c r="BS70" s="25">
        <v>1502.7259835834338</v>
      </c>
      <c r="BT70" s="25">
        <v>1455.9510072517671</v>
      </c>
      <c r="BU70" s="25">
        <v>1.4681232539730655</v>
      </c>
      <c r="BV70" s="25">
        <v>165.63288088673085</v>
      </c>
      <c r="BW70" s="25">
        <v>3.9649981402501111</v>
      </c>
      <c r="BX70" s="25">
        <v>0</v>
      </c>
      <c r="BY70" s="25">
        <v>42574.644613611206</v>
      </c>
      <c r="BZ70" s="25">
        <v>4.6504577663059132</v>
      </c>
      <c r="CA70" s="25">
        <v>0.10050667249874308</v>
      </c>
      <c r="CB70" s="25">
        <v>0</v>
      </c>
      <c r="CC70" s="25">
        <v>514.03577602316886</v>
      </c>
      <c r="CD70" s="25">
        <v>2.5686459281033156</v>
      </c>
      <c r="CE70" s="25">
        <v>0</v>
      </c>
      <c r="CF70" s="25">
        <v>521.35538639007689</v>
      </c>
      <c r="CG70" s="25">
        <v>43096</v>
      </c>
      <c r="CH70"/>
      <c r="CI70">
        <f t="shared" si="0"/>
        <v>1.2097535418370078E-2</v>
      </c>
      <c r="CJ70"/>
      <c r="CK70"/>
      <c r="CL70"/>
      <c r="CM70"/>
      <c r="CN70"/>
      <c r="CO70"/>
      <c r="CP70"/>
      <c r="CQ70"/>
      <c r="CR70"/>
      <c r="CS70"/>
      <c r="CT70"/>
      <c r="CU70"/>
    </row>
    <row r="71" spans="1:99" s="5" customFormat="1" x14ac:dyDescent="0.3">
      <c r="A71" s="35" t="s">
        <v>75</v>
      </c>
      <c r="B71" s="11" t="s">
        <v>149</v>
      </c>
      <c r="C71" s="5">
        <v>66</v>
      </c>
      <c r="D71" s="25">
        <v>287.04852784451367</v>
      </c>
      <c r="E71" s="25">
        <v>117.96534890945979</v>
      </c>
      <c r="F71" s="25">
        <v>22.219313916159944</v>
      </c>
      <c r="G71" s="25">
        <v>29.510197218123029</v>
      </c>
      <c r="H71" s="25">
        <v>618.18889644974422</v>
      </c>
      <c r="I71" s="25">
        <v>271.26173179985699</v>
      </c>
      <c r="J71" s="25">
        <v>40.93591097223608</v>
      </c>
      <c r="K71" s="25">
        <v>507.10544786347327</v>
      </c>
      <c r="L71" s="25">
        <v>93.451508298468951</v>
      </c>
      <c r="M71" s="25">
        <v>1000.7241142669925</v>
      </c>
      <c r="N71" s="25">
        <v>566.82864067934725</v>
      </c>
      <c r="O71" s="25">
        <v>69.080296869983215</v>
      </c>
      <c r="P71" s="25">
        <v>39.653621148474187</v>
      </c>
      <c r="Q71" s="25">
        <v>55.353349451117296</v>
      </c>
      <c r="R71" s="25">
        <v>89.305712871622603</v>
      </c>
      <c r="S71" s="25">
        <v>66.89326441837369</v>
      </c>
      <c r="T71" s="25">
        <v>304.24376339282782</v>
      </c>
      <c r="U71" s="25">
        <v>14.19256147244627</v>
      </c>
      <c r="V71" s="25">
        <v>226.90977531080588</v>
      </c>
      <c r="W71" s="25">
        <v>5.8228494038710989</v>
      </c>
      <c r="X71" s="25">
        <v>0.18776280709842402</v>
      </c>
      <c r="Y71" s="25">
        <v>71.54631701532746</v>
      </c>
      <c r="Z71" s="25">
        <v>928.14562514159638</v>
      </c>
      <c r="AA71" s="25">
        <v>335.42047479093361</v>
      </c>
      <c r="AB71" s="25">
        <v>229.37249019178245</v>
      </c>
      <c r="AC71" s="25">
        <v>409.50967957532578</v>
      </c>
      <c r="AD71" s="25">
        <v>197.38597703956509</v>
      </c>
      <c r="AE71" s="25">
        <v>225.04424592634516</v>
      </c>
      <c r="AF71" s="25">
        <v>596.78024564842895</v>
      </c>
      <c r="AG71" s="25">
        <v>272.1380599987454</v>
      </c>
      <c r="AH71" s="25">
        <v>165.51574501616787</v>
      </c>
      <c r="AI71" s="25">
        <v>231.98448993787341</v>
      </c>
      <c r="AJ71" s="25">
        <v>180.44031178512384</v>
      </c>
      <c r="AK71" s="25">
        <v>235.51382376645969</v>
      </c>
      <c r="AL71" s="25">
        <v>662.97086087777745</v>
      </c>
      <c r="AM71" s="25">
        <v>155.92218404858696</v>
      </c>
      <c r="AN71" s="25">
        <v>63.373229293612134</v>
      </c>
      <c r="AO71" s="25">
        <v>86.574589455581801</v>
      </c>
      <c r="AP71" s="25">
        <v>86.821987603223789</v>
      </c>
      <c r="AQ71" s="25">
        <v>454.43975043351361</v>
      </c>
      <c r="AR71" s="25">
        <v>103.88576694770563</v>
      </c>
      <c r="AS71" s="25">
        <v>42.989868002769896</v>
      </c>
      <c r="AT71" s="25">
        <v>33.735984529936225</v>
      </c>
      <c r="AU71" s="25">
        <v>188.69075650322367</v>
      </c>
      <c r="AV71" s="25">
        <v>419.85520756134832</v>
      </c>
      <c r="AW71" s="25">
        <v>459.19527429173968</v>
      </c>
      <c r="AX71" s="25">
        <v>3654.3875471763286</v>
      </c>
      <c r="AY71" s="40">
        <v>539.12999832229548</v>
      </c>
      <c r="AZ71" s="25">
        <v>102.5099329973319</v>
      </c>
      <c r="BA71" s="25">
        <v>230.15109923844281</v>
      </c>
      <c r="BB71" s="25">
        <v>547.05289378990267</v>
      </c>
      <c r="BC71" s="25">
        <v>90.371603926043434</v>
      </c>
      <c r="BD71" s="25">
        <v>285.91631769747431</v>
      </c>
      <c r="BE71" s="25">
        <v>70.407561833964252</v>
      </c>
      <c r="BF71" s="25">
        <v>290.6133152351332</v>
      </c>
      <c r="BG71" s="25">
        <v>485.50333563571149</v>
      </c>
      <c r="BH71" s="25">
        <v>438.71221044932014</v>
      </c>
      <c r="BI71" s="25">
        <v>1584.9789784563361</v>
      </c>
      <c r="BJ71" s="25">
        <v>208.14764062974933</v>
      </c>
      <c r="BK71" s="25">
        <v>956.03408087952698</v>
      </c>
      <c r="BL71" s="25">
        <v>401.00097508719585</v>
      </c>
      <c r="BM71" s="25">
        <v>359.19504244813345</v>
      </c>
      <c r="BN71" s="25">
        <v>135.45641456319268</v>
      </c>
      <c r="BO71" s="25">
        <v>847.27995892570129</v>
      </c>
      <c r="BP71" s="25">
        <v>63.421325289456178</v>
      </c>
      <c r="BQ71" s="25">
        <v>1923.8449102739464</v>
      </c>
      <c r="BR71" s="25">
        <v>410.89876026481767</v>
      </c>
      <c r="BS71" s="25">
        <v>423.74671502987565</v>
      </c>
      <c r="BT71" s="25">
        <v>415.91501108463763</v>
      </c>
      <c r="BU71" s="25">
        <v>461.85662646024542</v>
      </c>
      <c r="BV71" s="25">
        <v>208.03805596239246</v>
      </c>
      <c r="BW71" s="25">
        <v>711.8398827478328</v>
      </c>
      <c r="BX71" s="25">
        <v>0</v>
      </c>
      <c r="BY71" s="25">
        <v>27110.545735152675</v>
      </c>
      <c r="BZ71" s="25">
        <v>2675.7793172376355</v>
      </c>
      <c r="CA71" s="25">
        <v>804207.61974603636</v>
      </c>
      <c r="CB71" s="25">
        <v>239.50738606091164</v>
      </c>
      <c r="CC71" s="25">
        <v>14024.792419332854</v>
      </c>
      <c r="CD71" s="25">
        <v>10427.517294669809</v>
      </c>
      <c r="CE71" s="25">
        <v>78.238101509793609</v>
      </c>
      <c r="CF71" s="25">
        <v>831653.45426484733</v>
      </c>
      <c r="CG71" s="25">
        <v>858764</v>
      </c>
      <c r="CH71"/>
      <c r="CI71">
        <f t="shared" ref="CI71:CI78" si="1">CF71/CG71</f>
        <v>0.9684307379732352</v>
      </c>
      <c r="CJ71"/>
      <c r="CK71"/>
      <c r="CL71"/>
      <c r="CM71"/>
      <c r="CN71"/>
      <c r="CO71"/>
      <c r="CP71"/>
      <c r="CQ71"/>
      <c r="CR71"/>
      <c r="CS71"/>
      <c r="CT71"/>
      <c r="CU71"/>
    </row>
    <row r="72" spans="1:99" s="5" customFormat="1" x14ac:dyDescent="0.3">
      <c r="A72" s="35" t="s">
        <v>76</v>
      </c>
      <c r="B72" s="11" t="s">
        <v>150</v>
      </c>
      <c r="C72" s="5">
        <v>67</v>
      </c>
      <c r="D72" s="25">
        <v>2.0639267555544296</v>
      </c>
      <c r="E72" s="25">
        <v>0.27582278463743687</v>
      </c>
      <c r="F72" s="25">
        <v>8.1850937898453463E-2</v>
      </c>
      <c r="G72" s="25">
        <v>1.8878462751132687</v>
      </c>
      <c r="H72" s="25">
        <v>10.075169262200149</v>
      </c>
      <c r="I72" s="25">
        <v>45.752746597845565</v>
      </c>
      <c r="J72" s="25">
        <v>0.86904905760055107</v>
      </c>
      <c r="K72" s="25">
        <v>30.188433714169108</v>
      </c>
      <c r="L72" s="25">
        <v>3.3089813089860112</v>
      </c>
      <c r="M72" s="25">
        <v>20.077640325300095</v>
      </c>
      <c r="N72" s="25">
        <v>26.181813468370393</v>
      </c>
      <c r="O72" s="25">
        <v>5.3494283952472514</v>
      </c>
      <c r="P72" s="25">
        <v>0.82692949892132539</v>
      </c>
      <c r="Q72" s="25">
        <v>4.7370777111865516</v>
      </c>
      <c r="R72" s="25">
        <v>7.4683805082089147</v>
      </c>
      <c r="S72" s="25">
        <v>3.4470009539477098</v>
      </c>
      <c r="T72" s="25">
        <v>11.825420509978191</v>
      </c>
      <c r="U72" s="25">
        <v>0.44971819482643954</v>
      </c>
      <c r="V72" s="25">
        <v>3.852857050045583</v>
      </c>
      <c r="W72" s="25">
        <v>9.880739477614435E-2</v>
      </c>
      <c r="X72" s="25">
        <v>6.3134622404576032E-4</v>
      </c>
      <c r="Y72" s="25">
        <v>0.93157600810179186</v>
      </c>
      <c r="Z72" s="25">
        <v>31.679140939242913</v>
      </c>
      <c r="AA72" s="25">
        <v>11.890595267991705</v>
      </c>
      <c r="AB72" s="25">
        <v>19.671677564177742</v>
      </c>
      <c r="AC72" s="25">
        <v>69.643530629303115</v>
      </c>
      <c r="AD72" s="25">
        <v>12.860111052764756</v>
      </c>
      <c r="AE72" s="25">
        <v>10.966728555138715</v>
      </c>
      <c r="AF72" s="25">
        <v>12.991515864926425</v>
      </c>
      <c r="AG72" s="25">
        <v>33.764487429716837</v>
      </c>
      <c r="AH72" s="25">
        <v>5.9046013268793853</v>
      </c>
      <c r="AI72" s="25">
        <v>17.135074584868725</v>
      </c>
      <c r="AJ72" s="25">
        <v>38.438409301759435</v>
      </c>
      <c r="AK72" s="25">
        <v>39.311970491869424</v>
      </c>
      <c r="AL72" s="25">
        <v>74.669615471071523</v>
      </c>
      <c r="AM72" s="25">
        <v>42.389988946562234</v>
      </c>
      <c r="AN72" s="25">
        <v>7.6822037092862256</v>
      </c>
      <c r="AO72" s="25">
        <v>7.1659021010442876</v>
      </c>
      <c r="AP72" s="25">
        <v>1.9204625856005966</v>
      </c>
      <c r="AQ72" s="25">
        <v>31.705838765293208</v>
      </c>
      <c r="AR72" s="25">
        <v>5.1791775665919282</v>
      </c>
      <c r="AS72" s="25">
        <v>3.7106874550180464</v>
      </c>
      <c r="AT72" s="25">
        <v>2.16648939721592</v>
      </c>
      <c r="AU72" s="25">
        <v>5.0518170914481608</v>
      </c>
      <c r="AV72" s="25">
        <v>14.883541925181662</v>
      </c>
      <c r="AW72" s="25">
        <v>9.194201743317544</v>
      </c>
      <c r="AX72" s="25">
        <v>146.24541251894161</v>
      </c>
      <c r="AY72" s="40">
        <v>14.203746203344206</v>
      </c>
      <c r="AZ72" s="25">
        <v>0.96434272526636722</v>
      </c>
      <c r="BA72" s="25">
        <v>1.539697915840359</v>
      </c>
      <c r="BB72" s="25">
        <v>14.690298679584528</v>
      </c>
      <c r="BC72" s="25">
        <v>2.3003477561564694</v>
      </c>
      <c r="BD72" s="25">
        <v>6.4628035097244343</v>
      </c>
      <c r="BE72" s="25">
        <v>1.308830553431215</v>
      </c>
      <c r="BF72" s="25">
        <v>2.7304267018625623</v>
      </c>
      <c r="BG72" s="25">
        <v>52.387588101802052</v>
      </c>
      <c r="BH72" s="25">
        <v>40.550455982106371</v>
      </c>
      <c r="BI72" s="25">
        <v>61.74464494303318</v>
      </c>
      <c r="BJ72" s="25">
        <v>4.0011354084452124</v>
      </c>
      <c r="BK72" s="25">
        <v>40.435685507104324</v>
      </c>
      <c r="BL72" s="25">
        <v>217.34121964459115</v>
      </c>
      <c r="BM72" s="25">
        <v>7.5854360695776002</v>
      </c>
      <c r="BN72" s="25">
        <v>11.244167570129857</v>
      </c>
      <c r="BO72" s="25">
        <v>26.249768743151524</v>
      </c>
      <c r="BP72" s="25">
        <v>2.7642098928074099</v>
      </c>
      <c r="BQ72" s="25">
        <v>52.523195476353287</v>
      </c>
      <c r="BR72" s="25">
        <v>16.285785393971757</v>
      </c>
      <c r="BS72" s="25">
        <v>9.4770716347897128</v>
      </c>
      <c r="BT72" s="25">
        <v>20.380088899879862</v>
      </c>
      <c r="BU72" s="25">
        <v>24.763166901748136</v>
      </c>
      <c r="BV72" s="25">
        <v>4.3853023230014561</v>
      </c>
      <c r="BW72" s="25">
        <v>22.111277585626347</v>
      </c>
      <c r="BX72" s="25">
        <v>0</v>
      </c>
      <c r="BY72" s="25">
        <v>1494.4049844676808</v>
      </c>
      <c r="BZ72" s="25">
        <v>72.195535644544861</v>
      </c>
      <c r="CA72" s="25">
        <v>335706.38581842551</v>
      </c>
      <c r="CB72" s="25">
        <v>4.2809484004282847</v>
      </c>
      <c r="CC72" s="25">
        <v>1022.7192815821425</v>
      </c>
      <c r="CD72" s="25">
        <v>12795.103448563041</v>
      </c>
      <c r="CE72" s="25">
        <v>-9.0017064846416389E-2</v>
      </c>
      <c r="CF72" s="25">
        <v>349600.59501555085</v>
      </c>
      <c r="CG72" s="25">
        <v>351095</v>
      </c>
      <c r="CH72"/>
      <c r="CI72">
        <f t="shared" si="1"/>
        <v>0.99574358796209239</v>
      </c>
      <c r="CJ72"/>
      <c r="CK72"/>
      <c r="CL72"/>
      <c r="CM72"/>
      <c r="CN72"/>
      <c r="CO72"/>
      <c r="CP72"/>
      <c r="CQ72"/>
      <c r="CR72"/>
      <c r="CS72"/>
      <c r="CT72"/>
      <c r="CU72"/>
    </row>
    <row r="73" spans="1:99" s="5" customFormat="1" x14ac:dyDescent="0.3">
      <c r="A73" s="35" t="s">
        <v>77</v>
      </c>
      <c r="B73" s="11" t="s">
        <v>151</v>
      </c>
      <c r="C73" s="5">
        <v>68</v>
      </c>
      <c r="D73" s="25">
        <v>7.6931196588894162</v>
      </c>
      <c r="E73" s="25">
        <v>3.4398061804698274</v>
      </c>
      <c r="F73" s="25">
        <v>0.23531890688741866</v>
      </c>
      <c r="G73" s="25">
        <v>1.1688349380460785</v>
      </c>
      <c r="H73" s="25">
        <v>32.090803239325453</v>
      </c>
      <c r="I73" s="25">
        <v>239.18651354077423</v>
      </c>
      <c r="J73" s="25">
        <v>32.206601350399488</v>
      </c>
      <c r="K73" s="25">
        <v>13.012275714823172</v>
      </c>
      <c r="L73" s="25">
        <v>0.53031690533919018</v>
      </c>
      <c r="M73" s="25">
        <v>39.269288462979574</v>
      </c>
      <c r="N73" s="25">
        <v>2.7849762096012798</v>
      </c>
      <c r="O73" s="25">
        <v>0.82902132452038613</v>
      </c>
      <c r="P73" s="25">
        <v>2.7504210464847763</v>
      </c>
      <c r="Q73" s="25">
        <v>2.5535982868458889</v>
      </c>
      <c r="R73" s="25">
        <v>1.8939423692618824</v>
      </c>
      <c r="S73" s="25">
        <v>0.82405929004859957</v>
      </c>
      <c r="T73" s="25">
        <v>55.353458389648281</v>
      </c>
      <c r="U73" s="25">
        <v>0.4775425967895906</v>
      </c>
      <c r="V73" s="25">
        <v>16.305044856813964</v>
      </c>
      <c r="W73" s="25">
        <v>0.41814658137677307</v>
      </c>
      <c r="X73" s="25">
        <v>2.6718168801836161E-3</v>
      </c>
      <c r="Y73" s="25">
        <v>0.79686294057605755</v>
      </c>
      <c r="Z73" s="25">
        <v>20.174624758939185</v>
      </c>
      <c r="AA73" s="25">
        <v>45.392102798355651</v>
      </c>
      <c r="AB73" s="25">
        <v>2.2188091099398242</v>
      </c>
      <c r="AC73" s="25">
        <v>4.9579920785830529</v>
      </c>
      <c r="AD73" s="25">
        <v>5.4647431781057154</v>
      </c>
      <c r="AE73" s="25">
        <v>2.2694667730187046</v>
      </c>
      <c r="AF73" s="25">
        <v>300.16181748548058</v>
      </c>
      <c r="AG73" s="25">
        <v>102.58528080084747</v>
      </c>
      <c r="AH73" s="25">
        <v>88.954361061399979</v>
      </c>
      <c r="AI73" s="25">
        <v>4.6984768810331072</v>
      </c>
      <c r="AJ73" s="25">
        <v>3.8106452399874771</v>
      </c>
      <c r="AK73" s="25">
        <v>31.474397604149097</v>
      </c>
      <c r="AL73" s="25">
        <v>125.67488215651107</v>
      </c>
      <c r="AM73" s="25">
        <v>6.565912956829802</v>
      </c>
      <c r="AN73" s="25">
        <v>0.88875294031319196</v>
      </c>
      <c r="AO73" s="25">
        <v>2.3893290269975265</v>
      </c>
      <c r="AP73" s="25">
        <v>13.887960629071138</v>
      </c>
      <c r="AQ73" s="25">
        <v>133.58868042921898</v>
      </c>
      <c r="AR73" s="25">
        <v>21.821832311435166</v>
      </c>
      <c r="AS73" s="25">
        <v>15.634528525507482</v>
      </c>
      <c r="AT73" s="25">
        <v>9.0023705929558737</v>
      </c>
      <c r="AU73" s="25">
        <v>1.9707052682565673</v>
      </c>
      <c r="AV73" s="25">
        <v>11.945281151936943</v>
      </c>
      <c r="AW73" s="25">
        <v>38.038843675537215</v>
      </c>
      <c r="AX73" s="25">
        <v>1167.9270917518841</v>
      </c>
      <c r="AY73" s="40">
        <v>1448.9608851220555</v>
      </c>
      <c r="AZ73" s="25">
        <v>99.031452795503299</v>
      </c>
      <c r="BA73" s="25">
        <v>14.563146371186113</v>
      </c>
      <c r="BB73" s="25">
        <v>361.18155596885236</v>
      </c>
      <c r="BC73" s="25">
        <v>3.4071223149043863</v>
      </c>
      <c r="BD73" s="25">
        <v>15.760841476762209</v>
      </c>
      <c r="BE73" s="25">
        <v>0.69144612366886116</v>
      </c>
      <c r="BF73" s="25">
        <v>1.1102350488226516</v>
      </c>
      <c r="BG73" s="25">
        <v>69.804466120173885</v>
      </c>
      <c r="BH73" s="25">
        <v>5.3559695425427449</v>
      </c>
      <c r="BI73" s="25">
        <v>2315.4388469453534</v>
      </c>
      <c r="BJ73" s="25">
        <v>4.3591810524838177</v>
      </c>
      <c r="BK73" s="25">
        <v>3599.9208111515995</v>
      </c>
      <c r="BL73" s="25">
        <v>207.77212617743078</v>
      </c>
      <c r="BM73" s="25">
        <v>822.59775964373694</v>
      </c>
      <c r="BN73" s="25">
        <v>83.583001871973934</v>
      </c>
      <c r="BO73" s="25">
        <v>2309.1202065329398</v>
      </c>
      <c r="BP73" s="25">
        <v>184.11821011257584</v>
      </c>
      <c r="BQ73" s="25">
        <v>511.90672001070294</v>
      </c>
      <c r="BR73" s="25">
        <v>159.47710499957969</v>
      </c>
      <c r="BS73" s="25">
        <v>8.9007030056402883</v>
      </c>
      <c r="BT73" s="25">
        <v>571.81095619896587</v>
      </c>
      <c r="BU73" s="25">
        <v>9.1103491062203279</v>
      </c>
      <c r="BV73" s="25">
        <v>6.7983796621682746</v>
      </c>
      <c r="BW73" s="25">
        <v>622.26668220225201</v>
      </c>
      <c r="BX73" s="25">
        <v>0</v>
      </c>
      <c r="BY73" s="25">
        <v>16052.369673351172</v>
      </c>
      <c r="BZ73" s="25">
        <v>92.455577528246238</v>
      </c>
      <c r="CA73" s="25">
        <v>0.51459416319356455</v>
      </c>
      <c r="CB73" s="25">
        <v>0</v>
      </c>
      <c r="CC73" s="25">
        <v>126599.373906023</v>
      </c>
      <c r="CD73" s="25">
        <v>692.28624894467021</v>
      </c>
      <c r="CE73" s="25">
        <v>0</v>
      </c>
      <c r="CF73" s="25">
        <v>127384.63032665911</v>
      </c>
      <c r="CG73" s="25">
        <v>143437</v>
      </c>
      <c r="CH73"/>
      <c r="CI73">
        <f t="shared" si="1"/>
        <v>0.88808766445658449</v>
      </c>
      <c r="CJ73"/>
      <c r="CK73"/>
      <c r="CL73"/>
      <c r="CM73"/>
      <c r="CN73"/>
      <c r="CO73"/>
      <c r="CP73"/>
      <c r="CQ73"/>
      <c r="CR73"/>
      <c r="CS73"/>
      <c r="CT73"/>
      <c r="CU73"/>
    </row>
    <row r="74" spans="1:99" s="5" customFormat="1" x14ac:dyDescent="0.3">
      <c r="A74" s="35" t="s">
        <v>78</v>
      </c>
      <c r="B74" s="11" t="s">
        <v>152</v>
      </c>
      <c r="C74" s="5">
        <v>69</v>
      </c>
      <c r="D74" s="25">
        <v>3.2294223729739297E-5</v>
      </c>
      <c r="E74" s="25">
        <v>2.8257445763521883E-5</v>
      </c>
      <c r="F74" s="25">
        <v>3.6331001695956711E-5</v>
      </c>
      <c r="G74" s="25">
        <v>6.1031998076404026E-2</v>
      </c>
      <c r="H74" s="25">
        <v>2.1596762119263156E-3</v>
      </c>
      <c r="I74" s="25">
        <v>4.3869569256025747</v>
      </c>
      <c r="J74" s="25">
        <v>8.8809115256783077E-5</v>
      </c>
      <c r="K74" s="25">
        <v>2.6230680012243184</v>
      </c>
      <c r="L74" s="25">
        <v>0.24430561053612967</v>
      </c>
      <c r="M74" s="25">
        <v>1.2514627556917148</v>
      </c>
      <c r="N74" s="25">
        <v>2.4069289849500528</v>
      </c>
      <c r="O74" s="25">
        <v>0.487509180687482</v>
      </c>
      <c r="P74" s="25">
        <v>1.4007619542774419E-3</v>
      </c>
      <c r="Q74" s="25">
        <v>0.39773332910004544</v>
      </c>
      <c r="R74" s="25">
        <v>0.70109695328709887</v>
      </c>
      <c r="S74" s="25">
        <v>0.33528845873546531</v>
      </c>
      <c r="T74" s="25">
        <v>0.94516035714525537</v>
      </c>
      <c r="U74" s="25">
        <v>3.0697654046681799E-2</v>
      </c>
      <c r="V74" s="25">
        <v>8.5787658126258574E-4</v>
      </c>
      <c r="W74" s="25">
        <v>2.2000439915884898E-5</v>
      </c>
      <c r="X74" s="25">
        <v>1.4057545692514377E-7</v>
      </c>
      <c r="Y74" s="25">
        <v>9.6882671189217888E-4</v>
      </c>
      <c r="Z74" s="25">
        <v>2.773028127515254</v>
      </c>
      <c r="AA74" s="25">
        <v>0.76207647324994199</v>
      </c>
      <c r="AB74" s="25">
        <v>1.859082131996356</v>
      </c>
      <c r="AC74" s="25">
        <v>6.79460849380858</v>
      </c>
      <c r="AD74" s="25">
        <v>1.068257768457415</v>
      </c>
      <c r="AE74" s="25">
        <v>0.82335471478228539</v>
      </c>
      <c r="AF74" s="25">
        <v>0.91539923558673608</v>
      </c>
      <c r="AG74" s="25">
        <v>3.3510438166020577</v>
      </c>
      <c r="AH74" s="25">
        <v>0.30585027941424331</v>
      </c>
      <c r="AI74" s="25">
        <v>1.3717505695393877</v>
      </c>
      <c r="AJ74" s="25">
        <v>3.8389243808624318</v>
      </c>
      <c r="AK74" s="25">
        <v>3.4738465431226837</v>
      </c>
      <c r="AL74" s="25">
        <v>7.34226965497583</v>
      </c>
      <c r="AM74" s="25">
        <v>4.2964019758676573</v>
      </c>
      <c r="AN74" s="25">
        <v>0.76187463435163116</v>
      </c>
      <c r="AO74" s="25">
        <v>0.64086423724800579</v>
      </c>
      <c r="AP74" s="25">
        <v>3.073802182634397E-2</v>
      </c>
      <c r="AQ74" s="25">
        <v>2.42302279024373</v>
      </c>
      <c r="AR74" s="25">
        <v>0.39580297406635273</v>
      </c>
      <c r="AS74" s="25">
        <v>0.28357806073316438</v>
      </c>
      <c r="AT74" s="25">
        <v>0.16328441184438147</v>
      </c>
      <c r="AU74" s="25">
        <v>0.33659637479651972</v>
      </c>
      <c r="AV74" s="25">
        <v>0.6143648322861901</v>
      </c>
      <c r="AW74" s="25">
        <v>1.7313740697106485E-2</v>
      </c>
      <c r="AX74" s="25">
        <v>5.184704507338088</v>
      </c>
      <c r="AY74" s="40">
        <v>6.0147991696639438E-3</v>
      </c>
      <c r="AZ74" s="25">
        <v>3.4716290509469747E-4</v>
      </c>
      <c r="BA74" s="25">
        <v>5.0056046781095907E-4</v>
      </c>
      <c r="BB74" s="25">
        <v>1.364834630378107E-2</v>
      </c>
      <c r="BC74" s="25">
        <v>5.8048867154206389E-3</v>
      </c>
      <c r="BD74" s="25">
        <v>2.6836499919413358E-2</v>
      </c>
      <c r="BE74" s="25">
        <v>6.1770728444221816E-2</v>
      </c>
      <c r="BF74" s="25">
        <v>2.1919704356560548E-3</v>
      </c>
      <c r="BG74" s="25">
        <v>1.9600802263298769</v>
      </c>
      <c r="BH74" s="25">
        <v>2.994083939352373</v>
      </c>
      <c r="BI74" s="25">
        <v>0.23796183795963752</v>
      </c>
      <c r="BJ74" s="25">
        <v>1.0273599924023314E-2</v>
      </c>
      <c r="BK74" s="25">
        <v>2.4511315810872125E-2</v>
      </c>
      <c r="BL74" s="25">
        <v>22.364055260976574</v>
      </c>
      <c r="BM74" s="25">
        <v>5.1226712391298961E-3</v>
      </c>
      <c r="BN74" s="25">
        <v>0.88863744005711631</v>
      </c>
      <c r="BO74" s="25">
        <v>0.1383967998041237</v>
      </c>
      <c r="BP74" s="25">
        <v>1.227180501730093E-3</v>
      </c>
      <c r="BQ74" s="25">
        <v>0.61901854751741858</v>
      </c>
      <c r="BR74" s="25">
        <v>5.4812655002414966E-2</v>
      </c>
      <c r="BS74" s="25">
        <v>5.3085624647323568E-2</v>
      </c>
      <c r="BT74" s="25">
        <v>0.10595587883353831</v>
      </c>
      <c r="BU74" s="25">
        <v>324.82556340841802</v>
      </c>
      <c r="BV74" s="25">
        <v>1.7568057708978176E-2</v>
      </c>
      <c r="BW74" s="25">
        <v>1.7220894803883481E-2</v>
      </c>
      <c r="BX74" s="25">
        <v>0</v>
      </c>
      <c r="BY74" s="25">
        <v>418.13956422780484</v>
      </c>
      <c r="BZ74" s="25">
        <v>2.5367190612490513</v>
      </c>
      <c r="CA74" s="25">
        <v>198903.049000392</v>
      </c>
      <c r="CB74" s="25">
        <v>81.824529596236772</v>
      </c>
      <c r="CC74" s="25">
        <v>1941.8765092080926</v>
      </c>
      <c r="CD74" s="25">
        <v>1368.5736775162118</v>
      </c>
      <c r="CE74" s="25">
        <v>0</v>
      </c>
      <c r="CF74" s="25">
        <v>202297.86043577379</v>
      </c>
      <c r="CG74" s="25">
        <v>202716</v>
      </c>
      <c r="CH74"/>
      <c r="CI74">
        <f t="shared" si="1"/>
        <v>0.99793731346205428</v>
      </c>
      <c r="CJ74"/>
      <c r="CK74"/>
      <c r="CL74"/>
      <c r="CM74"/>
      <c r="CN74"/>
      <c r="CO74"/>
      <c r="CP74"/>
      <c r="CQ74"/>
      <c r="CR74"/>
      <c r="CS74"/>
      <c r="CT74"/>
      <c r="CU74"/>
    </row>
    <row r="75" spans="1:99" s="5" customFormat="1" x14ac:dyDescent="0.3">
      <c r="A75" s="35" t="s">
        <v>79</v>
      </c>
      <c r="B75" s="11" t="s">
        <v>153</v>
      </c>
      <c r="C75" s="5">
        <v>70</v>
      </c>
      <c r="D75" s="25">
        <v>1.1755097437625104E-2</v>
      </c>
      <c r="E75" s="25">
        <v>1.0285710257921965E-2</v>
      </c>
      <c r="F75" s="25">
        <v>1.3224484617328242E-2</v>
      </c>
      <c r="G75" s="25">
        <v>3.9163219281818547E-2</v>
      </c>
      <c r="H75" s="25">
        <v>0.78612214114117884</v>
      </c>
      <c r="I75" s="25">
        <v>0.1454671212312241</v>
      </c>
      <c r="J75" s="25">
        <v>3.2326517953469039E-2</v>
      </c>
      <c r="K75" s="25">
        <v>1.2079369828943807</v>
      </c>
      <c r="L75" s="25">
        <v>0.22130591303421226</v>
      </c>
      <c r="M75" s="25">
        <v>0.91451942093471872</v>
      </c>
      <c r="N75" s="25">
        <v>0.15102934091385145</v>
      </c>
      <c r="O75" s="25">
        <v>4.1469126009467838E-2</v>
      </c>
      <c r="P75" s="25">
        <v>0.50987735135698886</v>
      </c>
      <c r="Q75" s="25">
        <v>0.62778526897641762</v>
      </c>
      <c r="R75" s="25">
        <v>0.16972407041761389</v>
      </c>
      <c r="S75" s="25">
        <v>7.4336536798500746E-2</v>
      </c>
      <c r="T75" s="25">
        <v>0.30286675266963786</v>
      </c>
      <c r="U75" s="25">
        <v>8.5704032727550478E-2</v>
      </c>
      <c r="V75" s="25">
        <v>0.31226707557958122</v>
      </c>
      <c r="W75" s="25">
        <v>8.0081601293821025E-3</v>
      </c>
      <c r="X75" s="25">
        <v>5.1169466320752328E-5</v>
      </c>
      <c r="Y75" s="25">
        <v>0.35265292312875313</v>
      </c>
      <c r="Z75" s="25">
        <v>0.35221275147159053</v>
      </c>
      <c r="AA75" s="25">
        <v>0.18978525636329166</v>
      </c>
      <c r="AB75" s="25">
        <v>0.32313159053150481</v>
      </c>
      <c r="AC75" s="25">
        <v>0.55951676731193722</v>
      </c>
      <c r="AD75" s="25">
        <v>0.75735630923727837</v>
      </c>
      <c r="AE75" s="25">
        <v>0.3185810936070016</v>
      </c>
      <c r="AF75" s="25">
        <v>0.55806054563321528</v>
      </c>
      <c r="AG75" s="25">
        <v>7.3324814040376579E-2</v>
      </c>
      <c r="AH75" s="25">
        <v>0.44708130413832931</v>
      </c>
      <c r="AI75" s="25">
        <v>0.34631550042897502</v>
      </c>
      <c r="AJ75" s="25">
        <v>0.24997756058253309</v>
      </c>
      <c r="AK75" s="25">
        <v>0.42054910648968791</v>
      </c>
      <c r="AL75" s="25">
        <v>0.3198227074279395</v>
      </c>
      <c r="AM75" s="25">
        <v>0.44819153851546822</v>
      </c>
      <c r="AN75" s="25">
        <v>0.11631589737813476</v>
      </c>
      <c r="AO75" s="25">
        <v>0.42149951271701663</v>
      </c>
      <c r="AP75" s="25">
        <v>0.10039790452458186</v>
      </c>
      <c r="AQ75" s="25">
        <v>1.6832340893780942</v>
      </c>
      <c r="AR75" s="25">
        <v>0.27495781769295818</v>
      </c>
      <c r="AS75" s="25">
        <v>0.19699701577209666</v>
      </c>
      <c r="AT75" s="25">
        <v>0.11343099593911311</v>
      </c>
      <c r="AU75" s="25">
        <v>0.55041798302231748</v>
      </c>
      <c r="AV75" s="25">
        <v>1.8639581468807298</v>
      </c>
      <c r="AW75" s="25">
        <v>6.3022016137467594</v>
      </c>
      <c r="AX75" s="25">
        <v>68.760746067666105</v>
      </c>
      <c r="AY75" s="40">
        <v>2.1893868977576756</v>
      </c>
      <c r="AZ75" s="25">
        <v>0.12636729745446987</v>
      </c>
      <c r="BA75" s="25">
        <v>0.18220401028318908</v>
      </c>
      <c r="BB75" s="25">
        <v>4.9679980545763094</v>
      </c>
      <c r="BC75" s="25">
        <v>2.1129787644131124</v>
      </c>
      <c r="BD75" s="25">
        <v>9.7684859706664611</v>
      </c>
      <c r="BE75" s="25">
        <v>0.30806107316749276</v>
      </c>
      <c r="BF75" s="25">
        <v>0.79787723857880399</v>
      </c>
      <c r="BG75" s="25">
        <v>3.8217118071392782</v>
      </c>
      <c r="BH75" s="25">
        <v>3.1988339783305415</v>
      </c>
      <c r="BI75" s="25">
        <v>9.0004147354556938</v>
      </c>
      <c r="BJ75" s="25">
        <v>3.7395903723444861</v>
      </c>
      <c r="BK75" s="25">
        <v>8.9221189551574529</v>
      </c>
      <c r="BL75" s="25">
        <v>1.7464574412383413</v>
      </c>
      <c r="BM75" s="25">
        <v>1.8646523310432823</v>
      </c>
      <c r="BN75" s="25">
        <v>1.9050090131162243</v>
      </c>
      <c r="BO75" s="25">
        <v>6.0234669676425341</v>
      </c>
      <c r="BP75" s="25">
        <v>0.44669370262975389</v>
      </c>
      <c r="BQ75" s="25">
        <v>71.482262126165793</v>
      </c>
      <c r="BR75" s="25">
        <v>6.7654787777212286</v>
      </c>
      <c r="BS75" s="25">
        <v>8.2349253313611523</v>
      </c>
      <c r="BT75" s="25">
        <v>12.195284609092305</v>
      </c>
      <c r="BU75" s="25">
        <v>35757.027765934254</v>
      </c>
      <c r="BV75" s="25">
        <v>6.3947730060680561</v>
      </c>
      <c r="BW75" s="25">
        <v>6.2684057086135869</v>
      </c>
      <c r="BX75" s="25">
        <v>0</v>
      </c>
      <c r="BY75" s="25">
        <v>36021.257146411728</v>
      </c>
      <c r="BZ75" s="25">
        <v>283.84197637122588</v>
      </c>
      <c r="CA75" s="25">
        <v>43422.333673069385</v>
      </c>
      <c r="CB75" s="25">
        <v>9016.6756500718675</v>
      </c>
      <c r="CC75" s="25">
        <v>214107.34658859362</v>
      </c>
      <c r="CD75" s="25">
        <v>21.5449654913572</v>
      </c>
      <c r="CE75" s="25">
        <v>0</v>
      </c>
      <c r="CF75" s="25">
        <v>266851.74285359745</v>
      </c>
      <c r="CG75" s="25">
        <v>302873</v>
      </c>
      <c r="CH75"/>
      <c r="CI75">
        <f t="shared" si="1"/>
        <v>0.88106811387478401</v>
      </c>
      <c r="CJ75"/>
      <c r="CK75"/>
      <c r="CL75"/>
      <c r="CM75"/>
      <c r="CN75"/>
      <c r="CO75"/>
      <c r="CP75"/>
      <c r="CQ75"/>
      <c r="CR75"/>
      <c r="CS75"/>
      <c r="CT75"/>
      <c r="CU75"/>
    </row>
    <row r="76" spans="1:99" s="5" customFormat="1" x14ac:dyDescent="0.3">
      <c r="A76" s="35" t="s">
        <v>80</v>
      </c>
      <c r="B76" s="11" t="s">
        <v>154</v>
      </c>
      <c r="C76" s="5">
        <v>71</v>
      </c>
      <c r="D76" s="25">
        <v>1.4986280733025255</v>
      </c>
      <c r="E76" s="25">
        <v>12.406923136743467</v>
      </c>
      <c r="F76" s="25">
        <v>2.8699715025936685</v>
      </c>
      <c r="G76" s="25">
        <v>1.1093648190283103</v>
      </c>
      <c r="H76" s="25">
        <v>23.883461720066183</v>
      </c>
      <c r="I76" s="25">
        <v>0.59580127768691005</v>
      </c>
      <c r="J76" s="25">
        <v>8.2115958433375172E-2</v>
      </c>
      <c r="K76" s="25">
        <v>70.066051385824508</v>
      </c>
      <c r="L76" s="25">
        <v>4.4852842431006561</v>
      </c>
      <c r="M76" s="25">
        <v>109.4629225999212</v>
      </c>
      <c r="N76" s="25">
        <v>138.17899326163968</v>
      </c>
      <c r="O76" s="25">
        <v>6.282718772982836</v>
      </c>
      <c r="P76" s="25">
        <v>3.1594771411283071</v>
      </c>
      <c r="Q76" s="25">
        <v>10.927452562690849</v>
      </c>
      <c r="R76" s="25">
        <v>23.196386722881908</v>
      </c>
      <c r="S76" s="25">
        <v>1.3517147463670134</v>
      </c>
      <c r="T76" s="25">
        <v>15.95481681098444</v>
      </c>
      <c r="U76" s="25">
        <v>1.7050305166385509</v>
      </c>
      <c r="V76" s="25">
        <v>7.7296033229704495</v>
      </c>
      <c r="W76" s="25">
        <v>0.19822743410288279</v>
      </c>
      <c r="X76" s="25">
        <v>1.2666070419797221E-3</v>
      </c>
      <c r="Y76" s="25">
        <v>3.4283167180381482</v>
      </c>
      <c r="Z76" s="25">
        <v>4.2293577832673712</v>
      </c>
      <c r="AA76" s="25">
        <v>15.243865865442542</v>
      </c>
      <c r="AB76" s="25">
        <v>37.010433202345496</v>
      </c>
      <c r="AC76" s="25">
        <v>58.322253648757147</v>
      </c>
      <c r="AD76" s="25">
        <v>16.681252259739647</v>
      </c>
      <c r="AE76" s="25">
        <v>7.9338672862677893</v>
      </c>
      <c r="AF76" s="25">
        <v>7.8320548728184445</v>
      </c>
      <c r="AG76" s="25">
        <v>0.82339853409914499</v>
      </c>
      <c r="AH76" s="25">
        <v>15.400912749045977</v>
      </c>
      <c r="AI76" s="25">
        <v>39.890254566362692</v>
      </c>
      <c r="AJ76" s="25">
        <v>18.780009081193146</v>
      </c>
      <c r="AK76" s="25">
        <v>13.623331972886721</v>
      </c>
      <c r="AL76" s="25">
        <v>126.17215309719087</v>
      </c>
      <c r="AM76" s="25">
        <v>5.2672131904894677</v>
      </c>
      <c r="AN76" s="25">
        <v>7.3457507494033916</v>
      </c>
      <c r="AO76" s="25">
        <v>12.668718308606875</v>
      </c>
      <c r="AP76" s="25">
        <v>4.4806153401284243</v>
      </c>
      <c r="AQ76" s="25">
        <v>77.489366631310631</v>
      </c>
      <c r="AR76" s="25">
        <v>12.657958437157586</v>
      </c>
      <c r="AS76" s="25">
        <v>9.0689548630031123</v>
      </c>
      <c r="AT76" s="25">
        <v>5.2219094700774402</v>
      </c>
      <c r="AU76" s="25">
        <v>6.3468417198520486</v>
      </c>
      <c r="AV76" s="25">
        <v>42.925069779165767</v>
      </c>
      <c r="AW76" s="25">
        <v>78.336398986871984</v>
      </c>
      <c r="AX76" s="25">
        <v>575.57784742746389</v>
      </c>
      <c r="AY76" s="40">
        <v>23.265513951823984</v>
      </c>
      <c r="AZ76" s="25">
        <v>1.3569338822012436</v>
      </c>
      <c r="BA76" s="25">
        <v>5.5426628233724387</v>
      </c>
      <c r="BB76" s="25">
        <v>39.932233379389444</v>
      </c>
      <c r="BC76" s="25">
        <v>23.825612703594274</v>
      </c>
      <c r="BD76" s="25">
        <v>32.016448313920861</v>
      </c>
      <c r="BE76" s="25">
        <v>18.985733075376832</v>
      </c>
      <c r="BF76" s="25">
        <v>1904.5501653147101</v>
      </c>
      <c r="BG76" s="25">
        <v>351.93897884104206</v>
      </c>
      <c r="BH76" s="25">
        <v>60.989368197077944</v>
      </c>
      <c r="BI76" s="25">
        <v>270.17862508813107</v>
      </c>
      <c r="BJ76" s="25">
        <v>28.419924719166982</v>
      </c>
      <c r="BK76" s="25">
        <v>130.3067149424395</v>
      </c>
      <c r="BL76" s="25">
        <v>12.331077928735786</v>
      </c>
      <c r="BM76" s="25">
        <v>121.94242880674938</v>
      </c>
      <c r="BN76" s="25">
        <v>30.254224007791166</v>
      </c>
      <c r="BO76" s="25">
        <v>69.633123723185719</v>
      </c>
      <c r="BP76" s="25">
        <v>5.5756073007752693</v>
      </c>
      <c r="BQ76" s="25">
        <v>680.87192217199959</v>
      </c>
      <c r="BR76" s="25">
        <v>78.20610344147282</v>
      </c>
      <c r="BS76" s="25">
        <v>82.146169919848063</v>
      </c>
      <c r="BT76" s="25">
        <v>75.687248092099068</v>
      </c>
      <c r="BU76" s="25">
        <v>5.3434921323855962</v>
      </c>
      <c r="BV76" s="25">
        <v>675.20568767927989</v>
      </c>
      <c r="BW76" s="25">
        <v>957.77179193384268</v>
      </c>
      <c r="BX76" s="25">
        <v>0</v>
      </c>
      <c r="BY76" s="25">
        <v>7324.1821115275288</v>
      </c>
      <c r="BZ76" s="25">
        <v>2633.5832627942486</v>
      </c>
      <c r="CA76" s="25">
        <v>0.11658774009854199</v>
      </c>
      <c r="CB76" s="25">
        <v>8348.6426618049227</v>
      </c>
      <c r="CC76" s="25">
        <v>22056.495746863191</v>
      </c>
      <c r="CD76" s="25">
        <v>2.9796292765998467</v>
      </c>
      <c r="CE76" s="25">
        <v>0</v>
      </c>
      <c r="CF76" s="25">
        <v>33041.817888479069</v>
      </c>
      <c r="CG76" s="25">
        <v>40366</v>
      </c>
      <c r="CH76"/>
      <c r="CI76">
        <f t="shared" si="1"/>
        <v>0.81855566289647397</v>
      </c>
      <c r="CJ76"/>
      <c r="CK76"/>
      <c r="CL76"/>
      <c r="CM76"/>
      <c r="CN76"/>
      <c r="CO76"/>
      <c r="CP76"/>
      <c r="CQ76"/>
      <c r="CR76"/>
      <c r="CS76"/>
      <c r="CT76"/>
      <c r="CU76"/>
    </row>
    <row r="77" spans="1:99" s="5" customFormat="1" x14ac:dyDescent="0.3">
      <c r="A77" s="35" t="s">
        <v>81</v>
      </c>
      <c r="B77" s="11" t="s">
        <v>155</v>
      </c>
      <c r="C77" s="5">
        <v>72</v>
      </c>
      <c r="D77" s="25">
        <v>148.27950520159411</v>
      </c>
      <c r="E77" s="25">
        <v>40.271914537994917</v>
      </c>
      <c r="F77" s="25">
        <v>24.758478477861253</v>
      </c>
      <c r="G77" s="25">
        <v>42.394301846332148</v>
      </c>
      <c r="H77" s="25">
        <v>950.08717775764546</v>
      </c>
      <c r="I77" s="25">
        <v>353.79076463943113</v>
      </c>
      <c r="J77" s="25">
        <v>55.93996081256256</v>
      </c>
      <c r="K77" s="25">
        <v>261.50324566597476</v>
      </c>
      <c r="L77" s="25">
        <v>69.745367284537437</v>
      </c>
      <c r="M77" s="25">
        <v>276.75602190465725</v>
      </c>
      <c r="N77" s="25">
        <v>144.34792700589529</v>
      </c>
      <c r="O77" s="25">
        <v>17.244388152548758</v>
      </c>
      <c r="P77" s="25">
        <v>66.837152902180904</v>
      </c>
      <c r="Q77" s="25">
        <v>111.64269619022069</v>
      </c>
      <c r="R77" s="25">
        <v>65.177523615905727</v>
      </c>
      <c r="S77" s="25">
        <v>85.35781524069165</v>
      </c>
      <c r="T77" s="25">
        <v>164.59709558961441</v>
      </c>
      <c r="U77" s="25">
        <v>47.971054932836935</v>
      </c>
      <c r="V77" s="25">
        <v>166.01956736593948</v>
      </c>
      <c r="W77" s="25">
        <v>4.2576095401974481</v>
      </c>
      <c r="X77" s="25">
        <v>2.7204701760984502E-2</v>
      </c>
      <c r="Y77" s="25">
        <v>64.473650177282593</v>
      </c>
      <c r="Z77" s="25">
        <v>135.03627652301645</v>
      </c>
      <c r="AA77" s="25">
        <v>60.718371728066813</v>
      </c>
      <c r="AB77" s="25">
        <v>60.579475023827683</v>
      </c>
      <c r="AC77" s="25">
        <v>130.43822493114192</v>
      </c>
      <c r="AD77" s="25">
        <v>212.12917441869078</v>
      </c>
      <c r="AE77" s="25">
        <v>175.31938299820357</v>
      </c>
      <c r="AF77" s="25">
        <v>162.94022516942098</v>
      </c>
      <c r="AG77" s="25">
        <v>65.686681590896782</v>
      </c>
      <c r="AH77" s="25">
        <v>267.83666984174027</v>
      </c>
      <c r="AI77" s="25">
        <v>291.8352624901928</v>
      </c>
      <c r="AJ77" s="25">
        <v>157.88351006524681</v>
      </c>
      <c r="AK77" s="25">
        <v>236.91165976659266</v>
      </c>
      <c r="AL77" s="25">
        <v>292.37981343585159</v>
      </c>
      <c r="AM77" s="25">
        <v>182.28603285306875</v>
      </c>
      <c r="AN77" s="25">
        <v>67.060545629051006</v>
      </c>
      <c r="AO77" s="25">
        <v>130.24699471927141</v>
      </c>
      <c r="AP77" s="25">
        <v>6.480592988657464</v>
      </c>
      <c r="AQ77" s="25">
        <v>528.00611272798199</v>
      </c>
      <c r="AR77" s="25">
        <v>86.25027819978834</v>
      </c>
      <c r="AS77" s="25">
        <v>61.795105727254168</v>
      </c>
      <c r="AT77" s="25">
        <v>35.581657718685506</v>
      </c>
      <c r="AU77" s="25">
        <v>1.8169400849418156</v>
      </c>
      <c r="AV77" s="25">
        <v>148.55346211832205</v>
      </c>
      <c r="AW77" s="25">
        <v>87.560218167820551</v>
      </c>
      <c r="AX77" s="25">
        <v>3369.3563922196859</v>
      </c>
      <c r="AY77" s="40">
        <v>480.05488665553509</v>
      </c>
      <c r="AZ77" s="25">
        <v>5.5978326635053959</v>
      </c>
      <c r="BA77" s="25">
        <v>9.1837366115049619</v>
      </c>
      <c r="BB77" s="25">
        <v>1341.3589095970306</v>
      </c>
      <c r="BC77" s="25">
        <v>175.31864687996406</v>
      </c>
      <c r="BD77" s="25">
        <v>228.01581578550022</v>
      </c>
      <c r="BE77" s="25">
        <v>34.680168524134501</v>
      </c>
      <c r="BF77" s="25">
        <v>177.14241759216932</v>
      </c>
      <c r="BG77" s="25">
        <v>3219.3982532858768</v>
      </c>
      <c r="BH77" s="25">
        <v>1425.747618554632</v>
      </c>
      <c r="BI77" s="25">
        <v>2146.9400580348452</v>
      </c>
      <c r="BJ77" s="25">
        <v>125.60752076692776</v>
      </c>
      <c r="BK77" s="25">
        <v>517.06424042769754</v>
      </c>
      <c r="BL77" s="25">
        <v>69.449786781805045</v>
      </c>
      <c r="BM77" s="25">
        <v>576.89632965365729</v>
      </c>
      <c r="BN77" s="25">
        <v>155.80906917715848</v>
      </c>
      <c r="BO77" s="25">
        <v>1371.5564717872458</v>
      </c>
      <c r="BP77" s="25">
        <v>40.389507983655974</v>
      </c>
      <c r="BQ77" s="25">
        <v>703.5707730035349</v>
      </c>
      <c r="BR77" s="25">
        <v>115.54973983387723</v>
      </c>
      <c r="BS77" s="25">
        <v>552.44266451575413</v>
      </c>
      <c r="BT77" s="25">
        <v>1472.1357056679005</v>
      </c>
      <c r="BU77" s="25">
        <v>2832.4991176373801</v>
      </c>
      <c r="BV77" s="25">
        <v>27.255310713115467</v>
      </c>
      <c r="BW77" s="25">
        <v>625.18009024417051</v>
      </c>
      <c r="BX77" s="25">
        <v>0</v>
      </c>
      <c r="BY77" s="25">
        <v>28545.014157059668</v>
      </c>
      <c r="BZ77" s="25">
        <v>57.039317088075066</v>
      </c>
      <c r="CA77" s="25">
        <v>1.0854720629864254</v>
      </c>
      <c r="CB77" s="25">
        <v>47319</v>
      </c>
      <c r="CC77" s="25">
        <v>95909.47268428946</v>
      </c>
      <c r="CD77" s="25">
        <v>87.355970819926981</v>
      </c>
      <c r="CE77" s="25">
        <v>3.2398694523191274E-2</v>
      </c>
      <c r="CF77" s="25">
        <v>143373.98584295495</v>
      </c>
      <c r="CG77" s="25">
        <v>171919</v>
      </c>
      <c r="CH77"/>
      <c r="CI77">
        <f t="shared" si="1"/>
        <v>0.83396242325138559</v>
      </c>
      <c r="CJ77"/>
      <c r="CK77"/>
      <c r="CL77"/>
      <c r="CM77"/>
      <c r="CN77"/>
      <c r="CO77"/>
      <c r="CP77"/>
      <c r="CQ77"/>
      <c r="CR77"/>
      <c r="CS77"/>
      <c r="CT77"/>
      <c r="CU77"/>
    </row>
    <row r="78" spans="1:99" s="5" customFormat="1" x14ac:dyDescent="0.3">
      <c r="A78" s="35" t="s">
        <v>82</v>
      </c>
      <c r="B78" s="11" t="s">
        <v>156</v>
      </c>
      <c r="C78" s="5">
        <v>73</v>
      </c>
      <c r="D78" s="25">
        <v>0</v>
      </c>
      <c r="E78" s="25">
        <v>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0</v>
      </c>
      <c r="AH78" s="25">
        <v>0</v>
      </c>
      <c r="AI78" s="25">
        <v>0</v>
      </c>
      <c r="AJ78" s="25">
        <v>0</v>
      </c>
      <c r="AK78" s="25">
        <v>0</v>
      </c>
      <c r="AL78" s="25">
        <v>0</v>
      </c>
      <c r="AM78" s="25">
        <v>0</v>
      </c>
      <c r="AN78" s="25">
        <v>0</v>
      </c>
      <c r="AO78" s="25">
        <v>0</v>
      </c>
      <c r="AP78" s="25">
        <v>0</v>
      </c>
      <c r="AQ78" s="25">
        <v>0</v>
      </c>
      <c r="AR78" s="25">
        <v>0</v>
      </c>
      <c r="AS78" s="25">
        <v>0</v>
      </c>
      <c r="AT78" s="25">
        <v>0</v>
      </c>
      <c r="AU78" s="25">
        <v>0</v>
      </c>
      <c r="AV78" s="25">
        <v>0</v>
      </c>
      <c r="AW78" s="25">
        <v>0</v>
      </c>
      <c r="AX78" s="25">
        <v>0</v>
      </c>
      <c r="AY78" s="40">
        <v>0</v>
      </c>
      <c r="AZ78" s="25">
        <v>0</v>
      </c>
      <c r="BA78" s="25">
        <v>0</v>
      </c>
      <c r="BB78" s="25">
        <v>0</v>
      </c>
      <c r="BC78" s="25">
        <v>0</v>
      </c>
      <c r="BD78" s="25">
        <v>0</v>
      </c>
      <c r="BE78" s="25">
        <v>0</v>
      </c>
      <c r="BF78" s="25">
        <v>0</v>
      </c>
      <c r="BG78" s="25">
        <v>0</v>
      </c>
      <c r="BH78" s="25">
        <v>0</v>
      </c>
      <c r="BI78" s="25">
        <v>0</v>
      </c>
      <c r="BJ78" s="25">
        <v>0</v>
      </c>
      <c r="BK78" s="25">
        <v>0</v>
      </c>
      <c r="BL78" s="25">
        <v>0</v>
      </c>
      <c r="BM78" s="25">
        <v>0</v>
      </c>
      <c r="BN78" s="25">
        <v>0</v>
      </c>
      <c r="BO78" s="25">
        <v>0</v>
      </c>
      <c r="BP78" s="25">
        <v>0</v>
      </c>
      <c r="BQ78" s="25">
        <v>0</v>
      </c>
      <c r="BR78" s="25">
        <v>0</v>
      </c>
      <c r="BS78" s="25">
        <v>0</v>
      </c>
      <c r="BT78" s="25">
        <v>0</v>
      </c>
      <c r="BU78" s="25">
        <v>0</v>
      </c>
      <c r="BV78" s="25">
        <v>0</v>
      </c>
      <c r="BW78" s="25">
        <v>0</v>
      </c>
      <c r="BX78" s="25">
        <v>0</v>
      </c>
      <c r="BY78" s="25">
        <v>0</v>
      </c>
      <c r="BZ78" s="25">
        <v>0</v>
      </c>
      <c r="CA78" s="25">
        <v>0</v>
      </c>
      <c r="CB78" s="25">
        <v>0</v>
      </c>
      <c r="CC78" s="25">
        <v>74451</v>
      </c>
      <c r="CD78" s="25">
        <v>0</v>
      </c>
      <c r="CE78" s="25">
        <v>0</v>
      </c>
      <c r="CF78" s="25">
        <v>74451</v>
      </c>
      <c r="CG78" s="25">
        <v>74451</v>
      </c>
      <c r="CH78"/>
      <c r="CI78">
        <f t="shared" si="1"/>
        <v>1</v>
      </c>
      <c r="CJ78"/>
      <c r="CK78"/>
      <c r="CL78"/>
      <c r="CM78"/>
      <c r="CN78"/>
      <c r="CO78"/>
      <c r="CP78"/>
      <c r="CQ78"/>
      <c r="CR78"/>
      <c r="CS78"/>
      <c r="CT78"/>
      <c r="CU78"/>
    </row>
    <row r="79" spans="1:99" s="5" customFormat="1" x14ac:dyDescent="0.3">
      <c r="A79" s="15"/>
      <c r="B79" s="16" t="s">
        <v>166</v>
      </c>
      <c r="C79" s="5">
        <v>74</v>
      </c>
      <c r="D79" s="25">
        <v>149151.39243390344</v>
      </c>
      <c r="E79" s="25">
        <v>68079.253921847878</v>
      </c>
      <c r="F79" s="25">
        <v>8177.4548278247212</v>
      </c>
      <c r="G79" s="25">
        <v>9360.8652473349102</v>
      </c>
      <c r="H79" s="25">
        <v>86780.302243800921</v>
      </c>
      <c r="I79" s="25">
        <v>38249.787319055242</v>
      </c>
      <c r="J79" s="25">
        <v>8861.9730799903318</v>
      </c>
      <c r="K79" s="25">
        <v>226295.97479233512</v>
      </c>
      <c r="L79" s="25">
        <v>40680.401572386683</v>
      </c>
      <c r="M79" s="25">
        <v>229159.40212991342</v>
      </c>
      <c r="N79" s="25">
        <v>47291.888992867891</v>
      </c>
      <c r="O79" s="25">
        <v>10510.046244887526</v>
      </c>
      <c r="P79" s="25">
        <v>30369.290833344239</v>
      </c>
      <c r="Q79" s="25">
        <v>29704.03403518891</v>
      </c>
      <c r="R79" s="25">
        <v>22278.689184163421</v>
      </c>
      <c r="S79" s="25">
        <v>17495.768707169991</v>
      </c>
      <c r="T79" s="25">
        <v>62825.276373185865</v>
      </c>
      <c r="U79" s="25">
        <v>8728.2250240970461</v>
      </c>
      <c r="V79" s="25">
        <v>287013.66831324255</v>
      </c>
      <c r="W79" s="25">
        <v>6884.7092320229804</v>
      </c>
      <c r="X79" s="25">
        <v>3133.1478903090397</v>
      </c>
      <c r="Y79" s="25">
        <v>39806.994880170685</v>
      </c>
      <c r="Z79" s="25">
        <v>93685.489648632647</v>
      </c>
      <c r="AA79" s="25">
        <v>50165.759189674718</v>
      </c>
      <c r="AB79" s="25">
        <v>29616.10945770859</v>
      </c>
      <c r="AC79" s="25">
        <v>32534.934913433295</v>
      </c>
      <c r="AD79" s="25">
        <v>67095.931360778908</v>
      </c>
      <c r="AE79" s="25">
        <v>47995.653379399024</v>
      </c>
      <c r="AF79" s="25">
        <v>90011.633124967557</v>
      </c>
      <c r="AG79" s="25">
        <v>42241.063170239649</v>
      </c>
      <c r="AH79" s="25">
        <v>55292.639063284871</v>
      </c>
      <c r="AI79" s="25">
        <v>48924.358504162432</v>
      </c>
      <c r="AJ79" s="25">
        <v>43882.671757254262</v>
      </c>
      <c r="AK79" s="25">
        <v>69100.828702469065</v>
      </c>
      <c r="AL79" s="25">
        <v>125399.05268026798</v>
      </c>
      <c r="AM79" s="25">
        <v>57957.342348891398</v>
      </c>
      <c r="AN79" s="25">
        <v>14198.781904952179</v>
      </c>
      <c r="AO79" s="25">
        <v>34015.197452094872</v>
      </c>
      <c r="AP79" s="25">
        <v>34232.728710189665</v>
      </c>
      <c r="AQ79" s="25">
        <v>127681.23549929622</v>
      </c>
      <c r="AR79" s="25">
        <v>18161.429306020498</v>
      </c>
      <c r="AS79" s="25">
        <v>4642.9823184020252</v>
      </c>
      <c r="AT79" s="25">
        <v>13663.351246607119</v>
      </c>
      <c r="AU79" s="25">
        <v>25919.11705127099</v>
      </c>
      <c r="AV79" s="25">
        <v>258586.87463215971</v>
      </c>
      <c r="AW79" s="25">
        <v>61466.170254706725</v>
      </c>
      <c r="AX79" s="25">
        <v>379634.89856261347</v>
      </c>
      <c r="AY79" s="41">
        <f>SUM(AY6:AY78)</f>
        <v>182365.76859136936</v>
      </c>
      <c r="AZ79" s="25">
        <v>10000.749043767823</v>
      </c>
      <c r="BA79" s="25">
        <v>22005.893788772402</v>
      </c>
      <c r="BB79" s="25">
        <v>50075.885807417289</v>
      </c>
      <c r="BC79" s="25">
        <v>11174.565383518273</v>
      </c>
      <c r="BD79" s="25">
        <v>120776.23334276465</v>
      </c>
      <c r="BE79" s="25">
        <v>7719.1866007156314</v>
      </c>
      <c r="BF79" s="25">
        <v>22366.726888656551</v>
      </c>
      <c r="BG79" s="25">
        <v>80996.903652414068</v>
      </c>
      <c r="BH79" s="25">
        <v>45349.945690874993</v>
      </c>
      <c r="BI79" s="25">
        <v>196028.96518732898</v>
      </c>
      <c r="BJ79" s="25">
        <v>44529.804748100192</v>
      </c>
      <c r="BK79" s="25">
        <v>62859.56686188122</v>
      </c>
      <c r="BL79" s="25">
        <v>18857.746897610254</v>
      </c>
      <c r="BM79" s="25">
        <v>59576.85817212984</v>
      </c>
      <c r="BN79" s="25">
        <v>14344.205066557382</v>
      </c>
      <c r="BO79" s="25">
        <v>71519.590746992049</v>
      </c>
      <c r="BP79" s="25">
        <v>6663.1352010592364</v>
      </c>
      <c r="BQ79" s="25">
        <v>207583.76384339409</v>
      </c>
      <c r="BR79" s="25">
        <v>47100.064878214333</v>
      </c>
      <c r="BS79" s="25">
        <v>34108.375419278862</v>
      </c>
      <c r="BT79" s="25">
        <v>55184.157589632639</v>
      </c>
      <c r="BU79" s="25">
        <v>109176.75066206328</v>
      </c>
      <c r="BV79" s="25">
        <v>14856.012504412529</v>
      </c>
      <c r="BW79" s="25">
        <v>67590.783769702524</v>
      </c>
      <c r="BX79" s="25">
        <v>0</v>
      </c>
      <c r="BY79" s="25">
        <v>4840485.1610233989</v>
      </c>
      <c r="BZ79" s="25">
        <v>1025056</v>
      </c>
      <c r="CA79" s="25">
        <v>1393480</v>
      </c>
      <c r="CB79" s="25">
        <v>102253</v>
      </c>
      <c r="CC79" s="25">
        <v>3769922.0104907085</v>
      </c>
      <c r="CD79" s="25">
        <v>878944.82848589332</v>
      </c>
      <c r="CE79" s="25">
        <v>-131</v>
      </c>
      <c r="CF79" s="25">
        <v>7169524.8389766021</v>
      </c>
      <c r="CG79" s="25">
        <v>12010010</v>
      </c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</row>
    <row r="80" spans="1:99" s="5" customFormat="1" x14ac:dyDescent="0.3">
      <c r="A80" s="17"/>
      <c r="B80" s="14" t="s">
        <v>167</v>
      </c>
      <c r="C80" s="5">
        <v>75</v>
      </c>
      <c r="D80" s="25">
        <v>24183.128957308974</v>
      </c>
      <c r="E80" s="25">
        <v>5755.6608817485503</v>
      </c>
      <c r="F80" s="25">
        <v>537.51611682781652</v>
      </c>
      <c r="G80" s="25">
        <v>1556.2577604248361</v>
      </c>
      <c r="H80" s="25">
        <v>27867.644331880121</v>
      </c>
      <c r="I80" s="25">
        <v>5714.0844499970544</v>
      </c>
      <c r="J80" s="25">
        <v>1597.9782056476281</v>
      </c>
      <c r="K80" s="25">
        <v>6328.4894005141023</v>
      </c>
      <c r="L80" s="25">
        <v>797.17684535458557</v>
      </c>
      <c r="M80" s="25">
        <v>16720.175237566211</v>
      </c>
      <c r="N80" s="25">
        <v>3497.4522250180617</v>
      </c>
      <c r="O80" s="25">
        <v>722.70448176851687</v>
      </c>
      <c r="P80" s="25">
        <v>5295.7759871669186</v>
      </c>
      <c r="Q80" s="25">
        <v>4427.6390616554936</v>
      </c>
      <c r="R80" s="25">
        <v>2917.4641200425253</v>
      </c>
      <c r="S80" s="25">
        <v>1608.708930310615</v>
      </c>
      <c r="T80" s="25">
        <v>9260.3346742790345</v>
      </c>
      <c r="U80" s="25">
        <v>1398.3211260194951</v>
      </c>
      <c r="V80" s="25">
        <v>55572.301245236151</v>
      </c>
      <c r="W80" s="25">
        <v>1426.2976177079747</v>
      </c>
      <c r="X80" s="25">
        <v>53.305845374857689</v>
      </c>
      <c r="Y80" s="25">
        <v>1431.7306744794503</v>
      </c>
      <c r="Z80" s="25">
        <v>48562.221354953719</v>
      </c>
      <c r="AA80" s="25">
        <v>17822.444092411115</v>
      </c>
      <c r="AB80" s="25">
        <v>6237.9025794934305</v>
      </c>
      <c r="AC80" s="25">
        <v>5422.9334511936368</v>
      </c>
      <c r="AD80" s="25">
        <v>17408.562619639197</v>
      </c>
      <c r="AE80" s="25">
        <v>6069.3113435136138</v>
      </c>
      <c r="AF80" s="25">
        <v>19877.811565060154</v>
      </c>
      <c r="AG80" s="25">
        <v>11436.201379866139</v>
      </c>
      <c r="AH80" s="25">
        <v>8465.179163749197</v>
      </c>
      <c r="AI80" s="25">
        <v>30697.929689427885</v>
      </c>
      <c r="AJ80" s="25">
        <v>11191.577045715849</v>
      </c>
      <c r="AK80" s="25">
        <v>15905.432507461668</v>
      </c>
      <c r="AL80" s="25">
        <v>26596.213509634075</v>
      </c>
      <c r="AM80" s="25">
        <v>12200.314900843905</v>
      </c>
      <c r="AN80" s="25">
        <v>14472.28762622003</v>
      </c>
      <c r="AO80" s="25">
        <v>4902.2704961912932</v>
      </c>
      <c r="AP80" s="25">
        <v>13043.474695051191</v>
      </c>
      <c r="AQ80" s="25">
        <v>9178.8369395382942</v>
      </c>
      <c r="AR80" s="25">
        <v>1499.3713529099384</v>
      </c>
      <c r="AS80" s="25">
        <v>1074.2436222972451</v>
      </c>
      <c r="AT80" s="25">
        <v>1248.4881279562871</v>
      </c>
      <c r="AU80" s="25">
        <v>3312.4579052546642</v>
      </c>
      <c r="AV80" s="25">
        <v>25282.900434561092</v>
      </c>
      <c r="AW80" s="25">
        <v>9933.6931333181528</v>
      </c>
      <c r="AX80" s="25">
        <v>25771.750262729835</v>
      </c>
      <c r="AY80" s="40">
        <v>14216.849515117508</v>
      </c>
      <c r="AZ80" s="25">
        <v>1813.1869292364881</v>
      </c>
      <c r="BA80" s="25">
        <v>6864.6107607456734</v>
      </c>
      <c r="BB80" s="25">
        <v>5592.070327523812</v>
      </c>
      <c r="BC80" s="25">
        <v>580.00059695518223</v>
      </c>
      <c r="BD80" s="25">
        <v>7774.4096318310658</v>
      </c>
      <c r="BE80" s="25">
        <v>867.59186823585367</v>
      </c>
      <c r="BF80" s="25">
        <v>2456.9545598247637</v>
      </c>
      <c r="BG80" s="25">
        <v>6453.1872524104938</v>
      </c>
      <c r="BH80" s="25">
        <v>7361.4426152288188</v>
      </c>
      <c r="BI80" s="25">
        <v>10937.47166736594</v>
      </c>
      <c r="BJ80" s="25">
        <v>2406.1137744489251</v>
      </c>
      <c r="BK80" s="25">
        <v>3950.1053770394492</v>
      </c>
      <c r="BL80" s="25">
        <v>3129.4021411479448</v>
      </c>
      <c r="BM80" s="25">
        <v>2737.6558561697948</v>
      </c>
      <c r="BN80" s="25">
        <v>2492.839116781653</v>
      </c>
      <c r="BO80" s="25">
        <v>5948.6570922603205</v>
      </c>
      <c r="BP80" s="25">
        <v>637.79733272035207</v>
      </c>
      <c r="BQ80" s="25">
        <v>14920.461211549922</v>
      </c>
      <c r="BR80" s="25">
        <v>4536.5689094501568</v>
      </c>
      <c r="BS80" s="25">
        <v>3659.9193238486714</v>
      </c>
      <c r="BT80" s="25">
        <v>7433.0689327803902</v>
      </c>
      <c r="BU80" s="25">
        <v>11490.934490834492</v>
      </c>
      <c r="BV80" s="25">
        <v>1279.3586623210838</v>
      </c>
      <c r="BW80" s="25">
        <v>10473.724755018549</v>
      </c>
      <c r="BX80" s="25">
        <v>0</v>
      </c>
      <c r="BY80" s="25">
        <v>666298.34067616821</v>
      </c>
      <c r="BZ80" s="25">
        <v>0</v>
      </c>
      <c r="CA80" s="25">
        <v>0</v>
      </c>
      <c r="CB80" s="25">
        <v>0</v>
      </c>
      <c r="CC80" s="25">
        <v>223389.88626813609</v>
      </c>
      <c r="CD80" s="25">
        <v>107785.77305569606</v>
      </c>
      <c r="CE80" s="25">
        <v>0</v>
      </c>
      <c r="CF80" s="25">
        <v>331175.65932383202</v>
      </c>
      <c r="CG80" s="25">
        <v>997474</v>
      </c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</row>
    <row r="81" spans="1:99" s="5" customFormat="1" x14ac:dyDescent="0.3">
      <c r="A81" s="28"/>
      <c r="B81" s="14" t="s">
        <v>168</v>
      </c>
      <c r="C81" s="5">
        <v>76</v>
      </c>
      <c r="D81" s="25">
        <v>712.48471455829156</v>
      </c>
      <c r="E81" s="25">
        <v>199.57590484128707</v>
      </c>
      <c r="F81" s="25">
        <v>13.047764298038301</v>
      </c>
      <c r="G81" s="25">
        <v>76.297227297775862</v>
      </c>
      <c r="H81" s="25">
        <v>466.80115394256529</v>
      </c>
      <c r="I81" s="25">
        <v>239.77883806122986</v>
      </c>
      <c r="J81" s="25">
        <v>45.092210805487653</v>
      </c>
      <c r="K81" s="25">
        <v>238.16233971447025</v>
      </c>
      <c r="L81" s="25">
        <v>10.760872828330948</v>
      </c>
      <c r="M81" s="25">
        <v>528.53164910787507</v>
      </c>
      <c r="N81" s="25">
        <v>179.89357830178579</v>
      </c>
      <c r="O81" s="25">
        <v>15.484261636675772</v>
      </c>
      <c r="P81" s="25">
        <v>582.11498789306268</v>
      </c>
      <c r="Q81" s="25">
        <v>903.72469740271356</v>
      </c>
      <c r="R81" s="25">
        <v>373.57056622994691</v>
      </c>
      <c r="S81" s="25">
        <v>89.304293710036006</v>
      </c>
      <c r="T81" s="25">
        <v>245.81928936176669</v>
      </c>
      <c r="U81" s="25">
        <v>54.472306746504721</v>
      </c>
      <c r="V81" s="25">
        <v>155.63268747752372</v>
      </c>
      <c r="W81" s="25">
        <v>3.9944095603870751</v>
      </c>
      <c r="X81" s="25">
        <v>0.1492853775721876</v>
      </c>
      <c r="Y81" s="25">
        <v>46.29851492739153</v>
      </c>
      <c r="Z81" s="25">
        <v>853.5344031395806</v>
      </c>
      <c r="AA81" s="25">
        <v>659.6453115281098</v>
      </c>
      <c r="AB81" s="25">
        <v>267.98502731941846</v>
      </c>
      <c r="AC81" s="25">
        <v>175.63798731664562</v>
      </c>
      <c r="AD81" s="25">
        <v>1221.5684743307922</v>
      </c>
      <c r="AE81" s="25">
        <v>203.34953393319287</v>
      </c>
      <c r="AF81" s="25">
        <v>250.88856122318941</v>
      </c>
      <c r="AG81" s="25">
        <v>153.88986367952171</v>
      </c>
      <c r="AH81" s="25">
        <v>467.94077594491608</v>
      </c>
      <c r="AI81" s="25">
        <v>1037.8874781903801</v>
      </c>
      <c r="AJ81" s="25">
        <v>727.82477676983399</v>
      </c>
      <c r="AK81" s="25">
        <v>1148.6944417645036</v>
      </c>
      <c r="AL81" s="25">
        <v>2358.4850856584794</v>
      </c>
      <c r="AM81" s="25">
        <v>941.11737770458058</v>
      </c>
      <c r="AN81" s="25">
        <v>205.25745701897426</v>
      </c>
      <c r="AO81" s="25">
        <v>337.80723196335208</v>
      </c>
      <c r="AP81" s="25">
        <v>775.3884323869521</v>
      </c>
      <c r="AQ81" s="25">
        <v>314.97886922865513</v>
      </c>
      <c r="AR81" s="25">
        <v>51.452084442102198</v>
      </c>
      <c r="AS81" s="25">
        <v>36.863498464577901</v>
      </c>
      <c r="AT81" s="25">
        <v>42.842833071272821</v>
      </c>
      <c r="AU81" s="25">
        <v>59.210496606621973</v>
      </c>
      <c r="AV81" s="25">
        <v>1773.4439564118695</v>
      </c>
      <c r="AW81" s="25">
        <v>813.62324261955007</v>
      </c>
      <c r="AX81" s="25">
        <v>365.11869371822985</v>
      </c>
      <c r="AY81" s="40">
        <v>764.61320374122931</v>
      </c>
      <c r="AZ81" s="25">
        <v>11.325219967355727</v>
      </c>
      <c r="BA81" s="25">
        <v>28.37128141098562</v>
      </c>
      <c r="BB81" s="25">
        <v>40.5027980577878</v>
      </c>
      <c r="BC81" s="25">
        <v>23.078652578953154</v>
      </c>
      <c r="BD81" s="25">
        <v>276.97929940117507</v>
      </c>
      <c r="BE81" s="25">
        <v>6.1069490866026834</v>
      </c>
      <c r="BF81" s="25">
        <v>23.590255802890535</v>
      </c>
      <c r="BG81" s="25">
        <v>46.680084020494526</v>
      </c>
      <c r="BH81" s="25">
        <v>85.295710611033357</v>
      </c>
      <c r="BI81" s="25">
        <v>46.890030884403693</v>
      </c>
      <c r="BJ81" s="25">
        <v>70.859998289842096</v>
      </c>
      <c r="BK81" s="25">
        <v>71.367214714365161</v>
      </c>
      <c r="BL81" s="25">
        <v>85.102129907451882</v>
      </c>
      <c r="BM81" s="25">
        <v>31.27449894954712</v>
      </c>
      <c r="BN81" s="25">
        <v>44.544241752142717</v>
      </c>
      <c r="BO81" s="25">
        <v>239.64416571188517</v>
      </c>
      <c r="BP81" s="25">
        <v>14.531848877536895</v>
      </c>
      <c r="BQ81" s="25">
        <v>164.15405175720011</v>
      </c>
      <c r="BR81" s="25">
        <v>116.15243605857908</v>
      </c>
      <c r="BS81" s="25">
        <v>12.221294733991771</v>
      </c>
      <c r="BT81" s="25">
        <v>240.39342203826871</v>
      </c>
      <c r="BU81" s="25">
        <v>698.18872754468134</v>
      </c>
      <c r="BV81" s="25">
        <v>16.167584777809225</v>
      </c>
      <c r="BW81" s="25">
        <v>154.32497313920311</v>
      </c>
      <c r="BX81" s="25">
        <v>0</v>
      </c>
      <c r="BY81" s="25">
        <v>23737.78752233144</v>
      </c>
      <c r="BZ81" s="25">
        <v>0</v>
      </c>
      <c r="CA81" s="25">
        <v>0</v>
      </c>
      <c r="CB81" s="25">
        <v>0</v>
      </c>
      <c r="CC81" s="25">
        <v>11407.196211290042</v>
      </c>
      <c r="CD81" s="25">
        <v>5430.0162663785195</v>
      </c>
      <c r="CE81" s="25">
        <v>0</v>
      </c>
      <c r="CF81" s="25">
        <v>16837.21247766856</v>
      </c>
      <c r="CG81" s="25">
        <v>40575</v>
      </c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</row>
    <row r="82" spans="1:99" s="5" customFormat="1" x14ac:dyDescent="0.3">
      <c r="A82" s="28"/>
      <c r="B82" s="12" t="s">
        <v>169</v>
      </c>
      <c r="C82" s="5">
        <v>77</v>
      </c>
      <c r="D82" s="25">
        <v>8343.3247851177421</v>
      </c>
      <c r="E82" s="25">
        <v>4147.5785779479093</v>
      </c>
      <c r="F82" s="25">
        <v>444.5747995710517</v>
      </c>
      <c r="G82" s="25">
        <v>280.50113242013538</v>
      </c>
      <c r="H82" s="25">
        <v>2135.2466604983751</v>
      </c>
      <c r="I82" s="25">
        <v>953.89694752852427</v>
      </c>
      <c r="J82" s="25">
        <v>215.15107681860576</v>
      </c>
      <c r="K82" s="25">
        <v>7586.0307643154947</v>
      </c>
      <c r="L82" s="25">
        <v>306.04426679444379</v>
      </c>
      <c r="M82" s="25">
        <v>6674.5662335599945</v>
      </c>
      <c r="N82" s="25">
        <v>2477.1240274870606</v>
      </c>
      <c r="O82" s="25">
        <v>442.39621000729983</v>
      </c>
      <c r="P82" s="25">
        <v>1237.9741685947458</v>
      </c>
      <c r="Q82" s="25">
        <v>1774.1848478969957</v>
      </c>
      <c r="R82" s="25">
        <v>1798.8330459951226</v>
      </c>
      <c r="S82" s="25">
        <v>1016.1477220707337</v>
      </c>
      <c r="T82" s="25">
        <v>2030.5233441515227</v>
      </c>
      <c r="U82" s="25">
        <v>435.32752668680411</v>
      </c>
      <c r="V82" s="25">
        <v>8752.2783785208831</v>
      </c>
      <c r="W82" s="25">
        <v>178.62543259392183</v>
      </c>
      <c r="X82" s="25">
        <v>0.36781858128730416</v>
      </c>
      <c r="Y82" s="25">
        <v>628.38127884883704</v>
      </c>
      <c r="Z82" s="25">
        <v>2149.1884402579776</v>
      </c>
      <c r="AA82" s="25">
        <v>1286.9068564038732</v>
      </c>
      <c r="AB82" s="25">
        <v>1455.4290056364525</v>
      </c>
      <c r="AC82" s="25">
        <v>1781.9362084556501</v>
      </c>
      <c r="AD82" s="25">
        <v>1993.9187807125231</v>
      </c>
      <c r="AE82" s="25">
        <v>2222.7100044973436</v>
      </c>
      <c r="AF82" s="25">
        <v>1552.7651646761044</v>
      </c>
      <c r="AG82" s="25">
        <v>965.7129486848786</v>
      </c>
      <c r="AH82" s="25">
        <v>1751.6930071103322</v>
      </c>
      <c r="AI82" s="25">
        <v>2602.7609612323031</v>
      </c>
      <c r="AJ82" s="25">
        <v>1490.1682230500396</v>
      </c>
      <c r="AK82" s="25">
        <v>1879.5987247239307</v>
      </c>
      <c r="AL82" s="25">
        <v>2966.0637625793861</v>
      </c>
      <c r="AM82" s="25">
        <v>1722.880116329678</v>
      </c>
      <c r="AN82" s="25">
        <v>883.2984209706151</v>
      </c>
      <c r="AO82" s="25">
        <v>1714.3591697105196</v>
      </c>
      <c r="AP82" s="25">
        <v>1225.2545924314563</v>
      </c>
      <c r="AQ82" s="25">
        <v>12175.833465165224</v>
      </c>
      <c r="AR82" s="25">
        <v>1988.9334580977081</v>
      </c>
      <c r="AS82" s="25">
        <v>1424.9966016680364</v>
      </c>
      <c r="AT82" s="25">
        <v>1656.1339556813491</v>
      </c>
      <c r="AU82" s="25">
        <v>1108.2851827143804</v>
      </c>
      <c r="AV82" s="25">
        <v>10706.709417735583</v>
      </c>
      <c r="AW82" s="25">
        <v>1612.3979376553073</v>
      </c>
      <c r="AX82" s="25">
        <v>10468.138246874449</v>
      </c>
      <c r="AY82" s="40">
        <v>8076.63712203267</v>
      </c>
      <c r="AZ82" s="25">
        <v>111.34151620682954</v>
      </c>
      <c r="BA82" s="25">
        <v>2402.9493815019487</v>
      </c>
      <c r="BB82" s="25">
        <v>783.90607203329</v>
      </c>
      <c r="BC82" s="25">
        <v>694.50273508842668</v>
      </c>
      <c r="BD82" s="25">
        <v>10107.12002844398</v>
      </c>
      <c r="BE82" s="25">
        <v>290.44061937566619</v>
      </c>
      <c r="BF82" s="25">
        <v>399.46081325898257</v>
      </c>
      <c r="BG82" s="25">
        <v>4518.3804745554144</v>
      </c>
      <c r="BH82" s="25">
        <v>1004.7900997816121</v>
      </c>
      <c r="BI82" s="25">
        <v>3115.6887187089501</v>
      </c>
      <c r="BJ82" s="25">
        <v>907.55560246915513</v>
      </c>
      <c r="BK82" s="25">
        <v>1600.7392676210184</v>
      </c>
      <c r="BL82" s="25">
        <v>638.51923139567361</v>
      </c>
      <c r="BM82" s="25">
        <v>1102.1473607308526</v>
      </c>
      <c r="BN82" s="25">
        <v>490.89624204304693</v>
      </c>
      <c r="BO82" s="25">
        <v>3608.0465417477594</v>
      </c>
      <c r="BP82" s="25">
        <v>253.90624998401819</v>
      </c>
      <c r="BQ82" s="25">
        <v>5343.4810754484188</v>
      </c>
      <c r="BR82" s="25">
        <v>2010.6387435072065</v>
      </c>
      <c r="BS82" s="25">
        <v>1049.8188387612634</v>
      </c>
      <c r="BT82" s="25">
        <v>3299.4808391105353</v>
      </c>
      <c r="BU82" s="25">
        <v>7722.8460184638334</v>
      </c>
      <c r="BV82" s="25">
        <v>443.82302788682347</v>
      </c>
      <c r="BW82" s="25">
        <v>3537.0443299909734</v>
      </c>
      <c r="BX82" s="25">
        <v>0</v>
      </c>
      <c r="BY82" s="25">
        <v>186159.31264921097</v>
      </c>
      <c r="BZ82" s="25">
        <v>0</v>
      </c>
      <c r="CA82" s="25">
        <v>0</v>
      </c>
      <c r="CB82" s="25">
        <v>0</v>
      </c>
      <c r="CC82" s="25">
        <v>274756.2360762817</v>
      </c>
      <c r="CD82" s="25">
        <v>18394.451274507348</v>
      </c>
      <c r="CE82" s="25">
        <v>0</v>
      </c>
      <c r="CF82" s="25">
        <v>293150.68735078909</v>
      </c>
      <c r="CG82" s="25">
        <v>479310</v>
      </c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</row>
    <row r="83" spans="1:99" s="5" customFormat="1" x14ac:dyDescent="0.3">
      <c r="A83" s="28"/>
      <c r="B83" s="12" t="s">
        <v>170</v>
      </c>
      <c r="C83" s="5">
        <v>78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25">
        <v>0</v>
      </c>
      <c r="U83" s="25">
        <v>0</v>
      </c>
      <c r="V83" s="25">
        <v>0</v>
      </c>
      <c r="W83" s="25">
        <v>0</v>
      </c>
      <c r="X83" s="25">
        <v>0</v>
      </c>
      <c r="Y83" s="25">
        <v>0</v>
      </c>
      <c r="Z83" s="25">
        <v>0</v>
      </c>
      <c r="AA83" s="25">
        <v>0</v>
      </c>
      <c r="AB83" s="25">
        <v>0</v>
      </c>
      <c r="AC83" s="25">
        <v>0</v>
      </c>
      <c r="AD83" s="25">
        <v>0</v>
      </c>
      <c r="AE83" s="25">
        <v>0</v>
      </c>
      <c r="AF83" s="25">
        <v>0</v>
      </c>
      <c r="AG83" s="25">
        <v>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  <c r="AR83" s="25">
        <v>0</v>
      </c>
      <c r="AS83" s="25">
        <v>0</v>
      </c>
      <c r="AT83" s="25">
        <v>0</v>
      </c>
      <c r="AU83" s="25">
        <v>0</v>
      </c>
      <c r="AV83" s="25">
        <v>0</v>
      </c>
      <c r="AW83" s="25">
        <v>0</v>
      </c>
      <c r="AX83" s="25">
        <v>0</v>
      </c>
      <c r="AY83" s="40">
        <v>0</v>
      </c>
      <c r="AZ83" s="25">
        <v>0</v>
      </c>
      <c r="BA83" s="25">
        <v>0</v>
      </c>
      <c r="BB83" s="25">
        <v>0</v>
      </c>
      <c r="BC83" s="25">
        <v>0</v>
      </c>
      <c r="BD83" s="25">
        <v>0</v>
      </c>
      <c r="BE83" s="25">
        <v>0</v>
      </c>
      <c r="BF83" s="25">
        <v>0</v>
      </c>
      <c r="BG83" s="25">
        <v>0</v>
      </c>
      <c r="BH83" s="25">
        <v>0</v>
      </c>
      <c r="BI83" s="25">
        <v>0</v>
      </c>
      <c r="BJ83" s="25">
        <v>0</v>
      </c>
      <c r="BK83" s="25">
        <v>0</v>
      </c>
      <c r="BL83" s="25">
        <v>0</v>
      </c>
      <c r="BM83" s="25">
        <v>0</v>
      </c>
      <c r="BN83" s="25">
        <v>0</v>
      </c>
      <c r="BO83" s="25">
        <v>0</v>
      </c>
      <c r="BP83" s="25">
        <v>0</v>
      </c>
      <c r="BQ83" s="25">
        <v>0</v>
      </c>
      <c r="BR83" s="25">
        <v>0</v>
      </c>
      <c r="BS83" s="25">
        <v>0</v>
      </c>
      <c r="BT83" s="25">
        <v>0</v>
      </c>
      <c r="BU83" s="25">
        <v>0</v>
      </c>
      <c r="BV83" s="25">
        <v>0</v>
      </c>
      <c r="BW83" s="25">
        <v>0</v>
      </c>
      <c r="BX83" s="25">
        <v>0</v>
      </c>
      <c r="BY83" s="25">
        <v>0</v>
      </c>
      <c r="BZ83" s="25">
        <v>0</v>
      </c>
      <c r="CA83" s="25">
        <v>0</v>
      </c>
      <c r="CB83" s="25">
        <v>0</v>
      </c>
      <c r="CC83" s="25">
        <v>0</v>
      </c>
      <c r="CD83" s="25">
        <v>0</v>
      </c>
      <c r="CE83" s="25">
        <v>0</v>
      </c>
      <c r="CF83" s="25">
        <v>0</v>
      </c>
      <c r="CG83" s="25">
        <v>0</v>
      </c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</row>
    <row r="84" spans="1:99" s="5" customFormat="1" x14ac:dyDescent="0.3">
      <c r="A84" s="28"/>
      <c r="B84" s="12" t="s">
        <v>171</v>
      </c>
      <c r="C84" s="5">
        <v>79</v>
      </c>
      <c r="D84" s="25">
        <v>92.830450433330569</v>
      </c>
      <c r="E84" s="25">
        <v>108.75609021554227</v>
      </c>
      <c r="F84" s="25">
        <v>8.8181188724538337</v>
      </c>
      <c r="G84" s="25">
        <v>43.901705453634285</v>
      </c>
      <c r="H84" s="25">
        <v>149.82467251941975</v>
      </c>
      <c r="I84" s="25">
        <v>114.7984248924478</v>
      </c>
      <c r="J84" s="25">
        <v>21.270716173050147</v>
      </c>
      <c r="K84" s="25">
        <v>343.6518176971768</v>
      </c>
      <c r="L84" s="25">
        <v>12.276110377484112</v>
      </c>
      <c r="M84" s="25">
        <v>474.52055408453691</v>
      </c>
      <c r="N84" s="25">
        <v>656.8898340220245</v>
      </c>
      <c r="O84" s="25">
        <v>224.92679182890205</v>
      </c>
      <c r="P84" s="25">
        <v>64.127689373573077</v>
      </c>
      <c r="Q84" s="25">
        <v>91.499561829108899</v>
      </c>
      <c r="R84" s="25">
        <v>95.836040895310902</v>
      </c>
      <c r="S84" s="25">
        <v>103.98039365843857</v>
      </c>
      <c r="T84" s="25">
        <v>264.2554887403565</v>
      </c>
      <c r="U84" s="25">
        <v>70.396164985640212</v>
      </c>
      <c r="V84" s="25">
        <v>98.002875591595981</v>
      </c>
      <c r="W84" s="25">
        <v>2.0001427389419466</v>
      </c>
      <c r="X84" s="25">
        <v>4.118616559391124E-3</v>
      </c>
      <c r="Y84" s="25">
        <v>10.183700947707981</v>
      </c>
      <c r="Z84" s="25">
        <v>85.35280224175537</v>
      </c>
      <c r="AA84" s="25">
        <v>111.77922427929352</v>
      </c>
      <c r="AB84" s="25">
        <v>205.3180552195744</v>
      </c>
      <c r="AC84" s="25">
        <v>57.33930864762295</v>
      </c>
      <c r="AD84" s="25">
        <v>488.98762243185865</v>
      </c>
      <c r="AE84" s="25">
        <v>148.60719008395736</v>
      </c>
      <c r="AF84" s="25">
        <v>123.62493206847709</v>
      </c>
      <c r="AG84" s="25">
        <v>62.221640369674041</v>
      </c>
      <c r="AH84" s="25">
        <v>343.11461475762917</v>
      </c>
      <c r="AI84" s="25">
        <v>1261.8140514706176</v>
      </c>
      <c r="AJ84" s="25">
        <v>422.20154660819315</v>
      </c>
      <c r="AK84" s="25">
        <v>506.16003131876982</v>
      </c>
      <c r="AL84" s="25">
        <v>1432.0627284274108</v>
      </c>
      <c r="AM84" s="25">
        <v>488.59847804129265</v>
      </c>
      <c r="AN84" s="25">
        <v>502.12281036155349</v>
      </c>
      <c r="AO84" s="25">
        <v>267.14321713383725</v>
      </c>
      <c r="AP84" s="25">
        <v>455.42620922154254</v>
      </c>
      <c r="AQ84" s="25">
        <v>200.78386459711459</v>
      </c>
      <c r="AR84" s="25">
        <v>32.798226691082796</v>
      </c>
      <c r="AS84" s="25">
        <v>23.498705492255262</v>
      </c>
      <c r="AT84" s="25">
        <v>27.310243431265217</v>
      </c>
      <c r="AU84" s="25">
        <v>42.842027024376002</v>
      </c>
      <c r="AV84" s="25">
        <v>1560.7762004231506</v>
      </c>
      <c r="AW84" s="25">
        <v>461.77680505452901</v>
      </c>
      <c r="AX84" s="25">
        <v>574.36489763732266</v>
      </c>
      <c r="AY84" s="40">
        <v>548.46865606115557</v>
      </c>
      <c r="AZ84" s="25">
        <v>6.2917490147068094</v>
      </c>
      <c r="BA84" s="25">
        <v>28.427618348575638</v>
      </c>
      <c r="BB84" s="25">
        <v>34.720319028402372</v>
      </c>
      <c r="BC84" s="25">
        <v>52.355074024910351</v>
      </c>
      <c r="BD84" s="25">
        <v>1985.9757673600261</v>
      </c>
      <c r="BE84" s="25">
        <v>26.799991230778058</v>
      </c>
      <c r="BF84" s="25">
        <v>40.444089313402522</v>
      </c>
      <c r="BG84" s="25">
        <v>47.213288510940458</v>
      </c>
      <c r="BH84" s="25">
        <v>192.2356538396364</v>
      </c>
      <c r="BI84" s="25">
        <v>87.1526619083821</v>
      </c>
      <c r="BJ84" s="25">
        <v>78.291817132989479</v>
      </c>
      <c r="BK84" s="25">
        <v>125.43699652402455</v>
      </c>
      <c r="BL84" s="25">
        <v>82.527069727413689</v>
      </c>
      <c r="BM84" s="25">
        <v>60.613207951095589</v>
      </c>
      <c r="BN84" s="25">
        <v>52.163486193697125</v>
      </c>
      <c r="BO84" s="25">
        <v>368.76158581667522</v>
      </c>
      <c r="BP84" s="25">
        <v>18.233672270157317</v>
      </c>
      <c r="BQ84" s="25">
        <v>160.10974932069229</v>
      </c>
      <c r="BR84" s="25">
        <v>131.3661384881637</v>
      </c>
      <c r="BS84" s="25">
        <v>33.137338247686159</v>
      </c>
      <c r="BT84" s="25">
        <v>133.81202701442498</v>
      </c>
      <c r="BU84" s="25">
        <v>479.39070855529644</v>
      </c>
      <c r="BV84" s="25">
        <v>25.764397759585883</v>
      </c>
      <c r="BW84" s="25">
        <v>246.34988303122404</v>
      </c>
      <c r="BX84" s="25">
        <v>0</v>
      </c>
      <c r="BY84" s="25">
        <v>17984.819843655434</v>
      </c>
      <c r="BZ84" s="25">
        <v>0</v>
      </c>
      <c r="CA84" s="25">
        <v>0</v>
      </c>
      <c r="CB84" s="25">
        <v>0</v>
      </c>
      <c r="CC84" s="25">
        <v>27535.433631192678</v>
      </c>
      <c r="CD84" s="25">
        <v>8464.7465251518934</v>
      </c>
      <c r="CE84" s="25">
        <v>0</v>
      </c>
      <c r="CF84" s="25">
        <v>36000.180156344562</v>
      </c>
      <c r="CG84" s="25">
        <v>53985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</row>
    <row r="85" spans="1:99" s="5" customFormat="1" x14ac:dyDescent="0.3">
      <c r="A85" s="28"/>
      <c r="B85" s="12" t="s">
        <v>170</v>
      </c>
      <c r="C85" s="5">
        <v>80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5">
        <v>0</v>
      </c>
      <c r="M85" s="25">
        <v>0</v>
      </c>
      <c r="N85" s="25">
        <v>0</v>
      </c>
      <c r="O85" s="25">
        <v>0</v>
      </c>
      <c r="P85" s="25">
        <v>0</v>
      </c>
      <c r="Q85" s="25">
        <v>0</v>
      </c>
      <c r="R85" s="25">
        <v>0</v>
      </c>
      <c r="S85" s="25">
        <v>0</v>
      </c>
      <c r="T85" s="25">
        <v>0</v>
      </c>
      <c r="U85" s="25">
        <v>0</v>
      </c>
      <c r="V85" s="25">
        <v>0</v>
      </c>
      <c r="W85" s="25">
        <v>0</v>
      </c>
      <c r="X85" s="25">
        <v>0</v>
      </c>
      <c r="Y85" s="25">
        <v>0</v>
      </c>
      <c r="Z85" s="25">
        <v>0</v>
      </c>
      <c r="AA85" s="25">
        <v>0</v>
      </c>
      <c r="AB85" s="25">
        <v>0</v>
      </c>
      <c r="AC85" s="25">
        <v>0</v>
      </c>
      <c r="AD85" s="25">
        <v>0</v>
      </c>
      <c r="AE85" s="25">
        <v>0</v>
      </c>
      <c r="AF85" s="25">
        <v>0</v>
      </c>
      <c r="AG85" s="25">
        <v>0</v>
      </c>
      <c r="AH85" s="25">
        <v>0</v>
      </c>
      <c r="AI85" s="25">
        <v>0</v>
      </c>
      <c r="AJ85" s="25">
        <v>0</v>
      </c>
      <c r="AK85" s="25">
        <v>0</v>
      </c>
      <c r="AL85" s="25">
        <v>0</v>
      </c>
      <c r="AM85" s="25">
        <v>0</v>
      </c>
      <c r="AN85" s="25">
        <v>0</v>
      </c>
      <c r="AO85" s="25">
        <v>0</v>
      </c>
      <c r="AP85" s="25">
        <v>0</v>
      </c>
      <c r="AQ85" s="25">
        <v>0</v>
      </c>
      <c r="AR85" s="25">
        <v>0</v>
      </c>
      <c r="AS85" s="25">
        <v>0</v>
      </c>
      <c r="AT85" s="25">
        <v>0</v>
      </c>
      <c r="AU85" s="25">
        <v>0</v>
      </c>
      <c r="AV85" s="25">
        <v>0</v>
      </c>
      <c r="AW85" s="25">
        <v>0</v>
      </c>
      <c r="AX85" s="25">
        <v>0</v>
      </c>
      <c r="AY85" s="40">
        <v>0</v>
      </c>
      <c r="AZ85" s="25">
        <v>0</v>
      </c>
      <c r="BA85" s="25">
        <v>0</v>
      </c>
      <c r="BB85" s="25">
        <v>0</v>
      </c>
      <c r="BC85" s="25">
        <v>0</v>
      </c>
      <c r="BD85" s="25">
        <v>0</v>
      </c>
      <c r="BE85" s="25">
        <v>0</v>
      </c>
      <c r="BF85" s="25">
        <v>0</v>
      </c>
      <c r="BG85" s="25">
        <v>0</v>
      </c>
      <c r="BH85" s="25">
        <v>0</v>
      </c>
      <c r="BI85" s="25">
        <v>0</v>
      </c>
      <c r="BJ85" s="25">
        <v>0</v>
      </c>
      <c r="BK85" s="25">
        <v>0</v>
      </c>
      <c r="BL85" s="25">
        <v>0</v>
      </c>
      <c r="BM85" s="25">
        <v>0</v>
      </c>
      <c r="BN85" s="25">
        <v>0</v>
      </c>
      <c r="BO85" s="25">
        <v>0</v>
      </c>
      <c r="BP85" s="25">
        <v>0</v>
      </c>
      <c r="BQ85" s="25">
        <v>0</v>
      </c>
      <c r="BR85" s="25">
        <v>0</v>
      </c>
      <c r="BS85" s="25">
        <v>0</v>
      </c>
      <c r="BT85" s="25">
        <v>0</v>
      </c>
      <c r="BU85" s="25">
        <v>0</v>
      </c>
      <c r="BV85" s="25">
        <v>0</v>
      </c>
      <c r="BW85" s="25">
        <v>0</v>
      </c>
      <c r="BX85" s="25">
        <v>0</v>
      </c>
      <c r="BY85" s="25">
        <v>0</v>
      </c>
      <c r="BZ85" s="25">
        <v>0</v>
      </c>
      <c r="CA85" s="25">
        <v>0</v>
      </c>
      <c r="CB85" s="25">
        <v>0</v>
      </c>
      <c r="CC85" s="25">
        <v>0</v>
      </c>
      <c r="CD85" s="25">
        <v>0</v>
      </c>
      <c r="CE85" s="25">
        <v>0</v>
      </c>
      <c r="CF85" s="25">
        <v>0</v>
      </c>
      <c r="CG85" s="25">
        <v>0</v>
      </c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</row>
    <row r="86" spans="1:99" s="5" customFormat="1" x14ac:dyDescent="0.3">
      <c r="A86" s="28"/>
      <c r="B86" s="12" t="s">
        <v>172</v>
      </c>
      <c r="C86" s="5">
        <v>81</v>
      </c>
      <c r="D86" s="25">
        <v>6042.8386586782008</v>
      </c>
      <c r="E86" s="25">
        <v>1976.1746233988374</v>
      </c>
      <c r="F86" s="25">
        <v>280.58837260591815</v>
      </c>
      <c r="G86" s="25">
        <v>542.17692706870685</v>
      </c>
      <c r="H86" s="25">
        <v>7778.1809373585975</v>
      </c>
      <c r="I86" s="25">
        <v>1919.6540204655096</v>
      </c>
      <c r="J86" s="25">
        <v>507.53471056489735</v>
      </c>
      <c r="K86" s="25">
        <v>5782.6908854236535</v>
      </c>
      <c r="L86" s="25">
        <v>1324.3403322584791</v>
      </c>
      <c r="M86" s="25">
        <v>5357.8041957679843</v>
      </c>
      <c r="N86" s="25">
        <v>2360.7513423031783</v>
      </c>
      <c r="O86" s="25">
        <v>196.4420098710809</v>
      </c>
      <c r="P86" s="25">
        <v>1196.7163336274623</v>
      </c>
      <c r="Q86" s="25">
        <v>1126.9177960267789</v>
      </c>
      <c r="R86" s="25">
        <v>813.60704267367396</v>
      </c>
      <c r="S86" s="25">
        <v>614.08995308018802</v>
      </c>
      <c r="T86" s="25">
        <v>3188.7908302814558</v>
      </c>
      <c r="U86" s="25">
        <v>386.25785146450971</v>
      </c>
      <c r="V86" s="25">
        <v>41050.979226357034</v>
      </c>
      <c r="W86" s="25">
        <v>837.81029414095758</v>
      </c>
      <c r="X86" s="25">
        <v>1.7251865498872525</v>
      </c>
      <c r="Y86" s="25">
        <v>1189.4109506259256</v>
      </c>
      <c r="Z86" s="25">
        <v>7474.2133507743129</v>
      </c>
      <c r="AA86" s="25">
        <v>3009.4653257028858</v>
      </c>
      <c r="AB86" s="25">
        <v>1473.2558746225345</v>
      </c>
      <c r="AC86" s="25">
        <v>1482.2181309531509</v>
      </c>
      <c r="AD86" s="25">
        <v>3363.0311421067336</v>
      </c>
      <c r="AE86" s="25">
        <v>2491.3685485728683</v>
      </c>
      <c r="AF86" s="25">
        <v>4071.2766520045138</v>
      </c>
      <c r="AG86" s="25">
        <v>2442.9109971601406</v>
      </c>
      <c r="AH86" s="25">
        <v>2290.4333751530626</v>
      </c>
      <c r="AI86" s="25">
        <v>3419.249315516377</v>
      </c>
      <c r="AJ86" s="25">
        <v>2196.5566506018281</v>
      </c>
      <c r="AK86" s="25">
        <v>3229.285592262077</v>
      </c>
      <c r="AL86" s="25">
        <v>5950.1222334326676</v>
      </c>
      <c r="AM86" s="25">
        <v>2615.7467781891364</v>
      </c>
      <c r="AN86" s="25">
        <v>872.2517804766469</v>
      </c>
      <c r="AO86" s="25">
        <v>1270.2224329061228</v>
      </c>
      <c r="AP86" s="25">
        <v>1720.7273607191914</v>
      </c>
      <c r="AQ86" s="25">
        <v>4884.6490691239387</v>
      </c>
      <c r="AR86" s="25">
        <v>797.91186307216731</v>
      </c>
      <c r="AS86" s="25">
        <v>571.67407420253312</v>
      </c>
      <c r="AT86" s="25">
        <v>664.40077454308982</v>
      </c>
      <c r="AU86" s="25">
        <v>1439.0873371289645</v>
      </c>
      <c r="AV86" s="25">
        <v>10882.295358708589</v>
      </c>
      <c r="AW86" s="25">
        <v>2927.3386266457446</v>
      </c>
      <c r="AX86" s="25">
        <v>18595.729336426732</v>
      </c>
      <c r="AY86" s="40">
        <v>6896.9237454285467</v>
      </c>
      <c r="AZ86" s="25">
        <v>1024.1055418067967</v>
      </c>
      <c r="BA86" s="25">
        <v>3522.7471692204122</v>
      </c>
      <c r="BB86" s="25">
        <v>2896.9146759394262</v>
      </c>
      <c r="BC86" s="25">
        <v>440.49755783425439</v>
      </c>
      <c r="BD86" s="25">
        <v>5506.2819301990967</v>
      </c>
      <c r="BE86" s="25">
        <v>380.87397135546854</v>
      </c>
      <c r="BF86" s="25">
        <v>1598.8233931434081</v>
      </c>
      <c r="BG86" s="25">
        <v>4872.6352480885917</v>
      </c>
      <c r="BH86" s="25">
        <v>2867.2902296639122</v>
      </c>
      <c r="BI86" s="25">
        <v>16130.831733803298</v>
      </c>
      <c r="BJ86" s="25">
        <v>3723.3740595588961</v>
      </c>
      <c r="BK86" s="25">
        <v>3130.7842822199132</v>
      </c>
      <c r="BL86" s="25">
        <v>1098.7025302112652</v>
      </c>
      <c r="BM86" s="25">
        <v>2497.4509040688718</v>
      </c>
      <c r="BN86" s="25">
        <v>903.35184667207886</v>
      </c>
      <c r="BO86" s="25">
        <v>3371.2998674713058</v>
      </c>
      <c r="BP86" s="25">
        <v>393.39569508869766</v>
      </c>
      <c r="BQ86" s="25">
        <v>14569.03006852967</v>
      </c>
      <c r="BR86" s="25">
        <v>2067.2088942815594</v>
      </c>
      <c r="BS86" s="25">
        <v>1689.5277851295245</v>
      </c>
      <c r="BT86" s="25">
        <v>2196.0871894237357</v>
      </c>
      <c r="BU86" s="25">
        <v>3526.8893925384168</v>
      </c>
      <c r="BV86" s="25">
        <v>760.87382284217074</v>
      </c>
      <c r="BW86" s="25">
        <v>3517.7722891175258</v>
      </c>
      <c r="BX86" s="25">
        <v>0</v>
      </c>
      <c r="BY86" s="25">
        <v>264194.5782852358</v>
      </c>
      <c r="BZ86" s="25">
        <v>0</v>
      </c>
      <c r="CA86" s="25">
        <v>0</v>
      </c>
      <c r="CB86" s="25">
        <v>0</v>
      </c>
      <c r="CC86" s="25">
        <v>116537.23732239142</v>
      </c>
      <c r="CD86" s="25">
        <v>38389.184392372823</v>
      </c>
      <c r="CE86" s="25">
        <v>0</v>
      </c>
      <c r="CF86" s="25">
        <v>154926.4217147642</v>
      </c>
      <c r="CG86" s="25">
        <v>419121</v>
      </c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</row>
    <row r="87" spans="1:99" s="5" customFormat="1" x14ac:dyDescent="0.3">
      <c r="A87" s="28"/>
      <c r="B87" s="12" t="s">
        <v>170</v>
      </c>
      <c r="C87" s="5">
        <v>82</v>
      </c>
      <c r="D87" s="25">
        <v>0</v>
      </c>
      <c r="E87" s="25">
        <v>0</v>
      </c>
      <c r="F87" s="25">
        <v>0</v>
      </c>
      <c r="G87" s="25">
        <v>0</v>
      </c>
      <c r="H87" s="25">
        <v>0</v>
      </c>
      <c r="I87" s="25">
        <v>0</v>
      </c>
      <c r="J87" s="25">
        <v>0</v>
      </c>
      <c r="K87" s="25">
        <v>0</v>
      </c>
      <c r="L87" s="25">
        <v>0</v>
      </c>
      <c r="M87" s="25">
        <v>0</v>
      </c>
      <c r="N87" s="25">
        <v>0</v>
      </c>
      <c r="O87" s="25">
        <v>0</v>
      </c>
      <c r="P87" s="25">
        <v>0</v>
      </c>
      <c r="Q87" s="25">
        <v>0</v>
      </c>
      <c r="R87" s="25">
        <v>0</v>
      </c>
      <c r="S87" s="25">
        <v>0</v>
      </c>
      <c r="T87" s="25">
        <v>0</v>
      </c>
      <c r="U87" s="25">
        <v>0</v>
      </c>
      <c r="V87" s="25">
        <v>0</v>
      </c>
      <c r="W87" s="25">
        <v>0</v>
      </c>
      <c r="X87" s="25">
        <v>0</v>
      </c>
      <c r="Y87" s="25">
        <v>0</v>
      </c>
      <c r="Z87" s="25">
        <v>0</v>
      </c>
      <c r="AA87" s="25">
        <v>0</v>
      </c>
      <c r="AB87" s="25">
        <v>0</v>
      </c>
      <c r="AC87" s="25">
        <v>0</v>
      </c>
      <c r="AD87" s="25">
        <v>0</v>
      </c>
      <c r="AE87" s="25">
        <v>0</v>
      </c>
      <c r="AF87" s="25">
        <v>0</v>
      </c>
      <c r="AG87" s="25">
        <v>0</v>
      </c>
      <c r="AH87" s="25">
        <v>0</v>
      </c>
      <c r="AI87" s="25">
        <v>0</v>
      </c>
      <c r="AJ87" s="25">
        <v>0</v>
      </c>
      <c r="AK87" s="25">
        <v>0</v>
      </c>
      <c r="AL87" s="25">
        <v>0</v>
      </c>
      <c r="AM87" s="25">
        <v>0</v>
      </c>
      <c r="AN87" s="25">
        <v>0</v>
      </c>
      <c r="AO87" s="25">
        <v>0</v>
      </c>
      <c r="AP87" s="25">
        <v>0</v>
      </c>
      <c r="AQ87" s="25">
        <v>0</v>
      </c>
      <c r="AR87" s="25">
        <v>0</v>
      </c>
      <c r="AS87" s="25">
        <v>0</v>
      </c>
      <c r="AT87" s="25">
        <v>0</v>
      </c>
      <c r="AU87" s="25">
        <v>0</v>
      </c>
      <c r="AV87" s="25">
        <v>0</v>
      </c>
      <c r="AW87" s="25">
        <v>0</v>
      </c>
      <c r="AX87" s="25">
        <v>0</v>
      </c>
      <c r="AY87" s="40">
        <v>0</v>
      </c>
      <c r="AZ87" s="25">
        <v>0</v>
      </c>
      <c r="BA87" s="25">
        <v>0</v>
      </c>
      <c r="BB87" s="25">
        <v>0</v>
      </c>
      <c r="BC87" s="25">
        <v>0</v>
      </c>
      <c r="BD87" s="25">
        <v>0</v>
      </c>
      <c r="BE87" s="25">
        <v>0</v>
      </c>
      <c r="BF87" s="25">
        <v>0</v>
      </c>
      <c r="BG87" s="25">
        <v>0</v>
      </c>
      <c r="BH87" s="25">
        <v>0</v>
      </c>
      <c r="BI87" s="25">
        <v>0</v>
      </c>
      <c r="BJ87" s="25">
        <v>0</v>
      </c>
      <c r="BK87" s="25">
        <v>0</v>
      </c>
      <c r="BL87" s="25">
        <v>0</v>
      </c>
      <c r="BM87" s="25">
        <v>0</v>
      </c>
      <c r="BN87" s="25">
        <v>0</v>
      </c>
      <c r="BO87" s="25">
        <v>0</v>
      </c>
      <c r="BP87" s="25">
        <v>0</v>
      </c>
      <c r="BQ87" s="25">
        <v>0</v>
      </c>
      <c r="BR87" s="25">
        <v>0</v>
      </c>
      <c r="BS87" s="25">
        <v>0</v>
      </c>
      <c r="BT87" s="25">
        <v>0</v>
      </c>
      <c r="BU87" s="25">
        <v>0</v>
      </c>
      <c r="BV87" s="25">
        <v>0</v>
      </c>
      <c r="BW87" s="25">
        <v>0</v>
      </c>
      <c r="BX87" s="25">
        <v>0</v>
      </c>
      <c r="BY87" s="25">
        <v>0</v>
      </c>
      <c r="BZ87" s="25">
        <v>0</v>
      </c>
      <c r="CA87" s="25">
        <v>0</v>
      </c>
      <c r="CB87" s="25">
        <v>0</v>
      </c>
      <c r="CC87" s="25">
        <v>0</v>
      </c>
      <c r="CD87" s="25">
        <v>0</v>
      </c>
      <c r="CE87" s="25">
        <v>0</v>
      </c>
      <c r="CF87" s="25">
        <v>0</v>
      </c>
      <c r="CG87" s="25">
        <v>0</v>
      </c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</row>
    <row r="88" spans="1:99" s="5" customFormat="1" x14ac:dyDescent="0.3">
      <c r="A88" s="28"/>
      <c r="B88" s="14" t="s">
        <v>173</v>
      </c>
      <c r="C88" s="5">
        <v>83</v>
      </c>
      <c r="D88" s="25">
        <v>188525.99999999997</v>
      </c>
      <c r="E88" s="25">
        <v>80267</v>
      </c>
      <c r="F88" s="25">
        <v>9462</v>
      </c>
      <c r="G88" s="25">
        <v>11859.999999999998</v>
      </c>
      <c r="H88" s="25">
        <v>125178</v>
      </c>
      <c r="I88" s="25">
        <v>47192.000000000015</v>
      </c>
      <c r="J88" s="25">
        <v>11249.000000000002</v>
      </c>
      <c r="K88" s="25">
        <v>246575.00000000003</v>
      </c>
      <c r="L88" s="25">
        <v>43131.000000000007</v>
      </c>
      <c r="M88" s="25">
        <v>258915.00000000003</v>
      </c>
      <c r="N88" s="25">
        <v>56464</v>
      </c>
      <c r="O88" s="25">
        <v>12112.000000000002</v>
      </c>
      <c r="P88" s="25">
        <v>38745.999999999993</v>
      </c>
      <c r="Q88" s="25">
        <v>38028</v>
      </c>
      <c r="R88" s="25">
        <v>28278</v>
      </c>
      <c r="S88" s="25">
        <v>20928.000000000004</v>
      </c>
      <c r="T88" s="25">
        <v>77815</v>
      </c>
      <c r="U88" s="25">
        <v>11073</v>
      </c>
      <c r="V88" s="25">
        <v>392642.86272642564</v>
      </c>
      <c r="W88" s="25">
        <v>9333.4371287651647</v>
      </c>
      <c r="X88" s="25">
        <v>3188.7001448092037</v>
      </c>
      <c r="Y88" s="25">
        <v>43112.999999999993</v>
      </c>
      <c r="Z88" s="25">
        <v>152809.99999999997</v>
      </c>
      <c r="AA88" s="25">
        <v>73055.999999999985</v>
      </c>
      <c r="AB88" s="25">
        <v>39256</v>
      </c>
      <c r="AC88" s="25">
        <v>41455</v>
      </c>
      <c r="AD88" s="25">
        <v>91572.000000000015</v>
      </c>
      <c r="AE88" s="25">
        <v>59131</v>
      </c>
      <c r="AF88" s="25">
        <v>115887.99999999999</v>
      </c>
      <c r="AG88" s="25">
        <v>57302</v>
      </c>
      <c r="AH88" s="25">
        <v>68611.000000000015</v>
      </c>
      <c r="AI88" s="25">
        <v>87944</v>
      </c>
      <c r="AJ88" s="25">
        <v>59911.000000000007</v>
      </c>
      <c r="AK88" s="25">
        <v>91770</v>
      </c>
      <c r="AL88" s="25">
        <v>164701.99999999997</v>
      </c>
      <c r="AM88" s="25">
        <v>75925.999999999985</v>
      </c>
      <c r="AN88" s="25">
        <v>31134</v>
      </c>
      <c r="AO88" s="25">
        <v>42507</v>
      </c>
      <c r="AP88" s="25">
        <v>51452.999999999993</v>
      </c>
      <c r="AQ88" s="25">
        <v>154436.31770694946</v>
      </c>
      <c r="AR88" s="25">
        <v>22531.896291233497</v>
      </c>
      <c r="AS88" s="25">
        <v>7774.2588205266729</v>
      </c>
      <c r="AT88" s="25">
        <v>17302.527181290381</v>
      </c>
      <c r="AU88" s="25">
        <v>31880.999999999996</v>
      </c>
      <c r="AV88" s="25">
        <v>308792.99999999994</v>
      </c>
      <c r="AW88" s="25">
        <v>77215</v>
      </c>
      <c r="AX88" s="25">
        <v>435410</v>
      </c>
      <c r="AY88" s="41">
        <f>SUM(AY79:AY87)</f>
        <v>212869.26083375048</v>
      </c>
      <c r="AZ88" s="25">
        <v>12967</v>
      </c>
      <c r="BA88" s="25">
        <v>34852.999999999993</v>
      </c>
      <c r="BB88" s="25">
        <v>59424.000000000015</v>
      </c>
      <c r="BC88" s="25">
        <v>12965</v>
      </c>
      <c r="BD88" s="25">
        <v>146427</v>
      </c>
      <c r="BE88" s="25">
        <v>9291</v>
      </c>
      <c r="BF88" s="25">
        <v>26885.999999999996</v>
      </c>
      <c r="BG88" s="25">
        <v>96935.000000000015</v>
      </c>
      <c r="BH88" s="25">
        <v>56861.000000000007</v>
      </c>
      <c r="BI88" s="25">
        <v>226346.99999999997</v>
      </c>
      <c r="BJ88" s="25">
        <v>51716</v>
      </c>
      <c r="BK88" s="25">
        <v>71737.999999999985</v>
      </c>
      <c r="BL88" s="25">
        <v>23892</v>
      </c>
      <c r="BM88" s="25">
        <v>66006</v>
      </c>
      <c r="BN88" s="25">
        <v>18328.000000000004</v>
      </c>
      <c r="BO88" s="25">
        <v>85055.999999999985</v>
      </c>
      <c r="BP88" s="25">
        <v>7980.9999999999982</v>
      </c>
      <c r="BQ88" s="25">
        <v>242741.00000000003</v>
      </c>
      <c r="BR88" s="25">
        <v>55962.000000000007</v>
      </c>
      <c r="BS88" s="25">
        <v>40553</v>
      </c>
      <c r="BT88" s="25">
        <v>68487</v>
      </c>
      <c r="BU88" s="25">
        <v>133095</v>
      </c>
      <c r="BV88" s="25">
        <v>17382.000000000004</v>
      </c>
      <c r="BW88" s="25">
        <v>85520</v>
      </c>
      <c r="BX88" s="25">
        <v>0</v>
      </c>
      <c r="BY88" s="25">
        <v>5998860.0000000009</v>
      </c>
      <c r="BZ88" s="25">
        <v>1025056</v>
      </c>
      <c r="CA88" s="25">
        <v>1393480</v>
      </c>
      <c r="CB88" s="25">
        <v>102253</v>
      </c>
      <c r="CC88" s="25">
        <v>4423548</v>
      </c>
      <c r="CD88" s="25">
        <v>1057409</v>
      </c>
      <c r="CE88" s="25">
        <v>-131</v>
      </c>
      <c r="CF88" s="25">
        <v>8001615</v>
      </c>
      <c r="CG88" s="25">
        <v>14000475</v>
      </c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</row>
    <row r="89" spans="1:99" s="5" customFormat="1" x14ac:dyDescent="0.3">
      <c r="A89" s="66" t="s">
        <v>174</v>
      </c>
      <c r="B89" s="67" t="s">
        <v>175</v>
      </c>
      <c r="C89" s="5">
        <v>84</v>
      </c>
      <c r="D89" s="46">
        <v>34356</v>
      </c>
      <c r="E89" s="46">
        <v>22217</v>
      </c>
      <c r="F89" s="46">
        <v>2255</v>
      </c>
      <c r="G89" s="46">
        <v>4126</v>
      </c>
      <c r="H89" s="46">
        <v>16917</v>
      </c>
      <c r="I89" s="46">
        <v>4502</v>
      </c>
      <c r="J89" s="46">
        <v>2607</v>
      </c>
      <c r="K89" s="46">
        <v>30117</v>
      </c>
      <c r="L89" s="46">
        <v>8690</v>
      </c>
      <c r="M89" s="46">
        <v>35422</v>
      </c>
      <c r="N89" s="46">
        <v>9953</v>
      </c>
      <c r="O89" s="46">
        <v>1711</v>
      </c>
      <c r="P89" s="46">
        <v>11262</v>
      </c>
      <c r="Q89" s="46">
        <v>18543</v>
      </c>
      <c r="R89" s="46">
        <v>11048</v>
      </c>
      <c r="S89" s="46">
        <v>6644</v>
      </c>
      <c r="T89" s="46">
        <v>14028</v>
      </c>
      <c r="U89" s="46">
        <v>5664</v>
      </c>
      <c r="V89" s="25">
        <v>8644.8181295614868</v>
      </c>
      <c r="W89" s="25">
        <v>222.30000000000032</v>
      </c>
      <c r="X89" s="25">
        <v>24.88187043851331</v>
      </c>
      <c r="Y89" s="46">
        <v>7013</v>
      </c>
      <c r="Z89" s="46">
        <v>12903</v>
      </c>
      <c r="AA89" s="46">
        <v>9380</v>
      </c>
      <c r="AB89" s="46">
        <v>6854</v>
      </c>
      <c r="AC89" s="46">
        <v>12695</v>
      </c>
      <c r="AD89" s="46">
        <v>22917</v>
      </c>
      <c r="AE89" s="46">
        <v>19150</v>
      </c>
      <c r="AF89" s="46">
        <v>13401</v>
      </c>
      <c r="AG89" s="46">
        <v>6247</v>
      </c>
      <c r="AH89" s="46">
        <v>22042</v>
      </c>
      <c r="AI89" s="46">
        <v>9775</v>
      </c>
      <c r="AJ89" s="46">
        <v>14631</v>
      </c>
      <c r="AK89" s="46">
        <v>27620</v>
      </c>
      <c r="AL89" s="46">
        <v>20483</v>
      </c>
      <c r="AM89" s="46">
        <v>20855</v>
      </c>
      <c r="AN89" s="46">
        <v>8257</v>
      </c>
      <c r="AO89" s="46">
        <v>16648</v>
      </c>
      <c r="AP89" s="46">
        <v>13057</v>
      </c>
      <c r="AQ89" s="25">
        <v>14489.444041966393</v>
      </c>
      <c r="AR89" s="25">
        <v>1691.8721627726568</v>
      </c>
      <c r="AS89" s="25">
        <v>1627.8644560257585</v>
      </c>
      <c r="AT89" s="25">
        <v>3685.8193392351923</v>
      </c>
      <c r="AU89" s="46">
        <v>22993</v>
      </c>
      <c r="AV89" s="46">
        <v>104570</v>
      </c>
      <c r="AW89" s="46">
        <v>49181</v>
      </c>
      <c r="AX89" s="46">
        <v>352528</v>
      </c>
      <c r="AY89" s="48">
        <f>AY90+AY91+AY94</f>
        <v>87877</v>
      </c>
      <c r="AZ89" s="46">
        <v>5137</v>
      </c>
      <c r="BA89" s="46">
        <v>7492</v>
      </c>
      <c r="BB89" s="46">
        <v>44037</v>
      </c>
      <c r="BC89" s="46">
        <v>11307</v>
      </c>
      <c r="BD89" s="46">
        <v>60116</v>
      </c>
      <c r="BE89" s="46">
        <v>6798</v>
      </c>
      <c r="BF89" s="46">
        <v>11678</v>
      </c>
      <c r="BG89" s="46">
        <v>19212</v>
      </c>
      <c r="BH89" s="46">
        <v>57187</v>
      </c>
      <c r="BI89" s="46">
        <v>165217</v>
      </c>
      <c r="BJ89" s="46">
        <v>7923</v>
      </c>
      <c r="BK89" s="46">
        <v>61939</v>
      </c>
      <c r="BL89" s="46">
        <v>18585</v>
      </c>
      <c r="BM89" s="46">
        <v>15429</v>
      </c>
      <c r="BN89" s="46">
        <v>11344</v>
      </c>
      <c r="BO89" s="46">
        <v>118404</v>
      </c>
      <c r="BP89" s="46">
        <v>31074</v>
      </c>
      <c r="BQ89" s="46">
        <v>528703</v>
      </c>
      <c r="BR89" s="46">
        <v>282090</v>
      </c>
      <c r="BS89" s="46">
        <v>89933</v>
      </c>
      <c r="BT89" s="46">
        <v>127700</v>
      </c>
      <c r="BU89" s="46">
        <v>89831</v>
      </c>
      <c r="BV89" s="46">
        <v>13265</v>
      </c>
      <c r="BW89" s="46">
        <v>45395</v>
      </c>
      <c r="BX89" s="46">
        <v>74451</v>
      </c>
      <c r="BY89" s="25">
        <v>3055773</v>
      </c>
      <c r="BZ89" s="25">
        <v>0</v>
      </c>
      <c r="CA89" s="25">
        <v>0</v>
      </c>
      <c r="CB89" s="25">
        <v>0</v>
      </c>
      <c r="CC89" s="25">
        <v>0</v>
      </c>
      <c r="CD89" s="25">
        <v>0</v>
      </c>
      <c r="CE89" s="25">
        <v>0</v>
      </c>
      <c r="CF89" s="25">
        <v>0</v>
      </c>
      <c r="CG89" s="25">
        <v>3055773</v>
      </c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</row>
    <row r="90" spans="1:99" s="5" customFormat="1" x14ac:dyDescent="0.3">
      <c r="A90" s="28" t="s">
        <v>176</v>
      </c>
      <c r="B90" s="14" t="s">
        <v>177</v>
      </c>
      <c r="C90" s="5">
        <v>85</v>
      </c>
      <c r="D90" s="46">
        <v>29230</v>
      </c>
      <c r="E90" s="46">
        <v>19506</v>
      </c>
      <c r="F90" s="46">
        <v>1981</v>
      </c>
      <c r="G90" s="46">
        <v>3307</v>
      </c>
      <c r="H90" s="46">
        <v>12359</v>
      </c>
      <c r="I90" s="46">
        <v>3581</v>
      </c>
      <c r="J90" s="46">
        <v>2011</v>
      </c>
      <c r="K90" s="46">
        <v>23432</v>
      </c>
      <c r="L90" s="46">
        <v>6252</v>
      </c>
      <c r="M90" s="46">
        <v>27911</v>
      </c>
      <c r="N90" s="46">
        <v>7718</v>
      </c>
      <c r="O90" s="46">
        <v>1309</v>
      </c>
      <c r="P90" s="46">
        <v>9222</v>
      </c>
      <c r="Q90" s="46">
        <v>14743</v>
      </c>
      <c r="R90" s="46">
        <v>9151</v>
      </c>
      <c r="S90" s="46">
        <v>5395</v>
      </c>
      <c r="T90" s="46">
        <v>11059</v>
      </c>
      <c r="U90" s="46">
        <v>4600</v>
      </c>
      <c r="V90" s="25">
        <v>6069.455643595632</v>
      </c>
      <c r="W90" s="25">
        <v>156.07500000000022</v>
      </c>
      <c r="X90" s="25">
        <v>17.469356404367815</v>
      </c>
      <c r="Y90" s="46">
        <v>5622</v>
      </c>
      <c r="Z90" s="46">
        <v>9758</v>
      </c>
      <c r="AA90" s="46">
        <v>7225</v>
      </c>
      <c r="AB90" s="46">
        <v>5400</v>
      </c>
      <c r="AC90" s="46">
        <v>9702</v>
      </c>
      <c r="AD90" s="46">
        <v>17824</v>
      </c>
      <c r="AE90" s="46">
        <v>15527</v>
      </c>
      <c r="AF90" s="46">
        <v>10413</v>
      </c>
      <c r="AG90" s="46">
        <v>5015</v>
      </c>
      <c r="AH90" s="46">
        <v>17453</v>
      </c>
      <c r="AI90" s="46">
        <v>7775</v>
      </c>
      <c r="AJ90" s="46">
        <v>11477</v>
      </c>
      <c r="AK90" s="46">
        <v>21904</v>
      </c>
      <c r="AL90" s="46">
        <v>15859</v>
      </c>
      <c r="AM90" s="46">
        <v>17465</v>
      </c>
      <c r="AN90" s="46">
        <v>6659</v>
      </c>
      <c r="AO90" s="46">
        <v>13658</v>
      </c>
      <c r="AP90" s="46">
        <v>10523</v>
      </c>
      <c r="AQ90" s="25">
        <v>10400.44810995578</v>
      </c>
      <c r="AR90" s="25">
        <v>1214.4171016245323</v>
      </c>
      <c r="AS90" s="25">
        <v>1168.4727002568704</v>
      </c>
      <c r="AT90" s="25">
        <v>2645.6620881628182</v>
      </c>
      <c r="AU90" s="46">
        <v>17320</v>
      </c>
      <c r="AV90" s="46">
        <v>85935</v>
      </c>
      <c r="AW90" s="46">
        <v>40106</v>
      </c>
      <c r="AX90" s="46">
        <v>279452</v>
      </c>
      <c r="AY90" s="47">
        <v>71610</v>
      </c>
      <c r="AZ90" s="46">
        <v>4217</v>
      </c>
      <c r="BA90" s="46">
        <v>6119</v>
      </c>
      <c r="BB90" s="46">
        <v>34067</v>
      </c>
      <c r="BC90" s="46">
        <v>9520</v>
      </c>
      <c r="BD90" s="46">
        <v>50603</v>
      </c>
      <c r="BE90" s="46">
        <v>5563</v>
      </c>
      <c r="BF90" s="46">
        <v>9857</v>
      </c>
      <c r="BG90" s="46">
        <v>14372</v>
      </c>
      <c r="BH90" s="46">
        <v>45370</v>
      </c>
      <c r="BI90" s="46">
        <v>127124</v>
      </c>
      <c r="BJ90" s="46">
        <v>6253</v>
      </c>
      <c r="BK90" s="46">
        <v>50719</v>
      </c>
      <c r="BL90" s="46">
        <v>14886</v>
      </c>
      <c r="BM90" s="46">
        <v>12362</v>
      </c>
      <c r="BN90" s="46">
        <v>8992</v>
      </c>
      <c r="BO90" s="46">
        <v>95075</v>
      </c>
      <c r="BP90" s="46">
        <v>24376</v>
      </c>
      <c r="BQ90" s="46">
        <v>381003</v>
      </c>
      <c r="BR90" s="46">
        <v>227721</v>
      </c>
      <c r="BS90" s="46">
        <v>74374</v>
      </c>
      <c r="BT90" s="46">
        <v>102765</v>
      </c>
      <c r="BU90" s="46">
        <v>77743</v>
      </c>
      <c r="BV90" s="46">
        <v>11518</v>
      </c>
      <c r="BW90" s="46">
        <v>38820</v>
      </c>
      <c r="BX90" s="46">
        <v>70758</v>
      </c>
      <c r="BY90" s="25">
        <v>2422298</v>
      </c>
      <c r="BZ90" s="25">
        <v>0</v>
      </c>
      <c r="CA90" s="25">
        <v>0</v>
      </c>
      <c r="CB90" s="25">
        <v>0</v>
      </c>
      <c r="CC90" s="25">
        <v>0</v>
      </c>
      <c r="CD90" s="25">
        <v>0</v>
      </c>
      <c r="CE90" s="25">
        <v>0</v>
      </c>
      <c r="CF90" s="25">
        <v>0</v>
      </c>
      <c r="CG90" s="25">
        <v>2422298</v>
      </c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</row>
    <row r="91" spans="1:99" s="5" customFormat="1" x14ac:dyDescent="0.3">
      <c r="A91" s="28" t="s">
        <v>178</v>
      </c>
      <c r="B91" s="14" t="s">
        <v>179</v>
      </c>
      <c r="C91" s="5">
        <v>86</v>
      </c>
      <c r="D91" s="46">
        <v>5126</v>
      </c>
      <c r="E91" s="46">
        <v>2711</v>
      </c>
      <c r="F91" s="46">
        <v>274</v>
      </c>
      <c r="G91" s="46">
        <v>819</v>
      </c>
      <c r="H91" s="46">
        <v>4558</v>
      </c>
      <c r="I91" s="46">
        <v>921</v>
      </c>
      <c r="J91" s="46">
        <v>596</v>
      </c>
      <c r="K91" s="46">
        <v>6685</v>
      </c>
      <c r="L91" s="46">
        <v>2438</v>
      </c>
      <c r="M91" s="46">
        <v>7511</v>
      </c>
      <c r="N91" s="46">
        <v>2235</v>
      </c>
      <c r="O91" s="46">
        <v>402</v>
      </c>
      <c r="P91" s="46">
        <v>2040</v>
      </c>
      <c r="Q91" s="46">
        <v>3800</v>
      </c>
      <c r="R91" s="46">
        <v>1897</v>
      </c>
      <c r="S91" s="46">
        <v>1249</v>
      </c>
      <c r="T91" s="46">
        <v>2969</v>
      </c>
      <c r="U91" s="46">
        <v>1064</v>
      </c>
      <c r="V91" s="25">
        <v>2575.3624859658544</v>
      </c>
      <c r="W91" s="25">
        <v>66.225000000000094</v>
      </c>
      <c r="X91" s="25">
        <v>7.4125140341454969</v>
      </c>
      <c r="Y91" s="46">
        <v>1391</v>
      </c>
      <c r="Z91" s="46">
        <v>3145</v>
      </c>
      <c r="AA91" s="46">
        <v>2155</v>
      </c>
      <c r="AB91" s="46">
        <v>1454</v>
      </c>
      <c r="AC91" s="46">
        <v>2993</v>
      </c>
      <c r="AD91" s="46">
        <v>5093</v>
      </c>
      <c r="AE91" s="46">
        <v>3623</v>
      </c>
      <c r="AF91" s="46">
        <v>2988</v>
      </c>
      <c r="AG91" s="46">
        <v>1232</v>
      </c>
      <c r="AH91" s="46">
        <v>4589</v>
      </c>
      <c r="AI91" s="46">
        <v>2000</v>
      </c>
      <c r="AJ91" s="46">
        <v>3154</v>
      </c>
      <c r="AK91" s="46">
        <v>5716</v>
      </c>
      <c r="AL91" s="46">
        <v>4624</v>
      </c>
      <c r="AM91" s="46">
        <v>3390</v>
      </c>
      <c r="AN91" s="46">
        <v>1598</v>
      </c>
      <c r="AO91" s="46">
        <v>2990</v>
      </c>
      <c r="AP91" s="46">
        <v>2534</v>
      </c>
      <c r="AQ91" s="25">
        <v>4088.9959320106136</v>
      </c>
      <c r="AR91" s="25">
        <v>477.45506114812451</v>
      </c>
      <c r="AS91" s="25">
        <v>459.39175576888817</v>
      </c>
      <c r="AT91" s="25">
        <v>1040.1572510723738</v>
      </c>
      <c r="AU91" s="46">
        <v>5673</v>
      </c>
      <c r="AV91" s="46">
        <v>18635</v>
      </c>
      <c r="AW91" s="46">
        <v>9075</v>
      </c>
      <c r="AX91" s="46">
        <v>73076</v>
      </c>
      <c r="AY91" s="47">
        <f>SUM(AY92:AY93)</f>
        <v>16267</v>
      </c>
      <c r="AZ91" s="46">
        <v>920</v>
      </c>
      <c r="BA91" s="46">
        <v>1373</v>
      </c>
      <c r="BB91" s="46">
        <v>9970</v>
      </c>
      <c r="BC91" s="46">
        <v>1787</v>
      </c>
      <c r="BD91" s="46">
        <v>9513</v>
      </c>
      <c r="BE91" s="46">
        <v>1235</v>
      </c>
      <c r="BF91" s="46">
        <v>1821</v>
      </c>
      <c r="BG91" s="46">
        <v>4840</v>
      </c>
      <c r="BH91" s="46">
        <v>11817</v>
      </c>
      <c r="BI91" s="46">
        <v>38093</v>
      </c>
      <c r="BJ91" s="46">
        <v>1670</v>
      </c>
      <c r="BK91" s="46">
        <v>11220</v>
      </c>
      <c r="BL91" s="46">
        <v>3699</v>
      </c>
      <c r="BM91" s="46">
        <v>3067</v>
      </c>
      <c r="BN91" s="46">
        <v>2352</v>
      </c>
      <c r="BO91" s="46">
        <v>23329</v>
      </c>
      <c r="BP91" s="46">
        <v>6698</v>
      </c>
      <c r="BQ91" s="46">
        <v>64857</v>
      </c>
      <c r="BR91" s="46">
        <v>47663</v>
      </c>
      <c r="BS91" s="46">
        <v>15559</v>
      </c>
      <c r="BT91" s="46">
        <v>17672</v>
      </c>
      <c r="BU91" s="46">
        <v>12088</v>
      </c>
      <c r="BV91" s="46">
        <v>1747</v>
      </c>
      <c r="BW91" s="46">
        <v>6575</v>
      </c>
      <c r="BX91" s="46">
        <v>3693</v>
      </c>
      <c r="BY91" s="25">
        <v>536663</v>
      </c>
      <c r="BZ91" s="25">
        <v>0</v>
      </c>
      <c r="CA91" s="25">
        <v>0</v>
      </c>
      <c r="CB91" s="25">
        <v>0</v>
      </c>
      <c r="CC91" s="25">
        <v>0</v>
      </c>
      <c r="CD91" s="25">
        <v>0</v>
      </c>
      <c r="CE91" s="25">
        <v>0</v>
      </c>
      <c r="CF91" s="25">
        <v>0</v>
      </c>
      <c r="CG91" s="25">
        <v>536663</v>
      </c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</row>
    <row r="92" spans="1:99" s="5" customFormat="1" x14ac:dyDescent="0.3">
      <c r="A92" s="28"/>
      <c r="B92" s="18" t="s">
        <v>180</v>
      </c>
      <c r="C92" s="5">
        <v>87</v>
      </c>
      <c r="D92" s="46">
        <v>5123</v>
      </c>
      <c r="E92" s="46">
        <v>2698</v>
      </c>
      <c r="F92" s="46">
        <v>272</v>
      </c>
      <c r="G92" s="46">
        <v>806</v>
      </c>
      <c r="H92" s="46">
        <v>3536</v>
      </c>
      <c r="I92" s="46">
        <v>884</v>
      </c>
      <c r="J92" s="46">
        <v>566</v>
      </c>
      <c r="K92" s="46">
        <v>6513</v>
      </c>
      <c r="L92" s="46">
        <v>2394</v>
      </c>
      <c r="M92" s="46">
        <v>7273</v>
      </c>
      <c r="N92" s="46">
        <v>2148</v>
      </c>
      <c r="O92" s="46">
        <v>367</v>
      </c>
      <c r="P92" s="46">
        <v>1996</v>
      </c>
      <c r="Q92" s="46">
        <v>3739</v>
      </c>
      <c r="R92" s="46">
        <v>1856</v>
      </c>
      <c r="S92" s="46">
        <v>1182</v>
      </c>
      <c r="T92" s="46">
        <v>2686</v>
      </c>
      <c r="U92" s="46">
        <v>1025</v>
      </c>
      <c r="V92" s="25">
        <v>1824.8227203314104</v>
      </c>
      <c r="W92" s="25">
        <v>46.925000000000907</v>
      </c>
      <c r="X92" s="25">
        <v>5.252279668588554</v>
      </c>
      <c r="Y92" s="46">
        <v>1350</v>
      </c>
      <c r="Z92" s="46">
        <v>2868</v>
      </c>
      <c r="AA92" s="46">
        <v>1980</v>
      </c>
      <c r="AB92" s="46">
        <v>1412</v>
      </c>
      <c r="AC92" s="46">
        <v>2814</v>
      </c>
      <c r="AD92" s="46">
        <v>4943</v>
      </c>
      <c r="AE92" s="46">
        <v>3466</v>
      </c>
      <c r="AF92" s="46">
        <v>2727</v>
      </c>
      <c r="AG92" s="46">
        <v>1168</v>
      </c>
      <c r="AH92" s="46">
        <v>4470</v>
      </c>
      <c r="AI92" s="46">
        <v>1937</v>
      </c>
      <c r="AJ92" s="46">
        <v>3036</v>
      </c>
      <c r="AK92" s="46">
        <v>5460</v>
      </c>
      <c r="AL92" s="46">
        <v>4407</v>
      </c>
      <c r="AM92" s="46">
        <v>3257</v>
      </c>
      <c r="AN92" s="46">
        <v>1477</v>
      </c>
      <c r="AO92" s="46">
        <v>2905</v>
      </c>
      <c r="AP92" s="46">
        <v>2436</v>
      </c>
      <c r="AQ92" s="25">
        <v>3142.581443295991</v>
      </c>
      <c r="AR92" s="25">
        <v>366.9461745915853</v>
      </c>
      <c r="AS92" s="25">
        <v>353.06369360279535</v>
      </c>
      <c r="AT92" s="25">
        <v>799.40868850962852</v>
      </c>
      <c r="AU92" s="46">
        <v>5109</v>
      </c>
      <c r="AV92" s="46">
        <v>18183</v>
      </c>
      <c r="AW92" s="46">
        <v>8959</v>
      </c>
      <c r="AX92" s="46">
        <v>71753</v>
      </c>
      <c r="AY92" s="47">
        <v>15650</v>
      </c>
      <c r="AZ92" s="46">
        <v>881</v>
      </c>
      <c r="BA92" s="46">
        <v>1333</v>
      </c>
      <c r="BB92" s="46">
        <v>8842</v>
      </c>
      <c r="BC92" s="46">
        <v>1736</v>
      </c>
      <c r="BD92" s="46">
        <v>9380</v>
      </c>
      <c r="BE92" s="46">
        <v>1198</v>
      </c>
      <c r="BF92" s="46">
        <v>1745</v>
      </c>
      <c r="BG92" s="46">
        <v>3960</v>
      </c>
      <c r="BH92" s="46">
        <v>11081</v>
      </c>
      <c r="BI92" s="46">
        <v>32184</v>
      </c>
      <c r="BJ92" s="46">
        <v>1614</v>
      </c>
      <c r="BK92" s="46">
        <v>10153</v>
      </c>
      <c r="BL92" s="46">
        <v>3565</v>
      </c>
      <c r="BM92" s="46">
        <v>3015</v>
      </c>
      <c r="BN92" s="46">
        <v>2297</v>
      </c>
      <c r="BO92" s="46">
        <v>22948</v>
      </c>
      <c r="BP92" s="46">
        <v>6601</v>
      </c>
      <c r="BQ92" s="46">
        <v>64134</v>
      </c>
      <c r="BR92" s="46">
        <v>47469</v>
      </c>
      <c r="BS92" s="46">
        <v>15429</v>
      </c>
      <c r="BT92" s="46">
        <v>17649</v>
      </c>
      <c r="BU92" s="46">
        <v>11939</v>
      </c>
      <c r="BV92" s="46">
        <v>1701</v>
      </c>
      <c r="BW92" s="46">
        <v>6456</v>
      </c>
      <c r="BX92" s="46">
        <v>3693</v>
      </c>
      <c r="BY92" s="25">
        <v>514373</v>
      </c>
      <c r="BZ92" s="25">
        <v>0</v>
      </c>
      <c r="CA92" s="25">
        <v>0</v>
      </c>
      <c r="CB92" s="25">
        <v>0</v>
      </c>
      <c r="CC92" s="25">
        <v>0</v>
      </c>
      <c r="CD92" s="25">
        <v>0</v>
      </c>
      <c r="CE92" s="25">
        <v>0</v>
      </c>
      <c r="CF92" s="25">
        <v>0</v>
      </c>
      <c r="CG92" s="25">
        <v>514373</v>
      </c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</row>
    <row r="93" spans="1:99" s="5" customFormat="1" x14ac:dyDescent="0.3">
      <c r="A93" s="28"/>
      <c r="B93" s="14" t="s">
        <v>181</v>
      </c>
      <c r="C93" s="5">
        <v>88</v>
      </c>
      <c r="D93" s="46">
        <v>3</v>
      </c>
      <c r="E93" s="46">
        <v>13</v>
      </c>
      <c r="F93" s="46">
        <v>2</v>
      </c>
      <c r="G93" s="46">
        <v>13</v>
      </c>
      <c r="H93" s="46">
        <v>1022</v>
      </c>
      <c r="I93" s="46">
        <v>37</v>
      </c>
      <c r="J93" s="46">
        <v>30</v>
      </c>
      <c r="K93" s="46">
        <v>172</v>
      </c>
      <c r="L93" s="46">
        <v>44</v>
      </c>
      <c r="M93" s="46">
        <v>238</v>
      </c>
      <c r="N93" s="46">
        <v>87</v>
      </c>
      <c r="O93" s="46">
        <v>35</v>
      </c>
      <c r="P93" s="46">
        <v>44</v>
      </c>
      <c r="Q93" s="46">
        <v>61</v>
      </c>
      <c r="R93" s="46">
        <v>41</v>
      </c>
      <c r="S93" s="46">
        <v>67</v>
      </c>
      <c r="T93" s="46">
        <v>283</v>
      </c>
      <c r="U93" s="46">
        <v>39</v>
      </c>
      <c r="V93" s="25">
        <v>750.53976563444269</v>
      </c>
      <c r="W93" s="25">
        <v>19.300000000000029</v>
      </c>
      <c r="X93" s="25">
        <v>2.1602343655569332</v>
      </c>
      <c r="Y93" s="46">
        <v>41</v>
      </c>
      <c r="Z93" s="46">
        <v>277</v>
      </c>
      <c r="AA93" s="46">
        <v>175</v>
      </c>
      <c r="AB93" s="46">
        <v>42</v>
      </c>
      <c r="AC93" s="46">
        <v>179</v>
      </c>
      <c r="AD93" s="46">
        <v>150</v>
      </c>
      <c r="AE93" s="46">
        <v>157</v>
      </c>
      <c r="AF93" s="46">
        <v>261</v>
      </c>
      <c r="AG93" s="46">
        <v>64</v>
      </c>
      <c r="AH93" s="46">
        <v>119</v>
      </c>
      <c r="AI93" s="46">
        <v>63</v>
      </c>
      <c r="AJ93" s="46">
        <v>118</v>
      </c>
      <c r="AK93" s="46">
        <v>256</v>
      </c>
      <c r="AL93" s="46">
        <v>217</v>
      </c>
      <c r="AM93" s="46">
        <v>133</v>
      </c>
      <c r="AN93" s="46">
        <v>121</v>
      </c>
      <c r="AO93" s="46">
        <v>85</v>
      </c>
      <c r="AP93" s="46">
        <v>98</v>
      </c>
      <c r="AQ93" s="25">
        <v>946.41448871462273</v>
      </c>
      <c r="AR93" s="25">
        <v>110.50888655653921</v>
      </c>
      <c r="AS93" s="25">
        <v>106.32806216609282</v>
      </c>
      <c r="AT93" s="25">
        <v>240.74856256274529</v>
      </c>
      <c r="AU93" s="46">
        <v>564</v>
      </c>
      <c r="AV93" s="46">
        <v>452</v>
      </c>
      <c r="AW93" s="46">
        <v>116</v>
      </c>
      <c r="AX93" s="46">
        <v>1323</v>
      </c>
      <c r="AY93" s="47">
        <v>617</v>
      </c>
      <c r="AZ93" s="46">
        <v>39</v>
      </c>
      <c r="BA93" s="46">
        <v>40</v>
      </c>
      <c r="BB93" s="46">
        <v>1128</v>
      </c>
      <c r="BC93" s="46">
        <v>51</v>
      </c>
      <c r="BD93" s="46">
        <v>133</v>
      </c>
      <c r="BE93" s="46">
        <v>37</v>
      </c>
      <c r="BF93" s="46">
        <v>76</v>
      </c>
      <c r="BG93" s="46">
        <v>880</v>
      </c>
      <c r="BH93" s="46">
        <v>736</v>
      </c>
      <c r="BI93" s="46">
        <v>5909</v>
      </c>
      <c r="BJ93" s="46">
        <v>56</v>
      </c>
      <c r="BK93" s="46">
        <v>1067</v>
      </c>
      <c r="BL93" s="46">
        <v>134</v>
      </c>
      <c r="BM93" s="46">
        <v>52</v>
      </c>
      <c r="BN93" s="46">
        <v>55</v>
      </c>
      <c r="BO93" s="46">
        <v>381</v>
      </c>
      <c r="BP93" s="46">
        <v>97</v>
      </c>
      <c r="BQ93" s="46">
        <v>723</v>
      </c>
      <c r="BR93" s="46">
        <v>194</v>
      </c>
      <c r="BS93" s="46">
        <v>130</v>
      </c>
      <c r="BT93" s="46">
        <v>23</v>
      </c>
      <c r="BU93" s="46">
        <v>149</v>
      </c>
      <c r="BV93" s="46">
        <v>46</v>
      </c>
      <c r="BW93" s="46">
        <v>119</v>
      </c>
      <c r="BX93" s="46">
        <v>0</v>
      </c>
      <c r="BY93" s="25">
        <v>22290</v>
      </c>
      <c r="BZ93" s="25">
        <v>0</v>
      </c>
      <c r="CA93" s="25">
        <v>0</v>
      </c>
      <c r="CB93" s="25">
        <v>0</v>
      </c>
      <c r="CC93" s="25">
        <v>0</v>
      </c>
      <c r="CD93" s="25">
        <v>0</v>
      </c>
      <c r="CE93" s="25">
        <v>0</v>
      </c>
      <c r="CF93" s="25">
        <v>0</v>
      </c>
      <c r="CG93" s="25">
        <v>22290</v>
      </c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</row>
    <row r="94" spans="1:99" s="5" customFormat="1" x14ac:dyDescent="0.3">
      <c r="A94" s="28" t="s">
        <v>182</v>
      </c>
      <c r="B94" s="14" t="s">
        <v>183</v>
      </c>
      <c r="C94" s="5">
        <v>89</v>
      </c>
      <c r="D94" s="46">
        <v>0</v>
      </c>
      <c r="E94" s="46">
        <v>0</v>
      </c>
      <c r="F94" s="46">
        <v>0</v>
      </c>
      <c r="G94" s="46">
        <v>0</v>
      </c>
      <c r="H94" s="46">
        <v>0</v>
      </c>
      <c r="I94" s="46">
        <v>0</v>
      </c>
      <c r="J94" s="46">
        <v>0</v>
      </c>
      <c r="K94" s="46">
        <v>0</v>
      </c>
      <c r="L94" s="46">
        <v>0</v>
      </c>
      <c r="M94" s="46">
        <v>0</v>
      </c>
      <c r="N94" s="46">
        <v>0</v>
      </c>
      <c r="O94" s="46">
        <v>0</v>
      </c>
      <c r="P94" s="46">
        <v>0</v>
      </c>
      <c r="Q94" s="46">
        <v>0</v>
      </c>
      <c r="R94" s="46">
        <v>0</v>
      </c>
      <c r="S94" s="46">
        <v>0</v>
      </c>
      <c r="T94" s="46">
        <v>0</v>
      </c>
      <c r="U94" s="46">
        <v>0</v>
      </c>
      <c r="V94" s="25">
        <v>0</v>
      </c>
      <c r="W94" s="25">
        <v>0</v>
      </c>
      <c r="X94" s="25">
        <v>0</v>
      </c>
      <c r="Y94" s="46">
        <v>0</v>
      </c>
      <c r="Z94" s="46">
        <v>0</v>
      </c>
      <c r="AA94" s="46">
        <v>0</v>
      </c>
      <c r="AB94" s="46">
        <v>0</v>
      </c>
      <c r="AC94" s="46">
        <v>0</v>
      </c>
      <c r="AD94" s="46">
        <v>0</v>
      </c>
      <c r="AE94" s="46">
        <v>0</v>
      </c>
      <c r="AF94" s="46">
        <v>0</v>
      </c>
      <c r="AG94" s="46">
        <v>0</v>
      </c>
      <c r="AH94" s="46">
        <v>0</v>
      </c>
      <c r="AI94" s="46">
        <v>0</v>
      </c>
      <c r="AJ94" s="46">
        <v>0</v>
      </c>
      <c r="AK94" s="46">
        <v>0</v>
      </c>
      <c r="AL94" s="46">
        <v>0</v>
      </c>
      <c r="AM94" s="46">
        <v>0</v>
      </c>
      <c r="AN94" s="46">
        <v>0</v>
      </c>
      <c r="AO94" s="46">
        <v>0</v>
      </c>
      <c r="AP94" s="46">
        <v>0</v>
      </c>
      <c r="AQ94" s="25">
        <v>0</v>
      </c>
      <c r="AR94" s="25">
        <v>0</v>
      </c>
      <c r="AS94" s="25">
        <v>0</v>
      </c>
      <c r="AT94" s="25">
        <v>0</v>
      </c>
      <c r="AU94" s="46">
        <v>0</v>
      </c>
      <c r="AV94" s="46">
        <v>0</v>
      </c>
      <c r="AW94" s="46">
        <v>0</v>
      </c>
      <c r="AX94" s="46">
        <v>0</v>
      </c>
      <c r="AY94" s="47">
        <v>0</v>
      </c>
      <c r="AZ94" s="46">
        <v>0</v>
      </c>
      <c r="BA94" s="46">
        <v>0</v>
      </c>
      <c r="BB94" s="46">
        <v>0</v>
      </c>
      <c r="BC94" s="46">
        <v>0</v>
      </c>
      <c r="BD94" s="46">
        <v>0</v>
      </c>
      <c r="BE94" s="46">
        <v>0</v>
      </c>
      <c r="BF94" s="46">
        <v>0</v>
      </c>
      <c r="BG94" s="46">
        <v>0</v>
      </c>
      <c r="BH94" s="46">
        <v>0</v>
      </c>
      <c r="BI94" s="46">
        <v>0</v>
      </c>
      <c r="BJ94" s="46">
        <v>0</v>
      </c>
      <c r="BK94" s="46">
        <v>0</v>
      </c>
      <c r="BL94" s="46">
        <v>0</v>
      </c>
      <c r="BM94" s="46">
        <v>0</v>
      </c>
      <c r="BN94" s="46">
        <v>0</v>
      </c>
      <c r="BO94" s="46">
        <v>0</v>
      </c>
      <c r="BP94" s="46">
        <v>0</v>
      </c>
      <c r="BQ94" s="46">
        <v>82843</v>
      </c>
      <c r="BR94" s="46">
        <v>6706</v>
      </c>
      <c r="BS94" s="46">
        <v>0</v>
      </c>
      <c r="BT94" s="46">
        <v>7263</v>
      </c>
      <c r="BU94" s="46">
        <v>0</v>
      </c>
      <c r="BV94" s="46">
        <v>0</v>
      </c>
      <c r="BW94" s="46">
        <v>0</v>
      </c>
      <c r="BX94" s="46">
        <v>0</v>
      </c>
      <c r="BY94" s="25">
        <v>96812</v>
      </c>
      <c r="BZ94" s="25">
        <v>0</v>
      </c>
      <c r="CA94" s="25">
        <v>0</v>
      </c>
      <c r="CB94" s="25">
        <v>0</v>
      </c>
      <c r="CC94" s="25">
        <v>0</v>
      </c>
      <c r="CD94" s="25">
        <v>0</v>
      </c>
      <c r="CE94" s="25">
        <v>0</v>
      </c>
      <c r="CF94" s="25">
        <v>0</v>
      </c>
      <c r="CG94" s="25">
        <v>96812</v>
      </c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</row>
    <row r="95" spans="1:99" s="5" customFormat="1" x14ac:dyDescent="0.3">
      <c r="A95" s="66" t="s">
        <v>184</v>
      </c>
      <c r="B95" s="67" t="s">
        <v>185</v>
      </c>
      <c r="C95" s="5">
        <v>90</v>
      </c>
      <c r="D95" s="46">
        <v>182575</v>
      </c>
      <c r="E95" s="46">
        <v>48953</v>
      </c>
      <c r="F95" s="46">
        <v>26039</v>
      </c>
      <c r="G95" s="46">
        <v>3887</v>
      </c>
      <c r="H95" s="46">
        <v>82275</v>
      </c>
      <c r="I95" s="46">
        <v>40026</v>
      </c>
      <c r="J95" s="46">
        <v>4247</v>
      </c>
      <c r="K95" s="46">
        <v>13233</v>
      </c>
      <c r="L95" s="46">
        <v>-927</v>
      </c>
      <c r="M95" s="46">
        <v>27501</v>
      </c>
      <c r="N95" s="46">
        <v>11221</v>
      </c>
      <c r="O95" s="46">
        <v>1741</v>
      </c>
      <c r="P95" s="46">
        <v>4276</v>
      </c>
      <c r="Q95" s="46">
        <v>9211</v>
      </c>
      <c r="R95" s="46">
        <v>4032</v>
      </c>
      <c r="S95" s="46">
        <v>4783</v>
      </c>
      <c r="T95" s="46">
        <v>16893</v>
      </c>
      <c r="U95" s="46">
        <v>4315</v>
      </c>
      <c r="V95" s="25">
        <v>31352.534847079216</v>
      </c>
      <c r="W95" s="25">
        <v>806.22500000000116</v>
      </c>
      <c r="X95" s="25">
        <v>90.240152920784496</v>
      </c>
      <c r="Y95" s="46">
        <v>4134</v>
      </c>
      <c r="Z95" s="46">
        <v>12505</v>
      </c>
      <c r="AA95" s="46">
        <v>5167</v>
      </c>
      <c r="AB95" s="46">
        <v>3587</v>
      </c>
      <c r="AC95" s="46">
        <v>21406</v>
      </c>
      <c r="AD95" s="46">
        <v>5651</v>
      </c>
      <c r="AE95" s="46">
        <v>4831</v>
      </c>
      <c r="AF95" s="46">
        <v>19673</v>
      </c>
      <c r="AG95" s="46">
        <v>9072</v>
      </c>
      <c r="AH95" s="46">
        <v>10310</v>
      </c>
      <c r="AI95" s="46">
        <v>4751</v>
      </c>
      <c r="AJ95" s="46">
        <v>4693</v>
      </c>
      <c r="AK95" s="46">
        <v>8755</v>
      </c>
      <c r="AL95" s="46">
        <v>1419</v>
      </c>
      <c r="AM95" s="46">
        <v>8283</v>
      </c>
      <c r="AN95" s="46">
        <v>2054</v>
      </c>
      <c r="AO95" s="46">
        <v>15383</v>
      </c>
      <c r="AP95" s="46">
        <v>14972</v>
      </c>
      <c r="AQ95" s="25">
        <v>60670.726369437907</v>
      </c>
      <c r="AR95" s="25">
        <v>9910.61827089703</v>
      </c>
      <c r="AS95" s="25">
        <v>7100.5881564106267</v>
      </c>
      <c r="AT95" s="25">
        <v>18879.067203254435</v>
      </c>
      <c r="AU95" s="46">
        <v>26426</v>
      </c>
      <c r="AV95" s="46">
        <v>135690</v>
      </c>
      <c r="AW95" s="46">
        <v>47260</v>
      </c>
      <c r="AX95" s="46">
        <v>320736</v>
      </c>
      <c r="AY95" s="48">
        <f>AY96+AY97</f>
        <v>75354</v>
      </c>
      <c r="AZ95" s="46">
        <v>4521</v>
      </c>
      <c r="BA95" s="46">
        <v>1775</v>
      </c>
      <c r="BB95" s="46">
        <v>33698</v>
      </c>
      <c r="BC95" s="46">
        <v>3121</v>
      </c>
      <c r="BD95" s="46">
        <v>68654</v>
      </c>
      <c r="BE95" s="46">
        <v>1586</v>
      </c>
      <c r="BF95" s="46">
        <v>3948</v>
      </c>
      <c r="BG95" s="46">
        <v>43825</v>
      </c>
      <c r="BH95" s="46">
        <v>51289</v>
      </c>
      <c r="BI95" s="46">
        <v>249222</v>
      </c>
      <c r="BJ95" s="46">
        <v>579640</v>
      </c>
      <c r="BK95" s="46">
        <v>92276</v>
      </c>
      <c r="BL95" s="46">
        <v>20171</v>
      </c>
      <c r="BM95" s="46">
        <v>22865</v>
      </c>
      <c r="BN95" s="46">
        <v>18437</v>
      </c>
      <c r="BO95" s="46">
        <v>54852</v>
      </c>
      <c r="BP95" s="46">
        <v>2998</v>
      </c>
      <c r="BQ95" s="46">
        <v>87157</v>
      </c>
      <c r="BR95" s="46">
        <v>13026</v>
      </c>
      <c r="BS95" s="46">
        <v>10137</v>
      </c>
      <c r="BT95" s="46">
        <v>6529</v>
      </c>
      <c r="BU95" s="46">
        <v>77062</v>
      </c>
      <c r="BV95" s="46">
        <v>9413</v>
      </c>
      <c r="BW95" s="46">
        <v>39805</v>
      </c>
      <c r="BX95" s="46">
        <v>0</v>
      </c>
      <c r="BY95" s="25">
        <v>2871210</v>
      </c>
      <c r="BZ95" s="25">
        <v>0</v>
      </c>
      <c r="CA95" s="25">
        <v>0</v>
      </c>
      <c r="CB95" s="25">
        <v>0</v>
      </c>
      <c r="CC95" s="25">
        <v>0</v>
      </c>
      <c r="CD95" s="25">
        <v>0</v>
      </c>
      <c r="CE95" s="25">
        <v>0</v>
      </c>
      <c r="CF95" s="25">
        <v>0</v>
      </c>
      <c r="CG95" s="25">
        <v>2871210</v>
      </c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</row>
    <row r="96" spans="1:99" s="5" customFormat="1" x14ac:dyDescent="0.3">
      <c r="A96" s="28"/>
      <c r="B96" s="14" t="s">
        <v>186</v>
      </c>
      <c r="C96" s="5">
        <v>91</v>
      </c>
      <c r="D96" s="46">
        <v>97228</v>
      </c>
      <c r="E96" s="46">
        <v>38269</v>
      </c>
      <c r="F96" s="46">
        <v>12179</v>
      </c>
      <c r="G96" s="46">
        <v>254</v>
      </c>
      <c r="H96" s="46">
        <v>0</v>
      </c>
      <c r="I96" s="46">
        <v>0</v>
      </c>
      <c r="J96" s="46">
        <v>0</v>
      </c>
      <c r="K96" s="46">
        <v>365</v>
      </c>
      <c r="L96" s="46">
        <v>0</v>
      </c>
      <c r="M96" s="46">
        <v>4151</v>
      </c>
      <c r="N96" s="46">
        <v>23</v>
      </c>
      <c r="O96" s="46">
        <v>0</v>
      </c>
      <c r="P96" s="46">
        <v>1228</v>
      </c>
      <c r="Q96" s="46">
        <v>6429</v>
      </c>
      <c r="R96" s="46">
        <v>625</v>
      </c>
      <c r="S96" s="46">
        <v>1625</v>
      </c>
      <c r="T96" s="46">
        <v>296</v>
      </c>
      <c r="U96" s="46">
        <v>460</v>
      </c>
      <c r="V96" s="25">
        <v>0</v>
      </c>
      <c r="W96" s="25">
        <v>0</v>
      </c>
      <c r="X96" s="25">
        <v>0</v>
      </c>
      <c r="Y96" s="46">
        <v>0</v>
      </c>
      <c r="Z96" s="46">
        <v>0</v>
      </c>
      <c r="AA96" s="46">
        <v>0</v>
      </c>
      <c r="AB96" s="46">
        <v>585</v>
      </c>
      <c r="AC96" s="46">
        <v>0</v>
      </c>
      <c r="AD96" s="46">
        <v>373</v>
      </c>
      <c r="AE96" s="46">
        <v>799</v>
      </c>
      <c r="AF96" s="46">
        <v>0</v>
      </c>
      <c r="AG96" s="46">
        <v>-18</v>
      </c>
      <c r="AH96" s="46">
        <v>2385</v>
      </c>
      <c r="AI96" s="46">
        <v>0</v>
      </c>
      <c r="AJ96" s="46">
        <v>0</v>
      </c>
      <c r="AK96" s="46">
        <v>0</v>
      </c>
      <c r="AL96" s="46">
        <v>0</v>
      </c>
      <c r="AM96" s="46">
        <v>28</v>
      </c>
      <c r="AN96" s="46">
        <v>0</v>
      </c>
      <c r="AO96" s="46">
        <v>1333</v>
      </c>
      <c r="AP96" s="46">
        <v>5023</v>
      </c>
      <c r="AQ96" s="25">
        <v>0</v>
      </c>
      <c r="AR96" s="25">
        <v>0</v>
      </c>
      <c r="AS96" s="25">
        <v>0</v>
      </c>
      <c r="AT96" s="25">
        <v>0</v>
      </c>
      <c r="AU96" s="46">
        <v>1734</v>
      </c>
      <c r="AV96" s="46">
        <v>68569</v>
      </c>
      <c r="AW96" s="46">
        <v>22740</v>
      </c>
      <c r="AX96" s="46">
        <v>58881</v>
      </c>
      <c r="AY96" s="47">
        <v>25394</v>
      </c>
      <c r="AZ96" s="46">
        <v>430</v>
      </c>
      <c r="BA96" s="46">
        <v>0</v>
      </c>
      <c r="BB96" s="46">
        <v>1273</v>
      </c>
      <c r="BC96" s="46">
        <v>1302</v>
      </c>
      <c r="BD96" s="46">
        <v>48476</v>
      </c>
      <c r="BE96" s="46">
        <v>56</v>
      </c>
      <c r="BF96" s="46">
        <v>853</v>
      </c>
      <c r="BG96" s="46">
        <v>253</v>
      </c>
      <c r="BH96" s="46">
        <v>9240</v>
      </c>
      <c r="BI96" s="46">
        <v>2638</v>
      </c>
      <c r="BJ96" s="46">
        <v>4300</v>
      </c>
      <c r="BK96" s="46">
        <v>39398</v>
      </c>
      <c r="BL96" s="46">
        <v>11034</v>
      </c>
      <c r="BM96" s="46">
        <v>6368</v>
      </c>
      <c r="BN96" s="46">
        <v>793</v>
      </c>
      <c r="BO96" s="46">
        <v>7868</v>
      </c>
      <c r="BP96" s="46">
        <v>1175</v>
      </c>
      <c r="BQ96" s="46">
        <v>0</v>
      </c>
      <c r="BR96" s="46">
        <v>0</v>
      </c>
      <c r="BS96" s="46">
        <v>7947</v>
      </c>
      <c r="BT96" s="46">
        <v>0</v>
      </c>
      <c r="BU96" s="46">
        <v>50020</v>
      </c>
      <c r="BV96" s="46">
        <v>6325</v>
      </c>
      <c r="BW96" s="46">
        <v>32861</v>
      </c>
      <c r="BX96" s="46">
        <v>0</v>
      </c>
      <c r="BY96" s="25">
        <v>583568</v>
      </c>
      <c r="BZ96" s="25">
        <v>0</v>
      </c>
      <c r="CA96" s="25">
        <v>0</v>
      </c>
      <c r="CB96" s="25">
        <v>0</v>
      </c>
      <c r="CC96" s="25">
        <v>0</v>
      </c>
      <c r="CD96" s="25">
        <v>0</v>
      </c>
      <c r="CE96" s="25">
        <v>0</v>
      </c>
      <c r="CF96" s="25">
        <v>0</v>
      </c>
      <c r="CG96" s="25">
        <v>583568</v>
      </c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</row>
    <row r="97" spans="1:99" s="5" customFormat="1" x14ac:dyDescent="0.3">
      <c r="A97" s="28"/>
      <c r="B97" s="14" t="s">
        <v>187</v>
      </c>
      <c r="C97" s="5">
        <v>92</v>
      </c>
      <c r="D97" s="46">
        <v>85347</v>
      </c>
      <c r="E97" s="46">
        <v>10684</v>
      </c>
      <c r="F97" s="46">
        <v>13860</v>
      </c>
      <c r="G97" s="46">
        <v>3633</v>
      </c>
      <c r="H97" s="46">
        <v>82275</v>
      </c>
      <c r="I97" s="46">
        <v>40026</v>
      </c>
      <c r="J97" s="46">
        <v>4247</v>
      </c>
      <c r="K97" s="46">
        <v>12868</v>
      </c>
      <c r="L97" s="46">
        <v>-927</v>
      </c>
      <c r="M97" s="46">
        <v>23350</v>
      </c>
      <c r="N97" s="46">
        <v>11198</v>
      </c>
      <c r="O97" s="46">
        <v>1741</v>
      </c>
      <c r="P97" s="46">
        <v>3048</v>
      </c>
      <c r="Q97" s="46">
        <v>2782</v>
      </c>
      <c r="R97" s="46">
        <v>3407</v>
      </c>
      <c r="S97" s="46">
        <v>3158</v>
      </c>
      <c r="T97" s="46">
        <v>16597</v>
      </c>
      <c r="U97" s="46">
        <v>3855</v>
      </c>
      <c r="V97" s="25">
        <v>31352.534847079216</v>
      </c>
      <c r="W97" s="25">
        <v>806.22500000000116</v>
      </c>
      <c r="X97" s="25">
        <v>90.240152920784496</v>
      </c>
      <c r="Y97" s="46">
        <v>4134</v>
      </c>
      <c r="Z97" s="46">
        <v>12505</v>
      </c>
      <c r="AA97" s="46">
        <v>5167</v>
      </c>
      <c r="AB97" s="46">
        <v>3002</v>
      </c>
      <c r="AC97" s="46">
        <v>21406</v>
      </c>
      <c r="AD97" s="46">
        <v>5278</v>
      </c>
      <c r="AE97" s="46">
        <v>4032</v>
      </c>
      <c r="AF97" s="46">
        <v>19673</v>
      </c>
      <c r="AG97" s="46">
        <v>9090</v>
      </c>
      <c r="AH97" s="46">
        <v>7925</v>
      </c>
      <c r="AI97" s="46">
        <v>4751</v>
      </c>
      <c r="AJ97" s="46">
        <v>4693</v>
      </c>
      <c r="AK97" s="46">
        <v>8755</v>
      </c>
      <c r="AL97" s="46">
        <v>1419</v>
      </c>
      <c r="AM97" s="46">
        <v>8255</v>
      </c>
      <c r="AN97" s="46">
        <v>2054</v>
      </c>
      <c r="AO97" s="46">
        <v>14050</v>
      </c>
      <c r="AP97" s="46">
        <v>9949</v>
      </c>
      <c r="AQ97" s="25">
        <v>60670.726369437907</v>
      </c>
      <c r="AR97" s="25">
        <v>9910.61827089703</v>
      </c>
      <c r="AS97" s="25">
        <v>7100.5881564106267</v>
      </c>
      <c r="AT97" s="25">
        <v>18879.067203254435</v>
      </c>
      <c r="AU97" s="46">
        <v>24692</v>
      </c>
      <c r="AV97" s="46">
        <v>67121</v>
      </c>
      <c r="AW97" s="46">
        <v>24520</v>
      </c>
      <c r="AX97" s="46">
        <v>261855</v>
      </c>
      <c r="AY97" s="47">
        <v>49960</v>
      </c>
      <c r="AZ97" s="46">
        <v>4091</v>
      </c>
      <c r="BA97" s="46">
        <v>1775</v>
      </c>
      <c r="BB97" s="46">
        <v>32425</v>
      </c>
      <c r="BC97" s="46">
        <v>1819</v>
      </c>
      <c r="BD97" s="46">
        <v>20178</v>
      </c>
      <c r="BE97" s="46">
        <v>1530</v>
      </c>
      <c r="BF97" s="46">
        <v>3095</v>
      </c>
      <c r="BG97" s="46">
        <v>43572</v>
      </c>
      <c r="BH97" s="46">
        <v>42049</v>
      </c>
      <c r="BI97" s="46">
        <v>246584</v>
      </c>
      <c r="BJ97" s="46">
        <v>575340</v>
      </c>
      <c r="BK97" s="46">
        <v>52878</v>
      </c>
      <c r="BL97" s="46">
        <v>9137</v>
      </c>
      <c r="BM97" s="46">
        <v>16497</v>
      </c>
      <c r="BN97" s="46">
        <v>17644</v>
      </c>
      <c r="BO97" s="46">
        <v>46984</v>
      </c>
      <c r="BP97" s="46">
        <v>1823</v>
      </c>
      <c r="BQ97" s="46">
        <v>87157</v>
      </c>
      <c r="BR97" s="46">
        <v>13026</v>
      </c>
      <c r="BS97" s="46">
        <v>2190</v>
      </c>
      <c r="BT97" s="46">
        <v>6529</v>
      </c>
      <c r="BU97" s="46">
        <v>27042</v>
      </c>
      <c r="BV97" s="46">
        <v>3088</v>
      </c>
      <c r="BW97" s="46">
        <v>6944</v>
      </c>
      <c r="BX97" s="46">
        <v>0</v>
      </c>
      <c r="BY97" s="25">
        <v>2287642</v>
      </c>
      <c r="BZ97" s="25">
        <v>0</v>
      </c>
      <c r="CA97" s="25">
        <v>0</v>
      </c>
      <c r="CB97" s="25">
        <v>0</v>
      </c>
      <c r="CC97" s="25">
        <v>0</v>
      </c>
      <c r="CD97" s="25">
        <v>0</v>
      </c>
      <c r="CE97" s="25">
        <v>0</v>
      </c>
      <c r="CF97" s="25">
        <v>0</v>
      </c>
      <c r="CG97" s="25">
        <v>2287642</v>
      </c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</row>
    <row r="98" spans="1:99" s="5" customFormat="1" x14ac:dyDescent="0.3">
      <c r="A98" s="66" t="s">
        <v>188</v>
      </c>
      <c r="B98" s="67" t="s">
        <v>189</v>
      </c>
      <c r="C98" s="5">
        <v>93</v>
      </c>
      <c r="D98" s="25">
        <v>216931</v>
      </c>
      <c r="E98" s="25">
        <v>71170</v>
      </c>
      <c r="F98" s="25">
        <v>28294</v>
      </c>
      <c r="G98" s="25">
        <v>8013</v>
      </c>
      <c r="H98" s="25">
        <v>99192</v>
      </c>
      <c r="I98" s="25">
        <v>44528</v>
      </c>
      <c r="J98" s="25">
        <v>6854</v>
      </c>
      <c r="K98" s="25">
        <v>43350</v>
      </c>
      <c r="L98" s="25">
        <v>7763</v>
      </c>
      <c r="M98" s="25">
        <v>62923</v>
      </c>
      <c r="N98" s="25">
        <v>21174</v>
      </c>
      <c r="O98" s="25">
        <v>3452</v>
      </c>
      <c r="P98" s="25">
        <v>15538</v>
      </c>
      <c r="Q98" s="25">
        <v>27754</v>
      </c>
      <c r="R98" s="25">
        <v>15080</v>
      </c>
      <c r="S98" s="25">
        <v>11427</v>
      </c>
      <c r="T98" s="25">
        <v>30921</v>
      </c>
      <c r="U98" s="25">
        <v>9979</v>
      </c>
      <c r="V98" s="25">
        <v>39997.352976640701</v>
      </c>
      <c r="W98" s="25">
        <v>1028.5250000000015</v>
      </c>
      <c r="X98" s="25">
        <v>115.1220233592978</v>
      </c>
      <c r="Y98" s="25">
        <v>11147</v>
      </c>
      <c r="Z98" s="25">
        <v>25408</v>
      </c>
      <c r="AA98" s="25">
        <v>14547</v>
      </c>
      <c r="AB98" s="25">
        <v>10441</v>
      </c>
      <c r="AC98" s="25">
        <v>34101</v>
      </c>
      <c r="AD98" s="25">
        <v>28568</v>
      </c>
      <c r="AE98" s="25">
        <v>23981</v>
      </c>
      <c r="AF98" s="25">
        <v>33074</v>
      </c>
      <c r="AG98" s="25">
        <v>15319</v>
      </c>
      <c r="AH98" s="25">
        <v>32352</v>
      </c>
      <c r="AI98" s="25">
        <v>14526</v>
      </c>
      <c r="AJ98" s="25">
        <v>19324</v>
      </c>
      <c r="AK98" s="25">
        <v>36375</v>
      </c>
      <c r="AL98" s="25">
        <v>21902</v>
      </c>
      <c r="AM98" s="25">
        <v>29138</v>
      </c>
      <c r="AN98" s="25">
        <v>10311</v>
      </c>
      <c r="AO98" s="25">
        <v>32031</v>
      </c>
      <c r="AP98" s="25">
        <v>28029</v>
      </c>
      <c r="AQ98" s="25">
        <v>75160.170411404295</v>
      </c>
      <c r="AR98" s="25">
        <v>11602.490433669687</v>
      </c>
      <c r="AS98" s="25">
        <v>8728.4526124363856</v>
      </c>
      <c r="AT98" s="25">
        <v>22564.886542489628</v>
      </c>
      <c r="AU98" s="25">
        <v>49419</v>
      </c>
      <c r="AV98" s="25">
        <v>240260</v>
      </c>
      <c r="AW98" s="25">
        <v>96441</v>
      </c>
      <c r="AX98" s="25">
        <v>673264</v>
      </c>
      <c r="AY98" s="41">
        <f>AY95+AY89</f>
        <v>163231</v>
      </c>
      <c r="AZ98" s="25">
        <v>9658</v>
      </c>
      <c r="BA98" s="25">
        <v>9267</v>
      </c>
      <c r="BB98" s="25">
        <v>77735</v>
      </c>
      <c r="BC98" s="25">
        <v>14428</v>
      </c>
      <c r="BD98" s="25">
        <v>128770</v>
      </c>
      <c r="BE98" s="25">
        <v>8384</v>
      </c>
      <c r="BF98" s="25">
        <v>15626</v>
      </c>
      <c r="BG98" s="25">
        <v>63037</v>
      </c>
      <c r="BH98" s="25">
        <v>108476</v>
      </c>
      <c r="BI98" s="25">
        <v>414439</v>
      </c>
      <c r="BJ98" s="25">
        <v>587563</v>
      </c>
      <c r="BK98" s="25">
        <v>154215</v>
      </c>
      <c r="BL98" s="25">
        <v>38756</v>
      </c>
      <c r="BM98" s="25">
        <v>38294</v>
      </c>
      <c r="BN98" s="25">
        <v>29781</v>
      </c>
      <c r="BO98" s="25">
        <v>173256</v>
      </c>
      <c r="BP98" s="25">
        <v>34072</v>
      </c>
      <c r="BQ98" s="25">
        <v>615860</v>
      </c>
      <c r="BR98" s="25">
        <v>295116</v>
      </c>
      <c r="BS98" s="25">
        <v>100070</v>
      </c>
      <c r="BT98" s="25">
        <v>134229</v>
      </c>
      <c r="BU98" s="25">
        <v>166893</v>
      </c>
      <c r="BV98" s="25">
        <v>22678</v>
      </c>
      <c r="BW98" s="25">
        <v>85200</v>
      </c>
      <c r="BX98" s="25">
        <v>74451</v>
      </c>
      <c r="BY98" s="25">
        <v>5926983</v>
      </c>
      <c r="BZ98" s="25">
        <v>0</v>
      </c>
      <c r="CA98" s="25">
        <v>0</v>
      </c>
      <c r="CB98" s="25">
        <v>0</v>
      </c>
      <c r="CC98" s="25">
        <v>0</v>
      </c>
      <c r="CD98" s="25">
        <v>0</v>
      </c>
      <c r="CE98" s="25">
        <v>0</v>
      </c>
      <c r="CF98" s="25">
        <v>0</v>
      </c>
      <c r="CG98" s="25">
        <v>5926983</v>
      </c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</row>
    <row r="99" spans="1:99" s="5" customFormat="1" x14ac:dyDescent="0.3">
      <c r="A99" s="28" t="s">
        <v>190</v>
      </c>
      <c r="B99" s="14" t="s">
        <v>191</v>
      </c>
      <c r="C99" s="5">
        <v>94</v>
      </c>
      <c r="D99" s="46">
        <v>1841</v>
      </c>
      <c r="E99" s="46">
        <v>641</v>
      </c>
      <c r="F99" s="46">
        <v>151</v>
      </c>
      <c r="G99" s="46">
        <v>199</v>
      </c>
      <c r="H99" s="46">
        <v>1568</v>
      </c>
      <c r="I99" s="46">
        <v>630</v>
      </c>
      <c r="J99" s="46">
        <v>170</v>
      </c>
      <c r="K99" s="46">
        <v>2563</v>
      </c>
      <c r="L99" s="46">
        <v>775</v>
      </c>
      <c r="M99" s="46">
        <v>3210</v>
      </c>
      <c r="N99" s="46">
        <v>938</v>
      </c>
      <c r="O99" s="46">
        <v>130</v>
      </c>
      <c r="P99" s="46">
        <v>530</v>
      </c>
      <c r="Q99" s="46">
        <v>650</v>
      </c>
      <c r="R99" s="46">
        <v>490</v>
      </c>
      <c r="S99" s="46">
        <v>363</v>
      </c>
      <c r="T99" s="46">
        <v>939</v>
      </c>
      <c r="U99" s="46">
        <v>281</v>
      </c>
      <c r="V99" s="25">
        <v>1318.044608560534</v>
      </c>
      <c r="W99" s="25">
        <v>26.900000000000002</v>
      </c>
      <c r="X99" s="25">
        <v>5.5391439466079474E-2</v>
      </c>
      <c r="Y99" s="46">
        <v>501</v>
      </c>
      <c r="Z99" s="46">
        <v>1318</v>
      </c>
      <c r="AA99" s="46">
        <v>705</v>
      </c>
      <c r="AB99" s="46">
        <v>479</v>
      </c>
      <c r="AC99" s="46">
        <v>709</v>
      </c>
      <c r="AD99" s="46">
        <v>1197</v>
      </c>
      <c r="AE99" s="46">
        <v>875</v>
      </c>
      <c r="AF99" s="46">
        <v>1156</v>
      </c>
      <c r="AG99" s="46">
        <v>555</v>
      </c>
      <c r="AH99" s="46">
        <v>1058</v>
      </c>
      <c r="AI99" s="46">
        <v>1074</v>
      </c>
      <c r="AJ99" s="46">
        <v>784</v>
      </c>
      <c r="AK99" s="46">
        <v>1363</v>
      </c>
      <c r="AL99" s="46">
        <v>1530</v>
      </c>
      <c r="AM99" s="46">
        <v>1108</v>
      </c>
      <c r="AN99" s="46">
        <v>419</v>
      </c>
      <c r="AO99" s="46">
        <v>725</v>
      </c>
      <c r="AP99" s="46">
        <v>486</v>
      </c>
      <c r="AQ99" s="25">
        <v>2228.8840747626796</v>
      </c>
      <c r="AR99" s="25">
        <v>364.09023852039769</v>
      </c>
      <c r="AS99" s="25">
        <v>260.85706913910423</v>
      </c>
      <c r="AT99" s="25">
        <v>303.16861757781845</v>
      </c>
      <c r="AU99" s="46">
        <v>951</v>
      </c>
      <c r="AV99" s="46">
        <v>3384</v>
      </c>
      <c r="AW99" s="46">
        <v>1466</v>
      </c>
      <c r="AX99" s="46">
        <v>12523</v>
      </c>
      <c r="AY99" s="47">
        <v>3613</v>
      </c>
      <c r="AZ99" s="46">
        <v>417</v>
      </c>
      <c r="BA99" s="46">
        <v>712</v>
      </c>
      <c r="BB99" s="46">
        <v>1734</v>
      </c>
      <c r="BC99" s="46">
        <v>394</v>
      </c>
      <c r="BD99" s="46">
        <v>1741</v>
      </c>
      <c r="BE99" s="46">
        <v>228</v>
      </c>
      <c r="BF99" s="46">
        <v>1362</v>
      </c>
      <c r="BG99" s="46">
        <v>6971</v>
      </c>
      <c r="BH99" s="46">
        <v>2073</v>
      </c>
      <c r="BI99" s="46">
        <v>8223</v>
      </c>
      <c r="BJ99" s="46">
        <v>473</v>
      </c>
      <c r="BK99" s="46">
        <v>2660</v>
      </c>
      <c r="BL99" s="46">
        <v>617</v>
      </c>
      <c r="BM99" s="46">
        <v>520</v>
      </c>
      <c r="BN99" s="46">
        <v>525</v>
      </c>
      <c r="BO99" s="46">
        <v>3452</v>
      </c>
      <c r="BP99" s="46">
        <v>1043</v>
      </c>
      <c r="BQ99" s="46">
        <v>163</v>
      </c>
      <c r="BR99" s="46">
        <v>17</v>
      </c>
      <c r="BS99" s="46">
        <v>2814</v>
      </c>
      <c r="BT99" s="46">
        <v>0</v>
      </c>
      <c r="BU99" s="46">
        <v>3006</v>
      </c>
      <c r="BV99" s="46">
        <v>306</v>
      </c>
      <c r="BW99" s="46">
        <v>1199</v>
      </c>
      <c r="BX99" s="46">
        <v>0</v>
      </c>
      <c r="BY99" s="25">
        <v>99200</v>
      </c>
      <c r="BZ99" s="25">
        <v>0</v>
      </c>
      <c r="CA99" s="25">
        <v>0</v>
      </c>
      <c r="CB99" s="25">
        <v>0</v>
      </c>
      <c r="CC99" s="25">
        <v>0</v>
      </c>
      <c r="CD99" s="25">
        <v>0</v>
      </c>
      <c r="CE99" s="25">
        <v>0</v>
      </c>
      <c r="CF99" s="25">
        <v>0</v>
      </c>
      <c r="CG99" s="25">
        <v>99200</v>
      </c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</row>
    <row r="100" spans="1:99" s="5" customFormat="1" x14ac:dyDescent="0.3">
      <c r="A100" s="28" t="s">
        <v>192</v>
      </c>
      <c r="B100" s="14" t="s">
        <v>193</v>
      </c>
      <c r="C100" s="5">
        <v>95</v>
      </c>
      <c r="D100" s="46">
        <v>-9261</v>
      </c>
      <c r="E100" s="46">
        <v>-119</v>
      </c>
      <c r="F100" s="46">
        <v>-37</v>
      </c>
      <c r="G100" s="46">
        <v>-61</v>
      </c>
      <c r="H100" s="46">
        <v>0</v>
      </c>
      <c r="I100" s="46">
        <v>-24</v>
      </c>
      <c r="J100" s="46">
        <v>0</v>
      </c>
      <c r="K100" s="46">
        <v>-82</v>
      </c>
      <c r="L100" s="46">
        <v>-114</v>
      </c>
      <c r="M100" s="46">
        <v>-105</v>
      </c>
      <c r="N100" s="46">
        <v>-32</v>
      </c>
      <c r="O100" s="46">
        <v>0</v>
      </c>
      <c r="P100" s="46">
        <v>-21</v>
      </c>
      <c r="Q100" s="46">
        <v>0</v>
      </c>
      <c r="R100" s="46">
        <v>0</v>
      </c>
      <c r="S100" s="46">
        <v>-31</v>
      </c>
      <c r="T100" s="46">
        <v>-80</v>
      </c>
      <c r="U100" s="46">
        <v>0</v>
      </c>
      <c r="V100" s="25">
        <v>-146.99382251604467</v>
      </c>
      <c r="W100" s="25">
        <v>-3</v>
      </c>
      <c r="X100" s="25">
        <v>-6.1774839553248488E-3</v>
      </c>
      <c r="Y100" s="46">
        <v>-124</v>
      </c>
      <c r="Z100" s="46">
        <v>-30</v>
      </c>
      <c r="AA100" s="46">
        <v>0</v>
      </c>
      <c r="AB100" s="46">
        <v>0</v>
      </c>
      <c r="AC100" s="46">
        <v>-21</v>
      </c>
      <c r="AD100" s="46">
        <v>-120</v>
      </c>
      <c r="AE100" s="46">
        <v>-99</v>
      </c>
      <c r="AF100" s="46">
        <v>-53</v>
      </c>
      <c r="AG100" s="46">
        <v>-28</v>
      </c>
      <c r="AH100" s="46">
        <v>-67</v>
      </c>
      <c r="AI100" s="46">
        <v>0</v>
      </c>
      <c r="AJ100" s="46">
        <v>-74</v>
      </c>
      <c r="AK100" s="46">
        <v>-195</v>
      </c>
      <c r="AL100" s="46">
        <v>-219</v>
      </c>
      <c r="AM100" s="46">
        <v>-180</v>
      </c>
      <c r="AN100" s="46">
        <v>-51</v>
      </c>
      <c r="AO100" s="46">
        <v>-28</v>
      </c>
      <c r="AP100" s="46">
        <v>0</v>
      </c>
      <c r="AQ100" s="25">
        <v>-84.01558596666419</v>
      </c>
      <c r="AR100" s="25">
        <v>-13.724022294560445</v>
      </c>
      <c r="AS100" s="25">
        <v>-9.8327498345116879</v>
      </c>
      <c r="AT100" s="25">
        <v>-11.427641904263668</v>
      </c>
      <c r="AU100" s="46">
        <v>-31</v>
      </c>
      <c r="AV100" s="46">
        <v>-364</v>
      </c>
      <c r="AW100" s="46">
        <v>-29</v>
      </c>
      <c r="AX100" s="46">
        <v>-618</v>
      </c>
      <c r="AY100" s="47">
        <v>-1629</v>
      </c>
      <c r="AZ100" s="46">
        <v>0</v>
      </c>
      <c r="BA100" s="46">
        <v>-25</v>
      </c>
      <c r="BB100" s="46">
        <v>-49</v>
      </c>
      <c r="BC100" s="46">
        <v>0</v>
      </c>
      <c r="BD100" s="46">
        <v>0</v>
      </c>
      <c r="BE100" s="46">
        <v>0</v>
      </c>
      <c r="BF100" s="46">
        <v>0</v>
      </c>
      <c r="BG100" s="46">
        <v>-64</v>
      </c>
      <c r="BH100" s="46">
        <v>0</v>
      </c>
      <c r="BI100" s="46">
        <v>0</v>
      </c>
      <c r="BJ100" s="46">
        <v>0</v>
      </c>
      <c r="BK100" s="46">
        <v>0</v>
      </c>
      <c r="BL100" s="46">
        <v>-374</v>
      </c>
      <c r="BM100" s="46">
        <v>0</v>
      </c>
      <c r="BN100" s="46">
        <v>-155</v>
      </c>
      <c r="BO100" s="46">
        <v>-49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-121</v>
      </c>
      <c r="BV100" s="46">
        <v>0</v>
      </c>
      <c r="BW100" s="46">
        <v>0</v>
      </c>
      <c r="BX100" s="46">
        <v>0</v>
      </c>
      <c r="BY100" s="25">
        <v>-15033</v>
      </c>
      <c r="BZ100" s="25">
        <v>0</v>
      </c>
      <c r="CA100" s="25">
        <v>0</v>
      </c>
      <c r="CB100" s="25">
        <v>0</v>
      </c>
      <c r="CC100" s="25">
        <v>0</v>
      </c>
      <c r="CD100" s="25">
        <v>0</v>
      </c>
      <c r="CE100" s="25">
        <v>0</v>
      </c>
      <c r="CF100" s="25">
        <v>0</v>
      </c>
      <c r="CG100" s="25">
        <v>-15033</v>
      </c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</row>
    <row r="101" spans="1:99" s="5" customFormat="1" x14ac:dyDescent="0.3">
      <c r="A101" s="66" t="s">
        <v>194</v>
      </c>
      <c r="B101" s="67" t="s">
        <v>195</v>
      </c>
      <c r="C101" s="5">
        <v>96</v>
      </c>
      <c r="D101" s="46">
        <v>209511</v>
      </c>
      <c r="E101" s="46">
        <v>71692</v>
      </c>
      <c r="F101" s="46">
        <v>28408</v>
      </c>
      <c r="G101" s="46">
        <v>8151</v>
      </c>
      <c r="H101" s="46">
        <v>100760</v>
      </c>
      <c r="I101" s="46">
        <v>45134</v>
      </c>
      <c r="J101" s="46">
        <v>7024</v>
      </c>
      <c r="K101" s="46">
        <v>45831</v>
      </c>
      <c r="L101" s="46">
        <v>8424</v>
      </c>
      <c r="M101" s="46">
        <v>66028</v>
      </c>
      <c r="N101" s="46">
        <v>22080</v>
      </c>
      <c r="O101" s="46">
        <v>3582</v>
      </c>
      <c r="P101" s="46">
        <v>16047</v>
      </c>
      <c r="Q101" s="46">
        <v>28404</v>
      </c>
      <c r="R101" s="46">
        <v>15570</v>
      </c>
      <c r="S101" s="46">
        <v>11759</v>
      </c>
      <c r="T101" s="46">
        <v>31780</v>
      </c>
      <c r="U101" s="46">
        <v>10260</v>
      </c>
      <c r="V101" s="25">
        <v>41168.403762685193</v>
      </c>
      <c r="W101" s="25">
        <v>1052.4250000000015</v>
      </c>
      <c r="X101" s="25">
        <v>115.17123731480855</v>
      </c>
      <c r="Y101" s="46">
        <v>11524</v>
      </c>
      <c r="Z101" s="46">
        <v>26696</v>
      </c>
      <c r="AA101" s="46">
        <v>15252</v>
      </c>
      <c r="AB101" s="46">
        <v>10920</v>
      </c>
      <c r="AC101" s="46">
        <v>34789</v>
      </c>
      <c r="AD101" s="46">
        <v>29645</v>
      </c>
      <c r="AE101" s="46">
        <v>24757</v>
      </c>
      <c r="AF101" s="46">
        <v>34177</v>
      </c>
      <c r="AG101" s="46">
        <v>15846</v>
      </c>
      <c r="AH101" s="46">
        <v>33343</v>
      </c>
      <c r="AI101" s="46">
        <v>15600</v>
      </c>
      <c r="AJ101" s="46">
        <v>20034</v>
      </c>
      <c r="AK101" s="46">
        <v>37543</v>
      </c>
      <c r="AL101" s="46">
        <v>23213</v>
      </c>
      <c r="AM101" s="46">
        <v>30066</v>
      </c>
      <c r="AN101" s="46">
        <v>10679</v>
      </c>
      <c r="AO101" s="46">
        <v>32728</v>
      </c>
      <c r="AP101" s="46">
        <v>28515</v>
      </c>
      <c r="AQ101" s="25">
        <v>77305.038900200307</v>
      </c>
      <c r="AR101" s="25">
        <v>11952.856649895524</v>
      </c>
      <c r="AS101" s="25">
        <v>8979.4769317409791</v>
      </c>
      <c r="AT101" s="25">
        <v>22856.627518163183</v>
      </c>
      <c r="AU101" s="46">
        <v>50339</v>
      </c>
      <c r="AV101" s="46">
        <v>243280</v>
      </c>
      <c r="AW101" s="46">
        <v>97878</v>
      </c>
      <c r="AX101" s="46">
        <v>685169</v>
      </c>
      <c r="AY101" s="48">
        <f>AY98+AY99+AY100</f>
        <v>165215</v>
      </c>
      <c r="AZ101" s="46">
        <v>10075</v>
      </c>
      <c r="BA101" s="46">
        <v>9954</v>
      </c>
      <c r="BB101" s="46">
        <v>79420</v>
      </c>
      <c r="BC101" s="46">
        <v>14822</v>
      </c>
      <c r="BD101" s="46">
        <v>130511</v>
      </c>
      <c r="BE101" s="46">
        <v>8612</v>
      </c>
      <c r="BF101" s="46">
        <v>16988</v>
      </c>
      <c r="BG101" s="46">
        <v>69944</v>
      </c>
      <c r="BH101" s="46">
        <v>110549</v>
      </c>
      <c r="BI101" s="46">
        <v>422662</v>
      </c>
      <c r="BJ101" s="46">
        <v>588036</v>
      </c>
      <c r="BK101" s="46">
        <v>156875</v>
      </c>
      <c r="BL101" s="46">
        <v>38999</v>
      </c>
      <c r="BM101" s="46">
        <v>38814</v>
      </c>
      <c r="BN101" s="46">
        <v>30151</v>
      </c>
      <c r="BO101" s="46">
        <v>176659</v>
      </c>
      <c r="BP101" s="46">
        <v>35115</v>
      </c>
      <c r="BQ101" s="46">
        <v>616023</v>
      </c>
      <c r="BR101" s="46">
        <v>295133</v>
      </c>
      <c r="BS101" s="46">
        <v>102884</v>
      </c>
      <c r="BT101" s="46">
        <v>134229</v>
      </c>
      <c r="BU101" s="46">
        <v>169778</v>
      </c>
      <c r="BV101" s="46">
        <v>22984</v>
      </c>
      <c r="BW101" s="46">
        <v>86399</v>
      </c>
      <c r="BX101" s="46">
        <v>74451</v>
      </c>
      <c r="BY101" s="25">
        <v>6011150</v>
      </c>
      <c r="BZ101" s="25">
        <v>0</v>
      </c>
      <c r="CA101" s="25">
        <v>0</v>
      </c>
      <c r="CB101" s="25">
        <v>0</v>
      </c>
      <c r="CC101" s="25">
        <v>0</v>
      </c>
      <c r="CD101" s="25">
        <v>0</v>
      </c>
      <c r="CE101" s="25">
        <v>0</v>
      </c>
      <c r="CF101" s="25">
        <v>0</v>
      </c>
      <c r="CG101" s="25">
        <v>6011150</v>
      </c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</row>
    <row r="102" spans="1:99" s="5" customFormat="1" x14ac:dyDescent="0.3">
      <c r="A102" s="28" t="s">
        <v>196</v>
      </c>
      <c r="B102" s="14" t="s">
        <v>197</v>
      </c>
      <c r="C102" s="5">
        <v>97</v>
      </c>
      <c r="D102" s="46">
        <v>398037</v>
      </c>
      <c r="E102" s="46">
        <v>151959</v>
      </c>
      <c r="F102" s="46">
        <v>37870</v>
      </c>
      <c r="G102" s="46">
        <v>20011</v>
      </c>
      <c r="H102" s="46">
        <v>225938</v>
      </c>
      <c r="I102" s="46">
        <v>92326</v>
      </c>
      <c r="J102" s="46">
        <v>18273</v>
      </c>
      <c r="K102" s="46">
        <v>292406</v>
      </c>
      <c r="L102" s="46">
        <v>51555</v>
      </c>
      <c r="M102" s="46">
        <v>324943</v>
      </c>
      <c r="N102" s="46">
        <v>78544</v>
      </c>
      <c r="O102" s="46">
        <v>15694</v>
      </c>
      <c r="P102" s="46">
        <v>54793</v>
      </c>
      <c r="Q102" s="46">
        <v>66432</v>
      </c>
      <c r="R102" s="46">
        <v>43848</v>
      </c>
      <c r="S102" s="46">
        <v>32687</v>
      </c>
      <c r="T102" s="46">
        <v>109595</v>
      </c>
      <c r="U102" s="46">
        <v>21333</v>
      </c>
      <c r="V102" s="25">
        <v>433811.26648911083</v>
      </c>
      <c r="W102" s="25">
        <v>10385.862128765166</v>
      </c>
      <c r="X102" s="25">
        <v>3303.8713821240121</v>
      </c>
      <c r="Y102" s="46">
        <v>54637</v>
      </c>
      <c r="Z102" s="46">
        <v>179506</v>
      </c>
      <c r="AA102" s="46">
        <v>88308</v>
      </c>
      <c r="AB102" s="46">
        <v>50176</v>
      </c>
      <c r="AC102" s="46">
        <v>76244</v>
      </c>
      <c r="AD102" s="46">
        <v>121217</v>
      </c>
      <c r="AE102" s="46">
        <v>83888</v>
      </c>
      <c r="AF102" s="46">
        <v>150065</v>
      </c>
      <c r="AG102" s="46">
        <v>73148</v>
      </c>
      <c r="AH102" s="46">
        <v>101954</v>
      </c>
      <c r="AI102" s="46">
        <v>103544</v>
      </c>
      <c r="AJ102" s="46">
        <v>79945</v>
      </c>
      <c r="AK102" s="46">
        <v>129313</v>
      </c>
      <c r="AL102" s="46">
        <v>187915</v>
      </c>
      <c r="AM102" s="46">
        <v>105992</v>
      </c>
      <c r="AN102" s="46">
        <v>41813</v>
      </c>
      <c r="AO102" s="46">
        <v>75235</v>
      </c>
      <c r="AP102" s="46">
        <v>79968</v>
      </c>
      <c r="AQ102" s="25">
        <v>231741.35660714976</v>
      </c>
      <c r="AR102" s="25">
        <v>34484.752941129023</v>
      </c>
      <c r="AS102" s="25">
        <v>16753.735752267654</v>
      </c>
      <c r="AT102" s="25">
        <v>40159.15469945356</v>
      </c>
      <c r="AU102" s="46">
        <v>82220</v>
      </c>
      <c r="AV102" s="46">
        <v>552073</v>
      </c>
      <c r="AW102" s="46">
        <v>175093</v>
      </c>
      <c r="AX102" s="46">
        <v>1120579</v>
      </c>
      <c r="AY102" s="48">
        <f>AY101+AY88</f>
        <v>378084.26083375048</v>
      </c>
      <c r="AZ102" s="46">
        <v>23042</v>
      </c>
      <c r="BA102" s="46">
        <v>44807</v>
      </c>
      <c r="BB102" s="46">
        <v>138844</v>
      </c>
      <c r="BC102" s="46">
        <v>27787</v>
      </c>
      <c r="BD102" s="46">
        <v>276938</v>
      </c>
      <c r="BE102" s="46">
        <v>17903</v>
      </c>
      <c r="BF102" s="46">
        <v>43874</v>
      </c>
      <c r="BG102" s="46">
        <v>166879</v>
      </c>
      <c r="BH102" s="46">
        <v>167410</v>
      </c>
      <c r="BI102" s="46">
        <v>649009</v>
      </c>
      <c r="BJ102" s="46">
        <v>639752</v>
      </c>
      <c r="BK102" s="46">
        <v>228613</v>
      </c>
      <c r="BL102" s="46">
        <v>62891</v>
      </c>
      <c r="BM102" s="46">
        <v>104820</v>
      </c>
      <c r="BN102" s="46">
        <v>48479</v>
      </c>
      <c r="BO102" s="46">
        <v>261715</v>
      </c>
      <c r="BP102" s="46">
        <v>43096</v>
      </c>
      <c r="BQ102" s="46">
        <v>858764</v>
      </c>
      <c r="BR102" s="46">
        <v>351095</v>
      </c>
      <c r="BS102" s="46">
        <v>143437</v>
      </c>
      <c r="BT102" s="46">
        <v>202716</v>
      </c>
      <c r="BU102" s="46">
        <v>302873</v>
      </c>
      <c r="BV102" s="46">
        <v>40366</v>
      </c>
      <c r="BW102" s="46">
        <v>171919</v>
      </c>
      <c r="BX102" s="46">
        <v>74451</v>
      </c>
      <c r="BY102" s="25">
        <v>12010010</v>
      </c>
      <c r="BZ102" s="25">
        <v>0</v>
      </c>
      <c r="CA102" s="25">
        <v>0</v>
      </c>
      <c r="CB102" s="25">
        <v>0</v>
      </c>
      <c r="CC102" s="25">
        <v>0</v>
      </c>
      <c r="CD102" s="25">
        <v>0</v>
      </c>
      <c r="CE102" s="25">
        <v>0</v>
      </c>
      <c r="CF102" s="25">
        <v>0</v>
      </c>
      <c r="CG102" s="25">
        <v>12010010</v>
      </c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</row>
    <row r="103" spans="1:99" s="5" customFormat="1" x14ac:dyDescent="0.3">
      <c r="A103" s="28"/>
      <c r="B103" s="14" t="s">
        <v>198</v>
      </c>
      <c r="C103" s="5">
        <v>98</v>
      </c>
      <c r="D103" s="25">
        <v>6687599</v>
      </c>
      <c r="E103" s="25">
        <v>5891326</v>
      </c>
      <c r="F103" s="46">
        <v>801096</v>
      </c>
      <c r="G103" s="25">
        <v>118276</v>
      </c>
      <c r="H103" s="25">
        <v>50144</v>
      </c>
      <c r="I103" s="25">
        <v>35440</v>
      </c>
      <c r="J103" s="25">
        <v>28949</v>
      </c>
      <c r="K103" s="25">
        <v>765202</v>
      </c>
      <c r="L103" s="25">
        <v>156442</v>
      </c>
      <c r="M103" s="25">
        <v>1285134</v>
      </c>
      <c r="N103" s="25">
        <v>190956</v>
      </c>
      <c r="O103" s="25">
        <v>17784</v>
      </c>
      <c r="P103" s="25">
        <v>632157</v>
      </c>
      <c r="Q103" s="25">
        <v>1676586</v>
      </c>
      <c r="R103" s="25">
        <v>468535</v>
      </c>
      <c r="S103" s="25">
        <v>376397</v>
      </c>
      <c r="T103" s="25">
        <v>201777</v>
      </c>
      <c r="U103" s="25">
        <v>180593</v>
      </c>
      <c r="V103" s="25">
        <v>18842.967500000002</v>
      </c>
      <c r="W103" s="25">
        <v>2617.3804999999988</v>
      </c>
      <c r="X103" s="25">
        <v>260.65199999999999</v>
      </c>
      <c r="Y103" s="25">
        <v>98255</v>
      </c>
      <c r="Z103" s="25">
        <v>92285</v>
      </c>
      <c r="AA103" s="25">
        <v>85311</v>
      </c>
      <c r="AB103" s="25">
        <v>137454</v>
      </c>
      <c r="AC103" s="25">
        <v>104114</v>
      </c>
      <c r="AD103" s="25">
        <v>444627</v>
      </c>
      <c r="AE103" s="25">
        <v>563545</v>
      </c>
      <c r="AF103" s="25">
        <v>122810</v>
      </c>
      <c r="AG103" s="25">
        <v>100208</v>
      </c>
      <c r="AH103" s="25">
        <v>669483</v>
      </c>
      <c r="AI103" s="25">
        <v>127233</v>
      </c>
      <c r="AJ103" s="25">
        <v>198332</v>
      </c>
      <c r="AK103" s="25">
        <v>378379</v>
      </c>
      <c r="AL103" s="25">
        <v>160623</v>
      </c>
      <c r="AM103" s="25">
        <v>305020</v>
      </c>
      <c r="AN103" s="25">
        <v>81338</v>
      </c>
      <c r="AO103" s="25">
        <v>744311</v>
      </c>
      <c r="AP103" s="25">
        <v>532601</v>
      </c>
      <c r="AQ103" s="25">
        <v>102497.99157891489</v>
      </c>
      <c r="AR103" s="25">
        <v>16271.463246158866</v>
      </c>
      <c r="AS103" s="25">
        <v>12467.511832466309</v>
      </c>
      <c r="AT103" s="25">
        <v>27161.033342459919</v>
      </c>
      <c r="AU103" s="25">
        <v>563905</v>
      </c>
      <c r="AV103" s="25">
        <v>7617875</v>
      </c>
      <c r="AW103" s="25">
        <v>2968849</v>
      </c>
      <c r="AX103" s="25">
        <v>16293655</v>
      </c>
      <c r="AY103" s="40">
        <v>4076625</v>
      </c>
      <c r="AZ103" s="25">
        <v>52733</v>
      </c>
      <c r="BA103" s="25">
        <v>60529</v>
      </c>
      <c r="BB103" s="25">
        <v>808476</v>
      </c>
      <c r="BC103" s="25">
        <v>438611</v>
      </c>
      <c r="BD103" s="25">
        <v>5622208</v>
      </c>
      <c r="BE103" s="25">
        <v>136112</v>
      </c>
      <c r="BF103" s="25">
        <v>166605</v>
      </c>
      <c r="BG103" s="25">
        <v>252106</v>
      </c>
      <c r="BH103" s="25">
        <v>752017</v>
      </c>
      <c r="BI103" s="25">
        <v>1241143</v>
      </c>
      <c r="BJ103" s="25">
        <v>466409</v>
      </c>
      <c r="BK103" s="25">
        <v>1887743</v>
      </c>
      <c r="BL103" s="25">
        <v>630552</v>
      </c>
      <c r="BM103" s="25">
        <v>613009</v>
      </c>
      <c r="BN103" s="25">
        <v>298455</v>
      </c>
      <c r="BO103" s="25">
        <v>4178701</v>
      </c>
      <c r="BP103" s="25">
        <v>781913</v>
      </c>
      <c r="BQ103" s="25">
        <v>4825230</v>
      </c>
      <c r="BR103" s="25">
        <v>4202039</v>
      </c>
      <c r="BS103" s="25">
        <v>2878667</v>
      </c>
      <c r="BT103" s="25">
        <v>2218572</v>
      </c>
      <c r="BU103" s="25">
        <v>3428002</v>
      </c>
      <c r="BV103" s="25">
        <v>1122849</v>
      </c>
      <c r="BW103" s="25">
        <v>4502808</v>
      </c>
      <c r="BX103" s="25">
        <v>6563436</v>
      </c>
      <c r="BY103" s="25">
        <v>104340275</v>
      </c>
      <c r="BZ103" s="25">
        <v>0</v>
      </c>
      <c r="CA103" s="25">
        <v>0</v>
      </c>
      <c r="CB103" s="25">
        <v>0</v>
      </c>
      <c r="CC103" s="25">
        <v>0</v>
      </c>
      <c r="CD103" s="25">
        <v>0</v>
      </c>
      <c r="CE103" s="25">
        <v>0</v>
      </c>
      <c r="CF103" s="25">
        <v>0</v>
      </c>
      <c r="CG103" s="25">
        <v>104340275</v>
      </c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</row>
    <row r="105" spans="1:99" x14ac:dyDescent="0.3">
      <c r="AY105" s="29"/>
    </row>
    <row r="106" spans="1:99" x14ac:dyDescent="0.3">
      <c r="AY106" s="29"/>
    </row>
    <row r="108" spans="1:99" x14ac:dyDescent="0.3">
      <c r="AY108" s="29"/>
    </row>
  </sheetData>
  <mergeCells count="2">
    <mergeCell ref="A3:C3"/>
    <mergeCell ref="A4:C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392F2-9DA7-4638-BBAA-854A53BF3B86}">
  <sheetPr codeName="Planilha3"/>
  <dimension ref="A1:CU108"/>
  <sheetViews>
    <sheetView showGridLines="0" zoomScaleNormal="100" workbookViewId="0">
      <pane xSplit="2" ySplit="4" topLeftCell="AX86" activePane="bottomRight" state="frozen"/>
      <selection pane="topRight" activeCell="C1" sqref="C1"/>
      <selection pane="bottomLeft" activeCell="A7" sqref="A7"/>
      <selection pane="bottomRight" activeCell="AY102" sqref="AY102"/>
    </sheetView>
  </sheetViews>
  <sheetFormatPr defaultRowHeight="14.4" x14ac:dyDescent="0.3"/>
  <cols>
    <col min="1" max="1" width="9.44140625" style="33" customWidth="1"/>
    <col min="2" max="2" width="32.77734375" customWidth="1"/>
    <col min="4" max="5" width="11.6640625" bestFit="1" customWidth="1"/>
    <col min="6" max="8" width="10.109375" bestFit="1" customWidth="1"/>
    <col min="9" max="10" width="9.109375" bestFit="1" customWidth="1"/>
    <col min="11" max="12" width="10.109375" bestFit="1" customWidth="1"/>
    <col min="13" max="13" width="11.6640625" bestFit="1" customWidth="1"/>
    <col min="14" max="14" width="10.109375" bestFit="1" customWidth="1"/>
    <col min="15" max="15" width="9.109375" bestFit="1" customWidth="1"/>
    <col min="16" max="16" width="10.109375" bestFit="1" customWidth="1"/>
    <col min="17" max="17" width="11.6640625" bestFit="1" customWidth="1"/>
    <col min="18" max="22" width="10.109375" bestFit="1" customWidth="1"/>
    <col min="23" max="23" width="9.109375" bestFit="1" customWidth="1"/>
    <col min="24" max="24" width="9" bestFit="1" customWidth="1"/>
    <col min="25" max="25" width="9.109375" bestFit="1" customWidth="1"/>
    <col min="26" max="26" width="10.109375" bestFit="1" customWidth="1"/>
    <col min="27" max="27" width="9.109375" bestFit="1" customWidth="1"/>
    <col min="28" max="39" width="10.109375" bestFit="1" customWidth="1"/>
    <col min="40" max="40" width="9.109375" bestFit="1" customWidth="1"/>
    <col min="41" max="43" width="10.109375" bestFit="1" customWidth="1"/>
    <col min="44" max="46" width="9.109375" bestFit="1" customWidth="1"/>
    <col min="47" max="47" width="10.109375" bestFit="1" customWidth="1"/>
    <col min="48" max="49" width="11.6640625" bestFit="1" customWidth="1"/>
    <col min="50" max="50" width="12.6640625" bestFit="1" customWidth="1"/>
    <col min="51" max="51" width="11.6640625" bestFit="1" customWidth="1"/>
    <col min="52" max="53" width="9.109375" bestFit="1" customWidth="1"/>
    <col min="54" max="55" width="10.109375" bestFit="1" customWidth="1"/>
    <col min="56" max="56" width="11.6640625" bestFit="1" customWidth="1"/>
    <col min="57" max="60" width="10.109375" bestFit="1" customWidth="1"/>
    <col min="61" max="61" width="11.6640625" bestFit="1" customWidth="1"/>
    <col min="62" max="62" width="10.109375" bestFit="1" customWidth="1"/>
    <col min="63" max="63" width="11.6640625" bestFit="1" customWidth="1"/>
    <col min="64" max="66" width="10.109375" bestFit="1" customWidth="1"/>
    <col min="67" max="67" width="11.6640625" bestFit="1" customWidth="1"/>
    <col min="68" max="68" width="10.109375" bestFit="1" customWidth="1"/>
    <col min="69" max="76" width="11.6640625" bestFit="1" customWidth="1"/>
    <col min="77" max="77" width="13.77734375" bestFit="1" customWidth="1"/>
    <col min="78" max="79" width="11.6640625" bestFit="1" customWidth="1"/>
    <col min="80" max="80" width="10.109375" bestFit="1" customWidth="1"/>
    <col min="81" max="82" width="11.6640625" bestFit="1" customWidth="1"/>
    <col min="83" max="83" width="9.77734375" bestFit="1" customWidth="1"/>
    <col min="84" max="84" width="11.6640625" bestFit="1" customWidth="1"/>
    <col min="85" max="85" width="13.77734375" bestFit="1" customWidth="1"/>
    <col min="87" max="87" width="16.33203125" customWidth="1"/>
  </cols>
  <sheetData>
    <row r="1" spans="1:99" x14ac:dyDescent="0.3">
      <c r="A1" s="33" t="s">
        <v>0</v>
      </c>
    </row>
    <row r="3" spans="1:99" s="5" customFormat="1" x14ac:dyDescent="0.3">
      <c r="A3" s="75" t="s">
        <v>83</v>
      </c>
      <c r="B3" s="75"/>
      <c r="C3" s="75"/>
      <c r="D3" s="6" t="s">
        <v>10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  <c r="J3" s="6" t="s">
        <v>16</v>
      </c>
      <c r="K3" s="6" t="s">
        <v>17</v>
      </c>
      <c r="L3" s="6" t="s">
        <v>18</v>
      </c>
      <c r="M3" s="6" t="s">
        <v>19</v>
      </c>
      <c r="N3" s="6" t="s">
        <v>20</v>
      </c>
      <c r="O3" s="6" t="s">
        <v>21</v>
      </c>
      <c r="P3" s="6" t="s">
        <v>22</v>
      </c>
      <c r="Q3" s="6" t="s">
        <v>23</v>
      </c>
      <c r="R3" s="6" t="s">
        <v>24</v>
      </c>
      <c r="S3" s="6" t="s">
        <v>25</v>
      </c>
      <c r="T3" s="6" t="s">
        <v>26</v>
      </c>
      <c r="U3" s="6" t="s">
        <v>27</v>
      </c>
      <c r="V3" s="6" t="s">
        <v>28</v>
      </c>
      <c r="W3" s="6" t="s">
        <v>29</v>
      </c>
      <c r="X3" s="6" t="s">
        <v>30</v>
      </c>
      <c r="Y3" s="6" t="s">
        <v>31</v>
      </c>
      <c r="Z3" s="6" t="s">
        <v>32</v>
      </c>
      <c r="AA3" s="6" t="s">
        <v>33</v>
      </c>
      <c r="AB3" s="6" t="s">
        <v>34</v>
      </c>
      <c r="AC3" s="6" t="s">
        <v>35</v>
      </c>
      <c r="AD3" s="6" t="s">
        <v>36</v>
      </c>
      <c r="AE3" s="6" t="s">
        <v>37</v>
      </c>
      <c r="AF3" s="6" t="s">
        <v>38</v>
      </c>
      <c r="AG3" s="6" t="s">
        <v>39</v>
      </c>
      <c r="AH3" s="6" t="s">
        <v>40</v>
      </c>
      <c r="AI3" s="6" t="s">
        <v>41</v>
      </c>
      <c r="AJ3" s="6" t="s">
        <v>42</v>
      </c>
      <c r="AK3" s="6" t="s">
        <v>43</v>
      </c>
      <c r="AL3" s="6" t="s">
        <v>44</v>
      </c>
      <c r="AM3" s="6" t="s">
        <v>45</v>
      </c>
      <c r="AN3" s="6" t="s">
        <v>46</v>
      </c>
      <c r="AO3" s="6" t="s">
        <v>47</v>
      </c>
      <c r="AP3" s="6" t="s">
        <v>48</v>
      </c>
      <c r="AQ3" s="6" t="s">
        <v>49</v>
      </c>
      <c r="AR3" s="6" t="s">
        <v>50</v>
      </c>
      <c r="AS3" s="6" t="s">
        <v>51</v>
      </c>
      <c r="AT3" s="6" t="s">
        <v>52</v>
      </c>
      <c r="AU3" s="6" t="s">
        <v>53</v>
      </c>
      <c r="AV3" s="6" t="s">
        <v>54</v>
      </c>
      <c r="AW3" s="6" t="s">
        <v>55</v>
      </c>
      <c r="AX3" s="6" t="s">
        <v>56</v>
      </c>
      <c r="AY3" s="38" t="s">
        <v>57</v>
      </c>
      <c r="AZ3" s="6" t="s">
        <v>58</v>
      </c>
      <c r="BA3" s="6" t="s">
        <v>59</v>
      </c>
      <c r="BB3" s="6" t="s">
        <v>60</v>
      </c>
      <c r="BC3" s="6" t="s">
        <v>61</v>
      </c>
      <c r="BD3" s="6" t="s">
        <v>62</v>
      </c>
      <c r="BE3" s="6" t="s">
        <v>63</v>
      </c>
      <c r="BF3" s="6" t="s">
        <v>64</v>
      </c>
      <c r="BG3" s="6" t="s">
        <v>65</v>
      </c>
      <c r="BH3" s="6" t="s">
        <v>66</v>
      </c>
      <c r="BI3" s="6" t="s">
        <v>67</v>
      </c>
      <c r="BJ3" s="6" t="s">
        <v>68</v>
      </c>
      <c r="BK3" s="6" t="s">
        <v>69</v>
      </c>
      <c r="BL3" s="6" t="s">
        <v>70</v>
      </c>
      <c r="BM3" s="6" t="s">
        <v>71</v>
      </c>
      <c r="BN3" s="6" t="s">
        <v>72</v>
      </c>
      <c r="BO3" s="6" t="s">
        <v>73</v>
      </c>
      <c r="BP3" s="6" t="s">
        <v>74</v>
      </c>
      <c r="BQ3" s="6" t="s">
        <v>75</v>
      </c>
      <c r="BR3" s="6" t="s">
        <v>76</v>
      </c>
      <c r="BS3" s="6" t="s">
        <v>77</v>
      </c>
      <c r="BT3" s="6" t="s">
        <v>78</v>
      </c>
      <c r="BU3" s="6" t="s">
        <v>79</v>
      </c>
      <c r="BV3" s="6" t="s">
        <v>80</v>
      </c>
      <c r="BW3" s="6" t="s">
        <v>81</v>
      </c>
      <c r="BX3" s="6" t="s">
        <v>82</v>
      </c>
      <c r="BY3" s="3"/>
      <c r="BZ3" s="4"/>
      <c r="CA3" s="4"/>
      <c r="CB3" s="7"/>
      <c r="CC3" s="3"/>
      <c r="CD3" s="3"/>
      <c r="CE3" s="8"/>
      <c r="CF3" s="3"/>
      <c r="CG3" s="3"/>
      <c r="CH3"/>
      <c r="CI3"/>
      <c r="CJ3"/>
      <c r="CK3"/>
      <c r="CL3"/>
      <c r="CM3"/>
      <c r="CN3"/>
      <c r="CO3"/>
      <c r="CP3"/>
      <c r="CQ3"/>
      <c r="CR3"/>
      <c r="CS3"/>
      <c r="CT3"/>
      <c r="CU3"/>
    </row>
    <row r="4" spans="1:99" s="18" customFormat="1" ht="36.75" customHeight="1" x14ac:dyDescent="0.3">
      <c r="A4" s="73" t="s">
        <v>199</v>
      </c>
      <c r="B4" s="73"/>
      <c r="C4" s="74"/>
      <c r="D4" s="10" t="s">
        <v>84</v>
      </c>
      <c r="E4" s="10" t="s">
        <v>85</v>
      </c>
      <c r="F4" s="10" t="s">
        <v>86</v>
      </c>
      <c r="G4" s="10" t="s">
        <v>87</v>
      </c>
      <c r="H4" s="21" t="s">
        <v>88</v>
      </c>
      <c r="I4" s="10" t="s">
        <v>89</v>
      </c>
      <c r="J4" s="10" t="s">
        <v>90</v>
      </c>
      <c r="K4" s="10" t="s">
        <v>91</v>
      </c>
      <c r="L4" s="10" t="s">
        <v>92</v>
      </c>
      <c r="M4" s="10" t="s">
        <v>93</v>
      </c>
      <c r="N4" s="10" t="s">
        <v>94</v>
      </c>
      <c r="O4" s="10" t="s">
        <v>95</v>
      </c>
      <c r="P4" s="10" t="s">
        <v>96</v>
      </c>
      <c r="Q4" s="10" t="s">
        <v>97</v>
      </c>
      <c r="R4" s="10" t="s">
        <v>98</v>
      </c>
      <c r="S4" s="10" t="s">
        <v>99</v>
      </c>
      <c r="T4" s="10" t="s">
        <v>100</v>
      </c>
      <c r="U4" s="10" t="s">
        <v>101</v>
      </c>
      <c r="V4" s="21" t="s">
        <v>102</v>
      </c>
      <c r="W4" s="21" t="s">
        <v>103</v>
      </c>
      <c r="X4" s="10" t="s">
        <v>104</v>
      </c>
      <c r="Y4" s="21" t="s">
        <v>105</v>
      </c>
      <c r="Z4" s="10" t="s">
        <v>106</v>
      </c>
      <c r="AA4" s="10" t="s">
        <v>107</v>
      </c>
      <c r="AB4" s="10" t="s">
        <v>108</v>
      </c>
      <c r="AC4" s="10" t="s">
        <v>109</v>
      </c>
      <c r="AD4" s="10" t="s">
        <v>110</v>
      </c>
      <c r="AE4" s="10" t="s">
        <v>111</v>
      </c>
      <c r="AF4" s="10" t="s">
        <v>112</v>
      </c>
      <c r="AG4" s="10" t="s">
        <v>113</v>
      </c>
      <c r="AH4" s="10" t="s">
        <v>114</v>
      </c>
      <c r="AI4" s="10" t="s">
        <v>115</v>
      </c>
      <c r="AJ4" s="10" t="s">
        <v>116</v>
      </c>
      <c r="AK4" s="10" t="s">
        <v>117</v>
      </c>
      <c r="AL4" s="10" t="s">
        <v>118</v>
      </c>
      <c r="AM4" s="10" t="s">
        <v>119</v>
      </c>
      <c r="AN4" s="10" t="s">
        <v>120</v>
      </c>
      <c r="AO4" s="10" t="s">
        <v>121</v>
      </c>
      <c r="AP4" s="10" t="s">
        <v>122</v>
      </c>
      <c r="AQ4" s="21" t="s">
        <v>123</v>
      </c>
      <c r="AR4" s="21" t="s">
        <v>124</v>
      </c>
      <c r="AS4" s="21" t="s">
        <v>125</v>
      </c>
      <c r="AT4" s="21" t="s">
        <v>126</v>
      </c>
      <c r="AU4" s="10" t="s">
        <v>127</v>
      </c>
      <c r="AV4" s="10" t="s">
        <v>128</v>
      </c>
      <c r="AW4" s="10" t="s">
        <v>129</v>
      </c>
      <c r="AX4" s="10" t="s">
        <v>130</v>
      </c>
      <c r="AY4" s="32" t="s">
        <v>131</v>
      </c>
      <c r="AZ4" s="10" t="s">
        <v>132</v>
      </c>
      <c r="BA4" s="10" t="s">
        <v>133</v>
      </c>
      <c r="BB4" s="10" t="s">
        <v>134</v>
      </c>
      <c r="BC4" s="10" t="s">
        <v>135</v>
      </c>
      <c r="BD4" s="10" t="s">
        <v>136</v>
      </c>
      <c r="BE4" s="10" t="s">
        <v>137</v>
      </c>
      <c r="BF4" s="10" t="s">
        <v>138</v>
      </c>
      <c r="BG4" s="10" t="s">
        <v>139</v>
      </c>
      <c r="BH4" s="10" t="s">
        <v>140</v>
      </c>
      <c r="BI4" s="10" t="s">
        <v>141</v>
      </c>
      <c r="BJ4" s="10" t="s">
        <v>142</v>
      </c>
      <c r="BK4" s="10" t="s">
        <v>143</v>
      </c>
      <c r="BL4" s="10" t="s">
        <v>144</v>
      </c>
      <c r="BM4" s="10" t="s">
        <v>145</v>
      </c>
      <c r="BN4" s="10" t="s">
        <v>146</v>
      </c>
      <c r="BO4" s="10" t="s">
        <v>147</v>
      </c>
      <c r="BP4" s="10" t="s">
        <v>148</v>
      </c>
      <c r="BQ4" s="10" t="s">
        <v>149</v>
      </c>
      <c r="BR4" s="10" t="s">
        <v>150</v>
      </c>
      <c r="BS4" s="10" t="s">
        <v>151</v>
      </c>
      <c r="BT4" s="10" t="s">
        <v>152</v>
      </c>
      <c r="BU4" s="10" t="s">
        <v>153</v>
      </c>
      <c r="BV4" s="10" t="s">
        <v>154</v>
      </c>
      <c r="BW4" s="10" t="s">
        <v>155</v>
      </c>
      <c r="BX4" s="10" t="s">
        <v>156</v>
      </c>
      <c r="BY4" s="10" t="s">
        <v>157</v>
      </c>
      <c r="BZ4" s="10" t="s">
        <v>158</v>
      </c>
      <c r="CA4" s="10" t="s">
        <v>159</v>
      </c>
      <c r="CB4" s="10" t="s">
        <v>160</v>
      </c>
      <c r="CC4" s="10" t="s">
        <v>161</v>
      </c>
      <c r="CD4" s="10" t="s">
        <v>162</v>
      </c>
      <c r="CE4" s="10" t="s">
        <v>163</v>
      </c>
      <c r="CF4" s="10" t="s">
        <v>164</v>
      </c>
      <c r="CG4" s="22" t="s">
        <v>165</v>
      </c>
      <c r="CH4"/>
      <c r="CI4" s="23" t="s">
        <v>217</v>
      </c>
      <c r="CJ4"/>
      <c r="CK4"/>
      <c r="CL4"/>
      <c r="CM4"/>
      <c r="CN4"/>
      <c r="CO4"/>
      <c r="CP4"/>
      <c r="CQ4"/>
      <c r="CR4"/>
      <c r="CS4"/>
      <c r="CT4"/>
      <c r="CU4"/>
    </row>
    <row r="5" spans="1:99" s="5" customFormat="1" x14ac:dyDescent="0.3">
      <c r="A5" s="28"/>
      <c r="B5" s="5" t="s">
        <v>216</v>
      </c>
      <c r="C5" s="5">
        <v>0</v>
      </c>
      <c r="D5" s="25">
        <v>1</v>
      </c>
      <c r="E5" s="25">
        <v>2</v>
      </c>
      <c r="F5" s="25">
        <v>3</v>
      </c>
      <c r="G5" s="25">
        <v>4</v>
      </c>
      <c r="H5" s="25">
        <v>5</v>
      </c>
      <c r="I5" s="25">
        <v>6</v>
      </c>
      <c r="J5" s="25">
        <v>7</v>
      </c>
      <c r="K5" s="25">
        <v>8</v>
      </c>
      <c r="L5" s="25">
        <v>9</v>
      </c>
      <c r="M5" s="25">
        <v>10</v>
      </c>
      <c r="N5" s="25">
        <v>11</v>
      </c>
      <c r="O5" s="25">
        <v>12</v>
      </c>
      <c r="P5" s="25">
        <v>13</v>
      </c>
      <c r="Q5" s="25">
        <v>14</v>
      </c>
      <c r="R5" s="25">
        <v>15</v>
      </c>
      <c r="S5" s="25">
        <v>16</v>
      </c>
      <c r="T5" s="25">
        <v>17</v>
      </c>
      <c r="U5" s="25">
        <v>18</v>
      </c>
      <c r="V5" s="25">
        <v>19</v>
      </c>
      <c r="W5" s="25">
        <v>20</v>
      </c>
      <c r="X5" s="25">
        <v>21</v>
      </c>
      <c r="Y5" s="25">
        <v>22</v>
      </c>
      <c r="Z5" s="25">
        <v>23</v>
      </c>
      <c r="AA5" s="25">
        <v>24</v>
      </c>
      <c r="AB5" s="25">
        <v>25</v>
      </c>
      <c r="AC5" s="25">
        <v>26</v>
      </c>
      <c r="AD5" s="25">
        <v>27</v>
      </c>
      <c r="AE5" s="25">
        <v>28</v>
      </c>
      <c r="AF5" s="25">
        <v>29</v>
      </c>
      <c r="AG5" s="25">
        <v>30</v>
      </c>
      <c r="AH5" s="25">
        <v>31</v>
      </c>
      <c r="AI5" s="25">
        <v>32</v>
      </c>
      <c r="AJ5" s="25">
        <v>33</v>
      </c>
      <c r="AK5" s="25">
        <v>34</v>
      </c>
      <c r="AL5" s="25">
        <v>35</v>
      </c>
      <c r="AM5" s="25">
        <v>36</v>
      </c>
      <c r="AN5" s="25">
        <v>37</v>
      </c>
      <c r="AO5" s="25">
        <v>38</v>
      </c>
      <c r="AP5" s="25">
        <v>39</v>
      </c>
      <c r="AQ5" s="25">
        <v>40</v>
      </c>
      <c r="AR5" s="25">
        <v>41</v>
      </c>
      <c r="AS5" s="25">
        <v>42</v>
      </c>
      <c r="AT5" s="25">
        <v>43</v>
      </c>
      <c r="AU5" s="25">
        <v>44</v>
      </c>
      <c r="AV5" s="25">
        <v>45</v>
      </c>
      <c r="AW5" s="25">
        <v>46</v>
      </c>
      <c r="AX5" s="25">
        <v>47</v>
      </c>
      <c r="AY5" s="40">
        <v>48</v>
      </c>
      <c r="AZ5" s="25">
        <v>49</v>
      </c>
      <c r="BA5" s="25">
        <v>50</v>
      </c>
      <c r="BB5" s="25">
        <v>51</v>
      </c>
      <c r="BC5" s="25">
        <v>52</v>
      </c>
      <c r="BD5" s="25">
        <v>53</v>
      </c>
      <c r="BE5" s="25">
        <v>54</v>
      </c>
      <c r="BF5" s="25">
        <v>55</v>
      </c>
      <c r="BG5" s="25">
        <v>56</v>
      </c>
      <c r="BH5" s="25">
        <v>57</v>
      </c>
      <c r="BI5" s="25">
        <v>58</v>
      </c>
      <c r="BJ5" s="25">
        <v>59</v>
      </c>
      <c r="BK5" s="25">
        <v>60</v>
      </c>
      <c r="BL5" s="25">
        <v>61</v>
      </c>
      <c r="BM5" s="25">
        <v>62</v>
      </c>
      <c r="BN5" s="25">
        <v>63</v>
      </c>
      <c r="BO5" s="25">
        <v>64</v>
      </c>
      <c r="BP5" s="25">
        <v>65</v>
      </c>
      <c r="BQ5" s="25">
        <v>66</v>
      </c>
      <c r="BR5" s="25">
        <v>67</v>
      </c>
      <c r="BS5" s="25">
        <v>68</v>
      </c>
      <c r="BT5" s="25">
        <v>69</v>
      </c>
      <c r="BU5" s="25">
        <v>70</v>
      </c>
      <c r="BV5" s="25">
        <v>71</v>
      </c>
      <c r="BW5" s="25">
        <v>72</v>
      </c>
      <c r="BX5" s="25">
        <v>73</v>
      </c>
      <c r="BY5" s="25">
        <v>74</v>
      </c>
      <c r="BZ5" s="25">
        <v>75</v>
      </c>
      <c r="CA5" s="25">
        <v>76</v>
      </c>
      <c r="CB5" s="25">
        <v>77</v>
      </c>
      <c r="CC5" s="25">
        <v>78</v>
      </c>
      <c r="CD5" s="25">
        <v>79</v>
      </c>
      <c r="CE5" s="25">
        <v>80</v>
      </c>
      <c r="CF5" s="25">
        <v>81</v>
      </c>
      <c r="CG5" s="25">
        <v>82</v>
      </c>
      <c r="CH5"/>
      <c r="CI5"/>
      <c r="CJ5"/>
      <c r="CK5"/>
      <c r="CL5"/>
      <c r="CM5"/>
      <c r="CN5"/>
      <c r="CO5"/>
      <c r="CP5"/>
      <c r="CQ5"/>
      <c r="CR5"/>
      <c r="CS5"/>
      <c r="CT5"/>
      <c r="CU5"/>
    </row>
    <row r="6" spans="1:99" s="5" customFormat="1" x14ac:dyDescent="0.3">
      <c r="A6" s="35" t="s">
        <v>10</v>
      </c>
      <c r="B6" s="11" t="s">
        <v>84</v>
      </c>
      <c r="C6" s="5">
        <v>1</v>
      </c>
      <c r="D6" s="25">
        <v>8170.3585637550368</v>
      </c>
      <c r="E6" s="25">
        <v>5290.2246154753748</v>
      </c>
      <c r="F6" s="25">
        <v>156.75541627172311</v>
      </c>
      <c r="G6" s="25">
        <v>1.8265936654504866</v>
      </c>
      <c r="H6" s="25">
        <v>9.8692678733555947</v>
      </c>
      <c r="I6" s="25">
        <v>1.1434983751776158</v>
      </c>
      <c r="J6" s="25">
        <v>1.7841451108463606</v>
      </c>
      <c r="K6" s="25">
        <v>7264.3074217892336</v>
      </c>
      <c r="L6" s="25">
        <v>28021.779951859517</v>
      </c>
      <c r="M6" s="25">
        <v>76458.431982105394</v>
      </c>
      <c r="N6" s="25">
        <v>2089.301122965418</v>
      </c>
      <c r="O6" s="25">
        <v>4889.0334562745547</v>
      </c>
      <c r="P6" s="25">
        <v>5526.2619355557763</v>
      </c>
      <c r="Q6" s="25">
        <v>518.70182235905122</v>
      </c>
      <c r="R6" s="25">
        <v>6.6028531108425392</v>
      </c>
      <c r="S6" s="25">
        <v>90.994168979580451</v>
      </c>
      <c r="T6" s="25">
        <v>172.72947782361703</v>
      </c>
      <c r="U6" s="25">
        <v>0.25638422525185894</v>
      </c>
      <c r="V6" s="25">
        <v>8.6760448701173694</v>
      </c>
      <c r="W6" s="25">
        <v>5.1985351458124253E-2</v>
      </c>
      <c r="X6" s="25">
        <v>4.1880585965028361E-2</v>
      </c>
      <c r="Y6" s="25">
        <v>22484.789844317234</v>
      </c>
      <c r="Z6" s="25">
        <v>15.129223292162088</v>
      </c>
      <c r="AA6" s="25">
        <v>18.049511164446795</v>
      </c>
      <c r="AB6" s="25">
        <v>2.2091674518525384</v>
      </c>
      <c r="AC6" s="25">
        <v>13.484793956070876</v>
      </c>
      <c r="AD6" s="25">
        <v>38.146982219297641</v>
      </c>
      <c r="AE6" s="25">
        <v>14.41800402514575</v>
      </c>
      <c r="AF6" s="25">
        <v>42.241869048424284</v>
      </c>
      <c r="AG6" s="25">
        <v>26.216601753861756</v>
      </c>
      <c r="AH6" s="25">
        <v>2.7665426077325765</v>
      </c>
      <c r="AI6" s="25">
        <v>0.27528051354986038</v>
      </c>
      <c r="AJ6" s="25">
        <v>0.30007580998381012</v>
      </c>
      <c r="AK6" s="25">
        <v>0.76078595478699595</v>
      </c>
      <c r="AL6" s="25">
        <v>0.62121564876030877</v>
      </c>
      <c r="AM6" s="25">
        <v>0.40229090929930417</v>
      </c>
      <c r="AN6" s="25">
        <v>0.52416478719133319</v>
      </c>
      <c r="AO6" s="25">
        <v>10.450240451838136</v>
      </c>
      <c r="AP6" s="25">
        <v>6.5167124309798277E-2</v>
      </c>
      <c r="AQ6" s="25">
        <v>0.47598928642375304</v>
      </c>
      <c r="AR6" s="25">
        <v>7.775328236648224E-2</v>
      </c>
      <c r="AS6" s="25">
        <v>5.5707325295208235E-2</v>
      </c>
      <c r="AT6" s="25">
        <v>6.2671932577787817E-2</v>
      </c>
      <c r="AU6" s="25">
        <v>28.709259395886477</v>
      </c>
      <c r="AV6" s="25">
        <v>402.52784558732344</v>
      </c>
      <c r="AW6" s="25">
        <v>2.6558165118985206</v>
      </c>
      <c r="AX6" s="25">
        <v>12090.688466642019</v>
      </c>
      <c r="AY6" s="40">
        <v>0.96387780989135174</v>
      </c>
      <c r="AZ6" s="25">
        <v>2.8456625428414355E-2</v>
      </c>
      <c r="BA6" s="25">
        <v>0.29297864919859229</v>
      </c>
      <c r="BB6" s="25">
        <v>12.456639228872454</v>
      </c>
      <c r="BC6" s="25">
        <v>277.13534060042315</v>
      </c>
      <c r="BD6" s="25">
        <v>4385.9633781037455</v>
      </c>
      <c r="BE6" s="25">
        <v>8.8943907571197967E-2</v>
      </c>
      <c r="BF6" s="25">
        <v>0.61952656697168762</v>
      </c>
      <c r="BG6" s="25">
        <v>44.855834635168591</v>
      </c>
      <c r="BH6" s="25">
        <v>2.1532612042301911</v>
      </c>
      <c r="BI6" s="25">
        <v>14.762971379241696</v>
      </c>
      <c r="BJ6" s="25">
        <v>20.406510384138318</v>
      </c>
      <c r="BK6" s="25">
        <v>7.4743083771072696</v>
      </c>
      <c r="BL6" s="25">
        <v>12.024632225077942</v>
      </c>
      <c r="BM6" s="25">
        <v>0.80278957521532313</v>
      </c>
      <c r="BN6" s="25">
        <v>0.68757086229482445</v>
      </c>
      <c r="BO6" s="25">
        <v>133.6113996922229</v>
      </c>
      <c r="BP6" s="25">
        <v>0.22205855349642836</v>
      </c>
      <c r="BQ6" s="25">
        <v>947.5703167868362</v>
      </c>
      <c r="BR6" s="25">
        <v>357.35735790290295</v>
      </c>
      <c r="BS6" s="25">
        <v>43.808220731163033</v>
      </c>
      <c r="BT6" s="25">
        <v>354.48804759054798</v>
      </c>
      <c r="BU6" s="25">
        <v>180.63426154222449</v>
      </c>
      <c r="BV6" s="25">
        <v>2.8571215276014543</v>
      </c>
      <c r="BW6" s="25">
        <v>249.9117666841272</v>
      </c>
      <c r="BX6" s="25">
        <v>0</v>
      </c>
      <c r="BY6" s="25">
        <v>180926.41543052823</v>
      </c>
      <c r="BZ6" s="25">
        <v>150718.72070721895</v>
      </c>
      <c r="CA6" s="25">
        <v>48.304677811300436</v>
      </c>
      <c r="CB6" s="25">
        <v>0</v>
      </c>
      <c r="CC6" s="25">
        <v>71191.69865990871</v>
      </c>
      <c r="CD6" s="25">
        <v>3188.2578459532156</v>
      </c>
      <c r="CE6" s="25">
        <v>-8036.3973214191938</v>
      </c>
      <c r="CF6" s="25">
        <v>217110.58456947276</v>
      </c>
      <c r="CG6" s="25">
        <v>398037</v>
      </c>
      <c r="CH6"/>
      <c r="CI6">
        <f>CF6/CG6</f>
        <v>0.54545327336270943</v>
      </c>
      <c r="CJ6"/>
      <c r="CK6"/>
      <c r="CL6"/>
      <c r="CM6"/>
      <c r="CN6"/>
      <c r="CO6"/>
      <c r="CP6"/>
      <c r="CQ6"/>
      <c r="CR6"/>
      <c r="CS6"/>
      <c r="CT6"/>
      <c r="CU6"/>
    </row>
    <row r="7" spans="1:99" s="5" customFormat="1" x14ac:dyDescent="0.3">
      <c r="A7" s="35" t="s">
        <v>11</v>
      </c>
      <c r="B7" s="13" t="s">
        <v>85</v>
      </c>
      <c r="C7" s="5">
        <v>2</v>
      </c>
      <c r="D7" s="25">
        <v>1004.9599480586429</v>
      </c>
      <c r="E7" s="25">
        <v>6106.8110826632919</v>
      </c>
      <c r="F7" s="25">
        <v>183.36264177324406</v>
      </c>
      <c r="G7" s="25">
        <v>3.7251917417697502</v>
      </c>
      <c r="H7" s="25">
        <v>22.938999760799192</v>
      </c>
      <c r="I7" s="25">
        <v>1.9494383646877278</v>
      </c>
      <c r="J7" s="25">
        <v>3.2441343482799234</v>
      </c>
      <c r="K7" s="25">
        <v>84046.278778938227</v>
      </c>
      <c r="L7" s="25">
        <v>152.99908415771603</v>
      </c>
      <c r="M7" s="25">
        <v>4376.6754683023546</v>
      </c>
      <c r="N7" s="25">
        <v>64.457871783543212</v>
      </c>
      <c r="O7" s="25">
        <v>192.81142734628352</v>
      </c>
      <c r="P7" s="25">
        <v>250.24140175138066</v>
      </c>
      <c r="Q7" s="25">
        <v>190.38282124822351</v>
      </c>
      <c r="R7" s="25">
        <v>6.6377087169135978</v>
      </c>
      <c r="S7" s="25">
        <v>143.03866277632443</v>
      </c>
      <c r="T7" s="25">
        <v>239.09947093450924</v>
      </c>
      <c r="U7" s="25">
        <v>0.46679487836281836</v>
      </c>
      <c r="V7" s="25">
        <v>0.72657441686736923</v>
      </c>
      <c r="W7" s="25">
        <v>1.8633166065896906E-2</v>
      </c>
      <c r="X7" s="25">
        <v>1.1905970261005054E-4</v>
      </c>
      <c r="Y7" s="25">
        <v>178.77565097574035</v>
      </c>
      <c r="Z7" s="25">
        <v>46.126671784309423</v>
      </c>
      <c r="AA7" s="25">
        <v>7.8961204788321702</v>
      </c>
      <c r="AB7" s="25">
        <v>5.0532194762631137</v>
      </c>
      <c r="AC7" s="25">
        <v>5.4165196403264799</v>
      </c>
      <c r="AD7" s="25">
        <v>52.888428128073755</v>
      </c>
      <c r="AE7" s="25">
        <v>56.619523615988562</v>
      </c>
      <c r="AF7" s="25">
        <v>70.623100029612473</v>
      </c>
      <c r="AG7" s="25">
        <v>49.444453849785951</v>
      </c>
      <c r="AH7" s="25">
        <v>2.5281526123934794</v>
      </c>
      <c r="AI7" s="25">
        <v>0.71683903192758858</v>
      </c>
      <c r="AJ7" s="25">
        <v>0.95724033340132586</v>
      </c>
      <c r="AK7" s="25">
        <v>1.7317396507557885</v>
      </c>
      <c r="AL7" s="25">
        <v>1.2427439826314215</v>
      </c>
      <c r="AM7" s="25">
        <v>0.99247142732795113</v>
      </c>
      <c r="AN7" s="25">
        <v>0.87514562835797638</v>
      </c>
      <c r="AO7" s="25">
        <v>7.2734053036547248</v>
      </c>
      <c r="AP7" s="25">
        <v>0.23085892359978147</v>
      </c>
      <c r="AQ7" s="25">
        <v>0.79136221645248883</v>
      </c>
      <c r="AR7" s="25">
        <v>0.12926973699827596</v>
      </c>
      <c r="AS7" s="25">
        <v>9.2616942598596805E-2</v>
      </c>
      <c r="AT7" s="25">
        <v>0.16790002300394893</v>
      </c>
      <c r="AU7" s="25">
        <v>5.6993906819098523</v>
      </c>
      <c r="AV7" s="25">
        <v>751.86310402788058</v>
      </c>
      <c r="AW7" s="25">
        <v>3.5113748444759909</v>
      </c>
      <c r="AX7" s="25">
        <v>386.7819921050762</v>
      </c>
      <c r="AY7" s="40">
        <v>1.0736839243328027</v>
      </c>
      <c r="AZ7" s="25">
        <v>3.7829303623082386E-2</v>
      </c>
      <c r="BA7" s="25">
        <v>0.34145151276670077</v>
      </c>
      <c r="BB7" s="25">
        <v>22.136467538097708</v>
      </c>
      <c r="BC7" s="25">
        <v>331.24358668682538</v>
      </c>
      <c r="BD7" s="25">
        <v>1919.4590430805827</v>
      </c>
      <c r="BE7" s="25">
        <v>0.2161854615611089</v>
      </c>
      <c r="BF7" s="25">
        <v>1.1913409292001311</v>
      </c>
      <c r="BG7" s="25">
        <v>80.686602968630282</v>
      </c>
      <c r="BH7" s="25">
        <v>4.2899017804822597</v>
      </c>
      <c r="BI7" s="25">
        <v>25.488379421314729</v>
      </c>
      <c r="BJ7" s="25">
        <v>38.429739375891096</v>
      </c>
      <c r="BK7" s="25">
        <v>6.8296279889470402</v>
      </c>
      <c r="BL7" s="25">
        <v>14.525770311032861</v>
      </c>
      <c r="BM7" s="25">
        <v>6.4682791513961932</v>
      </c>
      <c r="BN7" s="25">
        <v>1.1312263065100876</v>
      </c>
      <c r="BO7" s="25">
        <v>36.689298254266326</v>
      </c>
      <c r="BP7" s="25">
        <v>0.34850965765194736</v>
      </c>
      <c r="BQ7" s="25">
        <v>301.7084388258184</v>
      </c>
      <c r="BR7" s="25">
        <v>120.20425464728527</v>
      </c>
      <c r="BS7" s="25">
        <v>17.20442615350531</v>
      </c>
      <c r="BT7" s="25">
        <v>110.89111706924955</v>
      </c>
      <c r="BU7" s="25">
        <v>110.42371512129856</v>
      </c>
      <c r="BV7" s="25">
        <v>3.3228891676786421</v>
      </c>
      <c r="BW7" s="25">
        <v>37.971526631359737</v>
      </c>
      <c r="BX7" s="25">
        <v>0</v>
      </c>
      <c r="BY7" s="25">
        <v>101821.56884090786</v>
      </c>
      <c r="BZ7" s="25">
        <v>7635.5156799557371</v>
      </c>
      <c r="CA7" s="25">
        <v>3.1875318976939022</v>
      </c>
      <c r="CB7" s="25">
        <v>0</v>
      </c>
      <c r="CC7" s="25">
        <v>27053.775013630471</v>
      </c>
      <c r="CD7" s="25">
        <v>16625.080155780848</v>
      </c>
      <c r="CE7" s="25">
        <v>-1180.127222172031</v>
      </c>
      <c r="CF7" s="25">
        <v>50137.431159092717</v>
      </c>
      <c r="CG7" s="25">
        <v>151959</v>
      </c>
      <c r="CH7"/>
      <c r="CI7">
        <f t="shared" ref="CI7:CI70" si="0">CF7/CG7</f>
        <v>0.32994051789688478</v>
      </c>
      <c r="CJ7"/>
      <c r="CK7"/>
      <c r="CL7"/>
      <c r="CM7"/>
      <c r="CN7"/>
      <c r="CO7"/>
      <c r="CP7"/>
      <c r="CQ7"/>
      <c r="CR7"/>
      <c r="CS7"/>
      <c r="CT7"/>
      <c r="CU7"/>
    </row>
    <row r="8" spans="1:99" s="5" customFormat="1" x14ac:dyDescent="0.3">
      <c r="A8" s="35" t="s">
        <v>12</v>
      </c>
      <c r="B8" s="11" t="s">
        <v>86</v>
      </c>
      <c r="C8" s="5">
        <v>3</v>
      </c>
      <c r="D8" s="25">
        <v>1414.9162471721204</v>
      </c>
      <c r="E8" s="25">
        <v>1437.2819167483406</v>
      </c>
      <c r="F8" s="25">
        <v>2063.4116713835965</v>
      </c>
      <c r="G8" s="25">
        <v>1.7907537375428697</v>
      </c>
      <c r="H8" s="25">
        <v>1.8236877020896338</v>
      </c>
      <c r="I8" s="25">
        <v>0.17010572661289142</v>
      </c>
      <c r="J8" s="25">
        <v>0.24112750829763532</v>
      </c>
      <c r="K8" s="25">
        <v>1830.0669762429854</v>
      </c>
      <c r="L8" s="25">
        <v>0.62916373472518561</v>
      </c>
      <c r="M8" s="25">
        <v>261.16769046085176</v>
      </c>
      <c r="N8" s="25">
        <v>13.874287846282671</v>
      </c>
      <c r="O8" s="25">
        <v>13.08516513910569</v>
      </c>
      <c r="P8" s="25">
        <v>25.024371787544709</v>
      </c>
      <c r="Q8" s="25">
        <v>8.2471144472668492</v>
      </c>
      <c r="R8" s="25">
        <v>6.7889500096319866</v>
      </c>
      <c r="S8" s="25">
        <v>1995.4594845151778</v>
      </c>
      <c r="T8" s="25">
        <v>3242.7460529296191</v>
      </c>
      <c r="U8" s="25">
        <v>3.5396002003790672E-2</v>
      </c>
      <c r="V8" s="25">
        <v>5.6630046727920477E-2</v>
      </c>
      <c r="W8" s="25">
        <v>1.4522904199549627E-3</v>
      </c>
      <c r="X8" s="25">
        <v>9.2796503230724744E-6</v>
      </c>
      <c r="Y8" s="25">
        <v>3.6633905640805215</v>
      </c>
      <c r="Z8" s="25">
        <v>162.13204369687799</v>
      </c>
      <c r="AA8" s="25">
        <v>2.8177034898405644</v>
      </c>
      <c r="AB8" s="25">
        <v>8.4317616603028514E-2</v>
      </c>
      <c r="AC8" s="25">
        <v>0.12671282335646378</v>
      </c>
      <c r="AD8" s="25">
        <v>713.86171172111449</v>
      </c>
      <c r="AE8" s="25">
        <v>59.563968889639597</v>
      </c>
      <c r="AF8" s="25">
        <v>910.44283339304809</v>
      </c>
      <c r="AG8" s="25">
        <v>3.7053404847024716</v>
      </c>
      <c r="AH8" s="25">
        <v>5.5140516538674165</v>
      </c>
      <c r="AI8" s="25">
        <v>6.9501985583974399E-2</v>
      </c>
      <c r="AJ8" s="25">
        <v>8.8522362408470917E-2</v>
      </c>
      <c r="AK8" s="25">
        <v>0.17941950541561633</v>
      </c>
      <c r="AL8" s="25">
        <v>0.11471484227311096</v>
      </c>
      <c r="AM8" s="25">
        <v>9.3657763570745303E-2</v>
      </c>
      <c r="AN8" s="25">
        <v>7.69524083446088E-2</v>
      </c>
      <c r="AO8" s="25">
        <v>2.7733870366838729</v>
      </c>
      <c r="AP8" s="25">
        <v>2.5223990108438052E-2</v>
      </c>
      <c r="AQ8" s="25">
        <v>9.4589682079335602E-2</v>
      </c>
      <c r="AR8" s="25">
        <v>1.5451310500973812E-2</v>
      </c>
      <c r="AS8" s="25">
        <v>1.1070287377167583E-2</v>
      </c>
      <c r="AT8" s="25">
        <v>1.9459657359411225E-2</v>
      </c>
      <c r="AU8" s="25">
        <v>0.42571360073375503</v>
      </c>
      <c r="AV8" s="25">
        <v>759.42361424331023</v>
      </c>
      <c r="AW8" s="25">
        <v>0.27333370517085248</v>
      </c>
      <c r="AX8" s="25">
        <v>161.92522609786855</v>
      </c>
      <c r="AY8" s="40">
        <v>9.9740227752357191E-2</v>
      </c>
      <c r="AZ8" s="25">
        <v>3.0144069070318692E-3</v>
      </c>
      <c r="BA8" s="25">
        <v>2.7363156919616407E-2</v>
      </c>
      <c r="BB8" s="25">
        <v>1.658527227286452</v>
      </c>
      <c r="BC8" s="25">
        <v>42.674553406755052</v>
      </c>
      <c r="BD8" s="25">
        <v>549.53667873059203</v>
      </c>
      <c r="BE8" s="25">
        <v>2.1951251293934292E-2</v>
      </c>
      <c r="BF8" s="25">
        <v>0.10959412749709906</v>
      </c>
      <c r="BG8" s="25">
        <v>5.9766223809669254</v>
      </c>
      <c r="BH8" s="25">
        <v>0.36575555478757793</v>
      </c>
      <c r="BI8" s="25">
        <v>1.9402982242055844</v>
      </c>
      <c r="BJ8" s="25">
        <v>2.9162218583507364</v>
      </c>
      <c r="BK8" s="25">
        <v>0.52073672703949758</v>
      </c>
      <c r="BL8" s="25">
        <v>3.7816157695125314</v>
      </c>
      <c r="BM8" s="25">
        <v>8.3967238846812273E-2</v>
      </c>
      <c r="BN8" s="25">
        <v>9.5237421802415026E-2</v>
      </c>
      <c r="BO8" s="25">
        <v>2.6303824415515304</v>
      </c>
      <c r="BP8" s="25">
        <v>2.9566698016518424E-2</v>
      </c>
      <c r="BQ8" s="25">
        <v>91.342913757021137</v>
      </c>
      <c r="BR8" s="25">
        <v>66.866054201546447</v>
      </c>
      <c r="BS8" s="25">
        <v>8.8889307885185183</v>
      </c>
      <c r="BT8" s="25">
        <v>63.403734529167671</v>
      </c>
      <c r="BU8" s="25">
        <v>19.813852317385631</v>
      </c>
      <c r="BV8" s="25">
        <v>0.24397311000560906</v>
      </c>
      <c r="BW8" s="25">
        <v>2.9434756273310647</v>
      </c>
      <c r="BX8" s="25">
        <v>0</v>
      </c>
      <c r="BY8" s="25">
        <v>15970.314928703579</v>
      </c>
      <c r="BZ8" s="25">
        <v>3068.1585803453418</v>
      </c>
      <c r="CA8" s="25">
        <v>2.4427055863110838</v>
      </c>
      <c r="CB8" s="25">
        <v>0</v>
      </c>
      <c r="CC8" s="25">
        <v>17611.770193053253</v>
      </c>
      <c r="CD8" s="25">
        <v>1054.0029907200783</v>
      </c>
      <c r="CE8" s="25">
        <v>163.31060159146062</v>
      </c>
      <c r="CF8" s="25">
        <v>21899.685071296459</v>
      </c>
      <c r="CG8" s="25">
        <v>37870</v>
      </c>
      <c r="CH8"/>
      <c r="CI8">
        <f t="shared" si="0"/>
        <v>0.57828584819900863</v>
      </c>
      <c r="CJ8"/>
      <c r="CK8"/>
      <c r="CL8"/>
      <c r="CM8"/>
      <c r="CN8"/>
      <c r="CO8"/>
      <c r="CP8"/>
      <c r="CQ8"/>
      <c r="CR8"/>
      <c r="CS8"/>
      <c r="CT8"/>
      <c r="CU8"/>
    </row>
    <row r="9" spans="1:99" s="5" customFormat="1" x14ac:dyDescent="0.3">
      <c r="A9" s="35" t="s">
        <v>13</v>
      </c>
      <c r="B9" s="11" t="s">
        <v>87</v>
      </c>
      <c r="C9" s="5">
        <v>4</v>
      </c>
      <c r="D9" s="25">
        <v>154.57131376529347</v>
      </c>
      <c r="E9" s="25">
        <v>418.65628402609394</v>
      </c>
      <c r="F9" s="25">
        <v>13.284636075544938</v>
      </c>
      <c r="G9" s="25">
        <v>255.38746246030166</v>
      </c>
      <c r="H9" s="25">
        <v>731.23871623221146</v>
      </c>
      <c r="I9" s="25">
        <v>0.30874707823958225</v>
      </c>
      <c r="J9" s="25">
        <v>1.3587157738685831</v>
      </c>
      <c r="K9" s="25">
        <v>53.244166376163598</v>
      </c>
      <c r="L9" s="25">
        <v>8.1587146912698358</v>
      </c>
      <c r="M9" s="25">
        <v>279.65589011728434</v>
      </c>
      <c r="N9" s="25">
        <v>16.421368346699659</v>
      </c>
      <c r="O9" s="25">
        <v>6.5622521024227554E-2</v>
      </c>
      <c r="P9" s="25">
        <v>0.97438319472738943</v>
      </c>
      <c r="Q9" s="25">
        <v>0.29823966512713124</v>
      </c>
      <c r="R9" s="25">
        <v>0.94713612624020704</v>
      </c>
      <c r="S9" s="25">
        <v>0.22325808785089243</v>
      </c>
      <c r="T9" s="25">
        <v>18.581952337523674</v>
      </c>
      <c r="U9" s="25">
        <v>0.14003745618907645</v>
      </c>
      <c r="V9" s="25">
        <v>6.1948654536750576</v>
      </c>
      <c r="W9" s="25">
        <v>0.158992803732706</v>
      </c>
      <c r="X9" s="25">
        <v>5.8538919004757833E-3</v>
      </c>
      <c r="Y9" s="25">
        <v>219.1058134802478</v>
      </c>
      <c r="Z9" s="25">
        <v>2854.8663427970951</v>
      </c>
      <c r="AA9" s="25">
        <v>68.70210082228671</v>
      </c>
      <c r="AB9" s="25">
        <v>8.0050702989689366</v>
      </c>
      <c r="AC9" s="25">
        <v>1.896008344817854</v>
      </c>
      <c r="AD9" s="25">
        <v>6.7281210803029419</v>
      </c>
      <c r="AE9" s="25">
        <v>4463.2487053152718</v>
      </c>
      <c r="AF9" s="25">
        <v>1496.0180009201461</v>
      </c>
      <c r="AG9" s="25">
        <v>337.50822352508135</v>
      </c>
      <c r="AH9" s="25">
        <v>3.5700793297345141</v>
      </c>
      <c r="AI9" s="25">
        <v>0.34796091611728114</v>
      </c>
      <c r="AJ9" s="25">
        <v>35.919486164414046</v>
      </c>
      <c r="AK9" s="25">
        <v>2.5200509016477124</v>
      </c>
      <c r="AL9" s="25">
        <v>18.623403632807602</v>
      </c>
      <c r="AM9" s="25">
        <v>34.401273191417253</v>
      </c>
      <c r="AN9" s="25">
        <v>1.7813221916018431</v>
      </c>
      <c r="AO9" s="25">
        <v>31.983518530124996</v>
      </c>
      <c r="AP9" s="25">
        <v>2.7992513774817689</v>
      </c>
      <c r="AQ9" s="25">
        <v>235.19415880813608</v>
      </c>
      <c r="AR9" s="25">
        <v>5.7714330882458826</v>
      </c>
      <c r="AS9" s="25">
        <v>1.1845960473087798</v>
      </c>
      <c r="AT9" s="25">
        <v>1.256351504422764</v>
      </c>
      <c r="AU9" s="25">
        <v>356.51608415843594</v>
      </c>
      <c r="AV9" s="25">
        <v>5769.2379564424718</v>
      </c>
      <c r="AW9" s="25">
        <v>2.9175715971672043</v>
      </c>
      <c r="AX9" s="25">
        <v>79.436082710535814</v>
      </c>
      <c r="AY9" s="40">
        <v>0.65802408997632589</v>
      </c>
      <c r="AZ9" s="25">
        <v>2.8112910422818906E-2</v>
      </c>
      <c r="BA9" s="25">
        <v>5.7457623439081819E-2</v>
      </c>
      <c r="BB9" s="25">
        <v>4.3639196286859692</v>
      </c>
      <c r="BC9" s="25">
        <v>2.438230238240485</v>
      </c>
      <c r="BD9" s="25">
        <v>15.584105920703134</v>
      </c>
      <c r="BE9" s="25">
        <v>8.7448574017034958E-2</v>
      </c>
      <c r="BF9" s="25">
        <v>0.16450929915036772</v>
      </c>
      <c r="BG9" s="25">
        <v>0.76492018421036334</v>
      </c>
      <c r="BH9" s="25">
        <v>0.61648427768988201</v>
      </c>
      <c r="BI9" s="25">
        <v>1.6296090751950834</v>
      </c>
      <c r="BJ9" s="25">
        <v>369.75981527196274</v>
      </c>
      <c r="BK9" s="25">
        <v>1.5956915528861471</v>
      </c>
      <c r="BL9" s="25">
        <v>1.1474393182785314</v>
      </c>
      <c r="BM9" s="25">
        <v>0.42774142421122563</v>
      </c>
      <c r="BN9" s="25">
        <v>0.35090323468008289</v>
      </c>
      <c r="BO9" s="25">
        <v>2.1063879786607207</v>
      </c>
      <c r="BP9" s="25">
        <v>8.6702236953693612E-2</v>
      </c>
      <c r="BQ9" s="25">
        <v>71.223802448817224</v>
      </c>
      <c r="BR9" s="25">
        <v>16.960068813518546</v>
      </c>
      <c r="BS9" s="25">
        <v>1.5619518298257609</v>
      </c>
      <c r="BT9" s="25">
        <v>6.8222988771079134</v>
      </c>
      <c r="BU9" s="25">
        <v>5.500218499872763</v>
      </c>
      <c r="BV9" s="25">
        <v>1.1191405236272542</v>
      </c>
      <c r="BW9" s="25">
        <v>4.3106319845372205</v>
      </c>
      <c r="BX9" s="25">
        <v>0</v>
      </c>
      <c r="BY9" s="25">
        <v>18508.780939473923</v>
      </c>
      <c r="BZ9" s="25">
        <v>1808.1263468965512</v>
      </c>
      <c r="CA9" s="25">
        <v>7.4826886493532085E-2</v>
      </c>
      <c r="CB9" s="25">
        <v>0</v>
      </c>
      <c r="CC9" s="25">
        <v>199.54564961426397</v>
      </c>
      <c r="CD9" s="25">
        <v>9.7663345531448016</v>
      </c>
      <c r="CE9" s="25">
        <v>-515.29409742372206</v>
      </c>
      <c r="CF9" s="25">
        <v>1502.219060526731</v>
      </c>
      <c r="CG9" s="25">
        <v>20011</v>
      </c>
      <c r="CH9"/>
      <c r="CI9">
        <f t="shared" si="0"/>
        <v>7.5069664710745637E-2</v>
      </c>
      <c r="CJ9"/>
      <c r="CK9"/>
      <c r="CL9"/>
      <c r="CM9"/>
      <c r="CN9"/>
      <c r="CO9"/>
      <c r="CP9"/>
      <c r="CQ9"/>
      <c r="CR9"/>
      <c r="CS9"/>
      <c r="CT9"/>
      <c r="CU9"/>
    </row>
    <row r="10" spans="1:99" s="18" customFormat="1" x14ac:dyDescent="0.3">
      <c r="A10" s="35" t="s">
        <v>14</v>
      </c>
      <c r="B10" s="4" t="s">
        <v>88</v>
      </c>
      <c r="C10" s="18">
        <v>5</v>
      </c>
      <c r="D10" s="46">
        <v>21.840529156148218</v>
      </c>
      <c r="E10" s="46">
        <v>15.400400614883161</v>
      </c>
      <c r="F10" s="46">
        <v>0.88883243232383691</v>
      </c>
      <c r="G10" s="46">
        <v>2.8557716462244058</v>
      </c>
      <c r="H10" s="46">
        <v>6630.1612088235315</v>
      </c>
      <c r="I10" s="46">
        <v>276.15336287009848</v>
      </c>
      <c r="J10" s="46">
        <v>28.805250505293394</v>
      </c>
      <c r="K10" s="46">
        <v>63.705838666513223</v>
      </c>
      <c r="L10" s="46">
        <v>0.44529788306225443</v>
      </c>
      <c r="M10" s="46">
        <v>591.27168210260413</v>
      </c>
      <c r="N10" s="46">
        <v>106.02011136393205</v>
      </c>
      <c r="O10" s="46">
        <v>0.12079150775006751</v>
      </c>
      <c r="P10" s="46">
        <v>91.397968424161249</v>
      </c>
      <c r="Q10" s="46">
        <v>0.9859828821998885</v>
      </c>
      <c r="R10" s="46">
        <v>1.5852200747158953</v>
      </c>
      <c r="S10" s="46">
        <v>39.944558328694711</v>
      </c>
      <c r="T10" s="46">
        <v>541.21669558565713</v>
      </c>
      <c r="U10" s="46">
        <v>0.14283781759447525</v>
      </c>
      <c r="V10" s="46">
        <v>106597.07169103523</v>
      </c>
      <c r="W10" s="46">
        <v>2746.859928965142</v>
      </c>
      <c r="X10" s="46">
        <v>590.10146142342774</v>
      </c>
      <c r="Y10" s="46">
        <v>1.2543755826208123</v>
      </c>
      <c r="Z10" s="46">
        <v>1369.8244545530101</v>
      </c>
      <c r="AA10" s="46">
        <v>67.887326730768507</v>
      </c>
      <c r="AB10" s="46">
        <v>24.388557536390959</v>
      </c>
      <c r="AC10" s="46">
        <v>28.616612248902094</v>
      </c>
      <c r="AD10" s="46">
        <v>80.815093895843745</v>
      </c>
      <c r="AE10" s="46">
        <v>444.9047330096729</v>
      </c>
      <c r="AF10" s="46">
        <v>358.13112480767455</v>
      </c>
      <c r="AG10" s="46">
        <v>243.10479667412577</v>
      </c>
      <c r="AH10" s="46">
        <v>282.12759953735406</v>
      </c>
      <c r="AI10" s="46">
        <v>1.1289920258050867</v>
      </c>
      <c r="AJ10" s="46">
        <v>26.624932580698125</v>
      </c>
      <c r="AK10" s="46">
        <v>19.39617063302661</v>
      </c>
      <c r="AL10" s="46">
        <v>62.055892692773291</v>
      </c>
      <c r="AM10" s="46">
        <v>126.58879315468714</v>
      </c>
      <c r="AN10" s="46">
        <v>1.6722904165548684</v>
      </c>
      <c r="AO10" s="46">
        <v>2.9946627049901835</v>
      </c>
      <c r="AP10" s="46">
        <v>6.2288933402661524</v>
      </c>
      <c r="AQ10" s="46">
        <v>3962.6267490105643</v>
      </c>
      <c r="AR10" s="46">
        <v>1.0026425015018887</v>
      </c>
      <c r="AS10" s="46">
        <v>0.71835593670119713</v>
      </c>
      <c r="AT10" s="46">
        <v>5204.7213082855596</v>
      </c>
      <c r="AU10" s="46">
        <v>522.87686453940887</v>
      </c>
      <c r="AV10" s="46">
        <v>571.58374784241619</v>
      </c>
      <c r="AW10" s="46">
        <v>9.6259107950591485</v>
      </c>
      <c r="AX10" s="46">
        <v>157.08908899541788</v>
      </c>
      <c r="AY10" s="47">
        <v>72.420509151887714</v>
      </c>
      <c r="AZ10" s="46">
        <v>0.79119726022833792</v>
      </c>
      <c r="BA10" s="46">
        <v>0.27180433402135079</v>
      </c>
      <c r="BB10" s="46">
        <v>47.629023225729306</v>
      </c>
      <c r="BC10" s="46">
        <v>3.4384093391053674</v>
      </c>
      <c r="BD10" s="46">
        <v>49.277023471172583</v>
      </c>
      <c r="BE10" s="46">
        <v>0.46020693542067409</v>
      </c>
      <c r="BF10" s="46">
        <v>1.2321138297038736</v>
      </c>
      <c r="BG10" s="46">
        <v>87.263751367838168</v>
      </c>
      <c r="BH10" s="46">
        <v>4.8051068332729354</v>
      </c>
      <c r="BI10" s="46">
        <v>13.42873287781198</v>
      </c>
      <c r="BJ10" s="46">
        <v>6.8459631171730635</v>
      </c>
      <c r="BK10" s="46">
        <v>13.309644485303563</v>
      </c>
      <c r="BL10" s="46">
        <v>55.84941687290231</v>
      </c>
      <c r="BM10" s="46">
        <v>3.1144653032179401</v>
      </c>
      <c r="BN10" s="46">
        <v>5.7667873410487926</v>
      </c>
      <c r="BO10" s="46">
        <v>9.2018492340023048</v>
      </c>
      <c r="BP10" s="46">
        <v>0.72124886305557712</v>
      </c>
      <c r="BQ10" s="46">
        <v>1045.7361704016769</v>
      </c>
      <c r="BR10" s="46">
        <v>8.0402547944220171</v>
      </c>
      <c r="BS10" s="46">
        <v>12.284844878600811</v>
      </c>
      <c r="BT10" s="46">
        <v>1.4955079432515803</v>
      </c>
      <c r="BU10" s="46">
        <v>7.5123371166669539</v>
      </c>
      <c r="BV10" s="46">
        <v>9.5743713507298249</v>
      </c>
      <c r="BW10" s="46">
        <v>21.701481886008551</v>
      </c>
      <c r="BX10" s="46">
        <v>0</v>
      </c>
      <c r="BY10" s="46">
        <v>133407.13761435516</v>
      </c>
      <c r="BZ10" s="46">
        <v>92727.090257778167</v>
      </c>
      <c r="CA10" s="46">
        <v>0</v>
      </c>
      <c r="CB10" s="46">
        <v>0</v>
      </c>
      <c r="CC10" s="46">
        <v>602.27835410534612</v>
      </c>
      <c r="CD10" s="46">
        <v>11369.449471675794</v>
      </c>
      <c r="CE10" s="46">
        <v>-12167.955697914464</v>
      </c>
      <c r="CF10" s="46">
        <v>92530.862385644839</v>
      </c>
      <c r="CG10" s="46">
        <v>225938</v>
      </c>
      <c r="CH10"/>
      <c r="CI10">
        <f t="shared" si="0"/>
        <v>0.4095409465678409</v>
      </c>
      <c r="CJ10"/>
      <c r="CK10"/>
      <c r="CL10"/>
      <c r="CM10"/>
      <c r="CN10"/>
      <c r="CO10"/>
      <c r="CP10"/>
      <c r="CQ10"/>
      <c r="CR10"/>
      <c r="CS10"/>
      <c r="CT10"/>
      <c r="CU10"/>
    </row>
    <row r="11" spans="1:99" s="5" customFormat="1" x14ac:dyDescent="0.3">
      <c r="A11" s="35" t="s">
        <v>15</v>
      </c>
      <c r="B11" s="11" t="s">
        <v>89</v>
      </c>
      <c r="C11" s="5">
        <v>6</v>
      </c>
      <c r="D11" s="25">
        <v>0.13674265992418938</v>
      </c>
      <c r="E11" s="25">
        <v>7.7076579237451356E-2</v>
      </c>
      <c r="F11" s="25">
        <v>7.9907095159552737E-3</v>
      </c>
      <c r="G11" s="25">
        <v>2.1964979988157055E-2</v>
      </c>
      <c r="H11" s="25">
        <v>2.3512302778406555</v>
      </c>
      <c r="I11" s="25">
        <v>1793.5446680277946</v>
      </c>
      <c r="J11" s="25">
        <v>45.052166072018551</v>
      </c>
      <c r="K11" s="25">
        <v>0.48557035056860143</v>
      </c>
      <c r="L11" s="25">
        <v>3.2457224077284408E-2</v>
      </c>
      <c r="M11" s="25">
        <v>0.34478481658447679</v>
      </c>
      <c r="N11" s="25">
        <v>0.27770406268595904</v>
      </c>
      <c r="O11" s="25">
        <v>6.3359672467056719E-2</v>
      </c>
      <c r="P11" s="25">
        <v>4.3394836605403636E-2</v>
      </c>
      <c r="Q11" s="25">
        <v>9.5809719255202166E-2</v>
      </c>
      <c r="R11" s="25">
        <v>0.10896932523635733</v>
      </c>
      <c r="S11" s="25">
        <v>7.4421837428328225E-2</v>
      </c>
      <c r="T11" s="25">
        <v>0.14841066512926848</v>
      </c>
      <c r="U11" s="25">
        <v>1.4610974710545475E-2</v>
      </c>
      <c r="V11" s="25">
        <v>0.14103174954363348</v>
      </c>
      <c r="W11" s="25">
        <v>3.616791272586468E-3</v>
      </c>
      <c r="X11" s="25">
        <v>2.3110087238738054E-5</v>
      </c>
      <c r="Y11" s="25">
        <v>1.758844896028158E-2</v>
      </c>
      <c r="Z11" s="25">
        <v>0.3441422741410653</v>
      </c>
      <c r="AA11" s="25">
        <v>0.11931617995440563</v>
      </c>
      <c r="AB11" s="25">
        <v>0.21383962892644981</v>
      </c>
      <c r="AC11" s="25">
        <v>0.70292247376864159</v>
      </c>
      <c r="AD11" s="25">
        <v>0.20161083267503888</v>
      </c>
      <c r="AE11" s="25">
        <v>106.29352494890139</v>
      </c>
      <c r="AF11" s="25">
        <v>16914.009290101829</v>
      </c>
      <c r="AG11" s="25">
        <v>123.08644919276587</v>
      </c>
      <c r="AH11" s="25">
        <v>9.6515193252221299E-2</v>
      </c>
      <c r="AI11" s="25">
        <v>0.2311133980093566</v>
      </c>
      <c r="AJ11" s="25">
        <v>0.55081086408176261</v>
      </c>
      <c r="AK11" s="25">
        <v>4.5165856691169601</v>
      </c>
      <c r="AL11" s="25">
        <v>1.1407708638242533</v>
      </c>
      <c r="AM11" s="25">
        <v>0.6648090811878542</v>
      </c>
      <c r="AN11" s="25">
        <v>0.23246827901084524</v>
      </c>
      <c r="AO11" s="25">
        <v>0.11436778901434212</v>
      </c>
      <c r="AP11" s="25">
        <v>2.6358291933710922</v>
      </c>
      <c r="AQ11" s="25">
        <v>0.28979804949630938</v>
      </c>
      <c r="AR11" s="25">
        <v>4.7338774662424629E-2</v>
      </c>
      <c r="AS11" s="25">
        <v>3.391646550388018E-2</v>
      </c>
      <c r="AT11" s="25">
        <v>1.988170756914235E-2</v>
      </c>
      <c r="AU11" s="25">
        <v>7.234069782709901E-2</v>
      </c>
      <c r="AV11" s="25">
        <v>1.2898289321037097</v>
      </c>
      <c r="AW11" s="25">
        <v>0.20090651102872664</v>
      </c>
      <c r="AX11" s="25">
        <v>1.887658810240807</v>
      </c>
      <c r="AY11" s="40">
        <v>0.11844738050404721</v>
      </c>
      <c r="AZ11" s="25">
        <v>4.2493869978530906E-2</v>
      </c>
      <c r="BA11" s="25">
        <v>9.9650457093768633E-3</v>
      </c>
      <c r="BB11" s="25">
        <v>0.14510724830900434</v>
      </c>
      <c r="BC11" s="25">
        <v>4.3813445033068006E-2</v>
      </c>
      <c r="BD11" s="25">
        <v>0.31459912276088531</v>
      </c>
      <c r="BE11" s="25">
        <v>2.0385269425681325E-2</v>
      </c>
      <c r="BF11" s="25">
        <v>2.0853742805391956E-2</v>
      </c>
      <c r="BG11" s="25">
        <v>0.29065393793936506</v>
      </c>
      <c r="BH11" s="25">
        <v>0.36060677130944191</v>
      </c>
      <c r="BI11" s="25">
        <v>0.19109174329379947</v>
      </c>
      <c r="BJ11" s="25">
        <v>7.4650669733284547E-2</v>
      </c>
      <c r="BK11" s="25">
        <v>0.16290205665120142</v>
      </c>
      <c r="BL11" s="25">
        <v>6.5571965664593153</v>
      </c>
      <c r="BM11" s="25">
        <v>5.3040757670002957E-2</v>
      </c>
      <c r="BN11" s="25">
        <v>0.12392834524204648</v>
      </c>
      <c r="BO11" s="25">
        <v>0.64194196661380931</v>
      </c>
      <c r="BP11" s="25">
        <v>1.0178673142548091E-2</v>
      </c>
      <c r="BQ11" s="25">
        <v>0.1429922842223047</v>
      </c>
      <c r="BR11" s="25">
        <v>5.2338502546912274E-2</v>
      </c>
      <c r="BS11" s="25">
        <v>0.14785892586383659</v>
      </c>
      <c r="BT11" s="25">
        <v>9.1322142724599098E-2</v>
      </c>
      <c r="BU11" s="25">
        <v>0.22754425096440167</v>
      </c>
      <c r="BV11" s="25">
        <v>0.11034237079522521</v>
      </c>
      <c r="BW11" s="25">
        <v>0.13327856122098622</v>
      </c>
      <c r="BX11" s="25">
        <v>0</v>
      </c>
      <c r="BY11" s="25">
        <v>19012.127162454108</v>
      </c>
      <c r="BZ11" s="25">
        <v>65510.696678506043</v>
      </c>
      <c r="CA11" s="25">
        <v>1.4070934149824032E-2</v>
      </c>
      <c r="CB11" s="25">
        <v>0</v>
      </c>
      <c r="CC11" s="25">
        <v>7.1161250435648888</v>
      </c>
      <c r="CD11" s="25">
        <v>145.98410861954713</v>
      </c>
      <c r="CE11" s="25">
        <v>7650.0618544429026</v>
      </c>
      <c r="CF11" s="25">
        <v>73313.872837546209</v>
      </c>
      <c r="CG11" s="25">
        <v>92326</v>
      </c>
      <c r="CH11"/>
      <c r="CI11">
        <f t="shared" si="0"/>
        <v>0.79407613064084015</v>
      </c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5" customFormat="1" x14ac:dyDescent="0.3">
      <c r="A12" s="35" t="s">
        <v>16</v>
      </c>
      <c r="B12" s="11" t="s">
        <v>90</v>
      </c>
      <c r="C12" s="5">
        <v>7</v>
      </c>
      <c r="D12" s="25">
        <v>4.6695014758879445</v>
      </c>
      <c r="E12" s="25">
        <v>2.6283039561679735</v>
      </c>
      <c r="F12" s="25">
        <v>0.12435657689505802</v>
      </c>
      <c r="G12" s="25">
        <v>1.2402922594017085</v>
      </c>
      <c r="H12" s="25">
        <v>68.177003420436364</v>
      </c>
      <c r="I12" s="25">
        <v>10.656377563750246</v>
      </c>
      <c r="J12" s="25">
        <v>810.56588004422406</v>
      </c>
      <c r="K12" s="25">
        <v>6.0089168764356895</v>
      </c>
      <c r="L12" s="25">
        <v>0.15093812670459369</v>
      </c>
      <c r="M12" s="25">
        <v>12.9722183949743</v>
      </c>
      <c r="N12" s="25">
        <v>1.4659626299990833</v>
      </c>
      <c r="O12" s="25">
        <v>3.0025646907243879E-3</v>
      </c>
      <c r="P12" s="25">
        <v>0.1647001896778941</v>
      </c>
      <c r="Q12" s="25">
        <v>3.7493815255573659E-2</v>
      </c>
      <c r="R12" s="25">
        <v>0.28587825633002129</v>
      </c>
      <c r="S12" s="25">
        <v>0.12078566972039449</v>
      </c>
      <c r="T12" s="25">
        <v>5.8959538641400995</v>
      </c>
      <c r="U12" s="25">
        <v>3.4978878823679715</v>
      </c>
      <c r="V12" s="25">
        <v>4.5892973046511618E-2</v>
      </c>
      <c r="W12" s="25">
        <v>1.1822535605055414E-3</v>
      </c>
      <c r="X12" s="25">
        <v>2.1491581320449266E-4</v>
      </c>
      <c r="Y12" s="25">
        <v>0.99308581171159349</v>
      </c>
      <c r="Z12" s="25">
        <v>30.317772802696538</v>
      </c>
      <c r="AA12" s="25">
        <v>5.2720189638343404</v>
      </c>
      <c r="AB12" s="25">
        <v>1.707652177148723</v>
      </c>
      <c r="AC12" s="25">
        <v>0.54015883269519149</v>
      </c>
      <c r="AD12" s="25">
        <v>7.8003983154097618</v>
      </c>
      <c r="AE12" s="25">
        <v>52.370365079400145</v>
      </c>
      <c r="AF12" s="25">
        <v>1602.2276965246788</v>
      </c>
      <c r="AG12" s="25">
        <v>5411.8108357352558</v>
      </c>
      <c r="AH12" s="25">
        <v>31.658928989281709</v>
      </c>
      <c r="AI12" s="25">
        <v>2.4799909024659503</v>
      </c>
      <c r="AJ12" s="25">
        <v>79.430200149974439</v>
      </c>
      <c r="AK12" s="25">
        <v>12.403471412807637</v>
      </c>
      <c r="AL12" s="25">
        <v>8.4362246418490709</v>
      </c>
      <c r="AM12" s="25">
        <v>49.25245291236304</v>
      </c>
      <c r="AN12" s="25">
        <v>12.922169743007423</v>
      </c>
      <c r="AO12" s="25">
        <v>30.016131454804242</v>
      </c>
      <c r="AP12" s="25">
        <v>5.5688268546337119</v>
      </c>
      <c r="AQ12" s="25">
        <v>0.38191835058480461</v>
      </c>
      <c r="AR12" s="25">
        <v>6.2386709535148889E-2</v>
      </c>
      <c r="AS12" s="25">
        <v>4.4697749296181193E-2</v>
      </c>
      <c r="AT12" s="25">
        <v>2.7479529782933219E-3</v>
      </c>
      <c r="AU12" s="25">
        <v>3.6386313509995625</v>
      </c>
      <c r="AV12" s="25">
        <v>59.821666220413704</v>
      </c>
      <c r="AW12" s="25">
        <v>0.56351330548292067</v>
      </c>
      <c r="AX12" s="25">
        <v>3.5850875870764098</v>
      </c>
      <c r="AY12" s="40">
        <v>0.16152433475438327</v>
      </c>
      <c r="AZ12" s="25">
        <v>0</v>
      </c>
      <c r="BA12" s="25">
        <v>3.6377032630939723E-3</v>
      </c>
      <c r="BB12" s="25">
        <v>7.3311620754241066E-2</v>
      </c>
      <c r="BC12" s="25">
        <v>4.6298041530286917E-3</v>
      </c>
      <c r="BD12" s="25">
        <v>0.25629272989980256</v>
      </c>
      <c r="BE12" s="25">
        <v>3.7532058634054849E-4</v>
      </c>
      <c r="BF12" s="25">
        <v>0</v>
      </c>
      <c r="BG12" s="25">
        <v>1.2010258762897552E-2</v>
      </c>
      <c r="BH12" s="25">
        <v>1.9382809620621597E-2</v>
      </c>
      <c r="BI12" s="25">
        <v>1.5203034511277993E-2</v>
      </c>
      <c r="BJ12" s="25">
        <v>2.003248905706124</v>
      </c>
      <c r="BK12" s="25">
        <v>0.23876561417762249</v>
      </c>
      <c r="BL12" s="25">
        <v>0.70972306863846413</v>
      </c>
      <c r="BM12" s="25">
        <v>1.6222906532518441E-3</v>
      </c>
      <c r="BN12" s="25">
        <v>5.442148501937953E-3</v>
      </c>
      <c r="BO12" s="25">
        <v>0.26001967374228785</v>
      </c>
      <c r="BP12" s="25">
        <v>0</v>
      </c>
      <c r="BQ12" s="25">
        <v>0.51230206414437374</v>
      </c>
      <c r="BR12" s="25">
        <v>0.19266821059269967</v>
      </c>
      <c r="BS12" s="25">
        <v>1.8766029317027425E-4</v>
      </c>
      <c r="BT12" s="25">
        <v>0.4111017478166531</v>
      </c>
      <c r="BU12" s="25">
        <v>0.71872298895310616</v>
      </c>
      <c r="BV12" s="25">
        <v>0</v>
      </c>
      <c r="BW12" s="25">
        <v>0.38814582574989026</v>
      </c>
      <c r="BX12" s="25">
        <v>0</v>
      </c>
      <c r="BY12" s="25">
        <v>8348.0100920551376</v>
      </c>
      <c r="BZ12" s="25">
        <v>11140.000522732968</v>
      </c>
      <c r="CA12" s="25">
        <v>0</v>
      </c>
      <c r="CB12" s="25">
        <v>0</v>
      </c>
      <c r="CC12" s="25">
        <v>7.4490403929319573</v>
      </c>
      <c r="CD12" s="25">
        <v>8.4306386705310778</v>
      </c>
      <c r="CE12" s="25">
        <v>-1230.8902938517319</v>
      </c>
      <c r="CF12" s="25">
        <v>9924.989907944695</v>
      </c>
      <c r="CG12" s="25">
        <v>18273</v>
      </c>
      <c r="CH12"/>
      <c r="CI12">
        <f t="shared" si="0"/>
        <v>0.54315054495401383</v>
      </c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5" customFormat="1" x14ac:dyDescent="0.3">
      <c r="A13" s="35" t="s">
        <v>17</v>
      </c>
      <c r="B13" s="13" t="s">
        <v>91</v>
      </c>
      <c r="C13" s="5">
        <v>8</v>
      </c>
      <c r="D13" s="25">
        <v>73.154869703102293</v>
      </c>
      <c r="E13" s="25">
        <v>2090.4666127383612</v>
      </c>
      <c r="F13" s="25">
        <v>38.303223606085048</v>
      </c>
      <c r="G13" s="25">
        <v>9.9476144270842912</v>
      </c>
      <c r="H13" s="25">
        <v>19.441015207789729</v>
      </c>
      <c r="I13" s="25">
        <v>17.034336759545571</v>
      </c>
      <c r="J13" s="25">
        <v>3.2840564241838339</v>
      </c>
      <c r="K13" s="25">
        <v>22154.159039236492</v>
      </c>
      <c r="L13" s="25">
        <v>1.082347910381634</v>
      </c>
      <c r="M13" s="25">
        <v>2486.5335612008021</v>
      </c>
      <c r="N13" s="25">
        <v>47.12680801295101</v>
      </c>
      <c r="O13" s="25">
        <v>2.4639671818900046</v>
      </c>
      <c r="P13" s="25">
        <v>7.060412577559898</v>
      </c>
      <c r="Q13" s="25">
        <v>8.6616937343683915</v>
      </c>
      <c r="R13" s="25">
        <v>1473.7108621562193</v>
      </c>
      <c r="S13" s="25">
        <v>5.5399254119356467</v>
      </c>
      <c r="T13" s="25">
        <v>15.727026465846638</v>
      </c>
      <c r="U13" s="25">
        <v>3.1952587031855946</v>
      </c>
      <c r="V13" s="25">
        <v>23.045816579540215</v>
      </c>
      <c r="W13" s="25">
        <v>0.59120438239645301</v>
      </c>
      <c r="X13" s="25">
        <v>1.1154333921446673E-2</v>
      </c>
      <c r="Y13" s="25">
        <v>737.52754758680226</v>
      </c>
      <c r="Z13" s="25">
        <v>29.649496648953853</v>
      </c>
      <c r="AA13" s="25">
        <v>44.06311680020827</v>
      </c>
      <c r="AB13" s="25">
        <v>1728.7212004490052</v>
      </c>
      <c r="AC13" s="25">
        <v>13.395568380291248</v>
      </c>
      <c r="AD13" s="25">
        <v>28.418666331113954</v>
      </c>
      <c r="AE13" s="25">
        <v>9.9546155048647833</v>
      </c>
      <c r="AF13" s="25">
        <v>10.27433090791676</v>
      </c>
      <c r="AG13" s="25">
        <v>5.7880679952824563</v>
      </c>
      <c r="AH13" s="25">
        <v>65.983484351678669</v>
      </c>
      <c r="AI13" s="25">
        <v>13.052513084827927</v>
      </c>
      <c r="AJ13" s="25">
        <v>11.427341327966367</v>
      </c>
      <c r="AK13" s="25">
        <v>65.885115946016057</v>
      </c>
      <c r="AL13" s="25">
        <v>13.947593713978753</v>
      </c>
      <c r="AM13" s="25">
        <v>8.0334682308256546</v>
      </c>
      <c r="AN13" s="25">
        <v>3.9970415496921299</v>
      </c>
      <c r="AO13" s="25">
        <v>12.233521469074882</v>
      </c>
      <c r="AP13" s="25">
        <v>40.66630068883353</v>
      </c>
      <c r="AQ13" s="25">
        <v>4.9078318601301127</v>
      </c>
      <c r="AR13" s="25">
        <v>0.80169879304424541</v>
      </c>
      <c r="AS13" s="25">
        <v>0.57438726821060582</v>
      </c>
      <c r="AT13" s="25">
        <v>0.39508867755127919</v>
      </c>
      <c r="AU13" s="25">
        <v>3.2880462758082873</v>
      </c>
      <c r="AV13" s="25">
        <v>58.979780993144523</v>
      </c>
      <c r="AW13" s="25">
        <v>7.2079814180050006</v>
      </c>
      <c r="AX13" s="25">
        <v>448.87840910454804</v>
      </c>
      <c r="AY13" s="40">
        <v>13.177597734156844</v>
      </c>
      <c r="AZ13" s="25">
        <v>0.87761198330752599</v>
      </c>
      <c r="BA13" s="25">
        <v>1.2127732024502407</v>
      </c>
      <c r="BB13" s="25">
        <v>4.6743078731159482</v>
      </c>
      <c r="BC13" s="25">
        <v>445.42571341750192</v>
      </c>
      <c r="BD13" s="25">
        <v>17469.214563864898</v>
      </c>
      <c r="BE13" s="25">
        <v>1.6282579133193542</v>
      </c>
      <c r="BF13" s="25">
        <v>1.6628425525433661</v>
      </c>
      <c r="BG13" s="25">
        <v>6.3279885834616953</v>
      </c>
      <c r="BH13" s="25">
        <v>4.6611580152642542</v>
      </c>
      <c r="BI13" s="25">
        <v>8.4847062924333017</v>
      </c>
      <c r="BJ13" s="25">
        <v>4.2251628748492873</v>
      </c>
      <c r="BK13" s="25">
        <v>7.7048874320347664</v>
      </c>
      <c r="BL13" s="25">
        <v>6.6234745742587275</v>
      </c>
      <c r="BM13" s="25">
        <v>5.7445293810847424</v>
      </c>
      <c r="BN13" s="25">
        <v>2.4002706741584565</v>
      </c>
      <c r="BO13" s="25">
        <v>15.89183431792314</v>
      </c>
      <c r="BP13" s="25">
        <v>0.73876872676470495</v>
      </c>
      <c r="BQ13" s="25">
        <v>2176.6448294629563</v>
      </c>
      <c r="BR13" s="25">
        <v>1294.0752073496703</v>
      </c>
      <c r="BS13" s="25">
        <v>207.92015422828754</v>
      </c>
      <c r="BT13" s="25">
        <v>1280.2889393214916</v>
      </c>
      <c r="BU13" s="25">
        <v>750.19254504153946</v>
      </c>
      <c r="BV13" s="25">
        <v>7.8726989669171097</v>
      </c>
      <c r="BW13" s="25">
        <v>194.08997714598203</v>
      </c>
      <c r="BX13" s="25">
        <v>0</v>
      </c>
      <c r="BY13" s="25">
        <v>55760.353823041805</v>
      </c>
      <c r="BZ13" s="25">
        <v>46170.634193654907</v>
      </c>
      <c r="CA13" s="25">
        <v>72.403106847664276</v>
      </c>
      <c r="CB13" s="25">
        <v>0</v>
      </c>
      <c r="CC13" s="25">
        <v>189902.00684124397</v>
      </c>
      <c r="CD13" s="25">
        <v>408.57985322996069</v>
      </c>
      <c r="CE13" s="25">
        <v>92.02218198479143</v>
      </c>
      <c r="CF13" s="25">
        <v>236645.64617696131</v>
      </c>
      <c r="CG13" s="25">
        <v>292406</v>
      </c>
      <c r="CH13"/>
      <c r="CI13">
        <f t="shared" si="0"/>
        <v>0.80930502854579356</v>
      </c>
      <c r="CJ13"/>
      <c r="CK13"/>
      <c r="CL13"/>
      <c r="CM13"/>
      <c r="CN13"/>
      <c r="CO13"/>
      <c r="CP13"/>
      <c r="CQ13"/>
      <c r="CR13"/>
      <c r="CS13"/>
      <c r="CT13"/>
      <c r="CU13"/>
    </row>
    <row r="14" spans="1:99" s="5" customFormat="1" x14ac:dyDescent="0.3">
      <c r="A14" s="35" t="s">
        <v>18</v>
      </c>
      <c r="B14" s="11" t="s">
        <v>92</v>
      </c>
      <c r="C14" s="5">
        <v>9</v>
      </c>
      <c r="D14" s="25">
        <v>53.525245661495106</v>
      </c>
      <c r="E14" s="25">
        <v>87.091629096935279</v>
      </c>
      <c r="F14" s="25">
        <v>2.3933686114067809</v>
      </c>
      <c r="G14" s="25">
        <v>1.6267936485293737</v>
      </c>
      <c r="H14" s="25">
        <v>330.37378178183957</v>
      </c>
      <c r="I14" s="25">
        <v>22.213349808506475</v>
      </c>
      <c r="J14" s="25">
        <v>3.8758144062349711</v>
      </c>
      <c r="K14" s="25">
        <v>291.48502026670752</v>
      </c>
      <c r="L14" s="25">
        <v>755.0705522263853</v>
      </c>
      <c r="M14" s="25">
        <v>3193.1450846768516</v>
      </c>
      <c r="N14" s="25">
        <v>671.87756873897501</v>
      </c>
      <c r="O14" s="25">
        <v>0.80970769237717621</v>
      </c>
      <c r="P14" s="25">
        <v>2.0182717111439166</v>
      </c>
      <c r="Q14" s="25">
        <v>2.6748804352580842</v>
      </c>
      <c r="R14" s="25">
        <v>2.0719631351791987</v>
      </c>
      <c r="S14" s="25">
        <v>14.517455004906177</v>
      </c>
      <c r="T14" s="25">
        <v>5.7074960129299406</v>
      </c>
      <c r="U14" s="25">
        <v>0.69458070858489607</v>
      </c>
      <c r="V14" s="25">
        <v>7507.7581622523867</v>
      </c>
      <c r="W14" s="25">
        <v>38.065828560668251</v>
      </c>
      <c r="X14" s="25">
        <v>37.884552806870992</v>
      </c>
      <c r="Y14" s="25">
        <v>641.94530772094413</v>
      </c>
      <c r="Z14" s="25">
        <v>141.833331788035</v>
      </c>
      <c r="AA14" s="25">
        <v>414.07002298252723</v>
      </c>
      <c r="AB14" s="25">
        <v>612.6548674591528</v>
      </c>
      <c r="AC14" s="25">
        <v>355.93828927093591</v>
      </c>
      <c r="AD14" s="25">
        <v>4.1415098105530657</v>
      </c>
      <c r="AE14" s="25">
        <v>3.0130158993046825</v>
      </c>
      <c r="AF14" s="25">
        <v>3.8189358232853383</v>
      </c>
      <c r="AG14" s="25">
        <v>2.1825390449694484</v>
      </c>
      <c r="AH14" s="25">
        <v>17.07074375611057</v>
      </c>
      <c r="AI14" s="25">
        <v>4.3963944431650885</v>
      </c>
      <c r="AJ14" s="25">
        <v>6.2673356968479901</v>
      </c>
      <c r="AK14" s="25">
        <v>94.892959214485501</v>
      </c>
      <c r="AL14" s="25">
        <v>16.375697215791359</v>
      </c>
      <c r="AM14" s="25">
        <v>2.8484953587445792</v>
      </c>
      <c r="AN14" s="25">
        <v>3.8857595632279263</v>
      </c>
      <c r="AO14" s="25">
        <v>3.4125173590272073</v>
      </c>
      <c r="AP14" s="25">
        <v>59.620441036581269</v>
      </c>
      <c r="AQ14" s="25">
        <v>4.5778112444269441</v>
      </c>
      <c r="AR14" s="25">
        <v>0.74778962565032936</v>
      </c>
      <c r="AS14" s="25">
        <v>0.53576336150205395</v>
      </c>
      <c r="AT14" s="25">
        <v>0.18604366840390935</v>
      </c>
      <c r="AU14" s="25">
        <v>10.534485195693792</v>
      </c>
      <c r="AV14" s="25">
        <v>172.49428311674274</v>
      </c>
      <c r="AW14" s="25">
        <v>139.72003194266006</v>
      </c>
      <c r="AX14" s="25">
        <v>273.44868017972459</v>
      </c>
      <c r="AY14" s="40">
        <v>351.8825270706414</v>
      </c>
      <c r="AZ14" s="25">
        <v>3.0478342772881142</v>
      </c>
      <c r="BA14" s="25">
        <v>9.5131123396482042</v>
      </c>
      <c r="BB14" s="25">
        <v>24.925261680434858</v>
      </c>
      <c r="BC14" s="25">
        <v>7.1586322599458212</v>
      </c>
      <c r="BD14" s="25">
        <v>795.99698416713557</v>
      </c>
      <c r="BE14" s="25">
        <v>2.2736975853333132</v>
      </c>
      <c r="BF14" s="25">
        <v>4.3632644457122938</v>
      </c>
      <c r="BG14" s="25">
        <v>12.172918758611727</v>
      </c>
      <c r="BH14" s="25">
        <v>17.104176004586161</v>
      </c>
      <c r="BI14" s="25">
        <v>62.695756696538133</v>
      </c>
      <c r="BJ14" s="25">
        <v>8.9417937468582913</v>
      </c>
      <c r="BK14" s="25">
        <v>62.340633001693277</v>
      </c>
      <c r="BL14" s="25">
        <v>49.822365940225048</v>
      </c>
      <c r="BM14" s="25">
        <v>19.535257662348876</v>
      </c>
      <c r="BN14" s="25">
        <v>47.389974559885005</v>
      </c>
      <c r="BO14" s="25">
        <v>66.91695313610424</v>
      </c>
      <c r="BP14" s="25">
        <v>31.905778702229004</v>
      </c>
      <c r="BQ14" s="25">
        <v>347.62689946182672</v>
      </c>
      <c r="BR14" s="25">
        <v>93.441802498041852</v>
      </c>
      <c r="BS14" s="25">
        <v>10.050684204698621</v>
      </c>
      <c r="BT14" s="25">
        <v>71.418104846656192</v>
      </c>
      <c r="BU14" s="25">
        <v>65.577576241430791</v>
      </c>
      <c r="BV14" s="25">
        <v>9.0821777582515093</v>
      </c>
      <c r="BW14" s="25">
        <v>75.349417288470065</v>
      </c>
      <c r="BX14" s="25">
        <v>0</v>
      </c>
      <c r="BY14" s="25">
        <v>18266.027743357266</v>
      </c>
      <c r="BZ14" s="25">
        <v>16586.094099334223</v>
      </c>
      <c r="CA14" s="25">
        <v>0.75832747333979078</v>
      </c>
      <c r="CB14" s="25">
        <v>0</v>
      </c>
      <c r="CC14" s="25">
        <v>16804.060038089898</v>
      </c>
      <c r="CD14" s="25">
        <v>332.26540144204876</v>
      </c>
      <c r="CE14" s="25">
        <v>-434.20560969345934</v>
      </c>
      <c r="CF14" s="25">
        <v>33288.972256646048</v>
      </c>
      <c r="CG14" s="25">
        <v>51555</v>
      </c>
      <c r="CH14"/>
      <c r="CI14">
        <f t="shared" si="0"/>
        <v>0.64569823017449424</v>
      </c>
      <c r="CJ14"/>
      <c r="CK14"/>
      <c r="CL14"/>
      <c r="CM14"/>
      <c r="CN14"/>
      <c r="CO14"/>
      <c r="CP14"/>
      <c r="CQ14"/>
      <c r="CR14"/>
      <c r="CS14"/>
      <c r="CT14"/>
      <c r="CU14"/>
    </row>
    <row r="15" spans="1:99" s="5" customFormat="1" x14ac:dyDescent="0.3">
      <c r="A15" s="35" t="s">
        <v>19</v>
      </c>
      <c r="B15" s="11" t="s">
        <v>93</v>
      </c>
      <c r="C15" s="5">
        <v>10</v>
      </c>
      <c r="D15" s="25">
        <v>1901.0054801064068</v>
      </c>
      <c r="E15" s="25">
        <v>13289.224940089322</v>
      </c>
      <c r="F15" s="25">
        <v>896.41032663354997</v>
      </c>
      <c r="G15" s="25">
        <v>153.24329869233779</v>
      </c>
      <c r="H15" s="25">
        <v>190.88614623268415</v>
      </c>
      <c r="I15" s="25">
        <v>51.948534499783051</v>
      </c>
      <c r="J15" s="25">
        <v>15.388238981782578</v>
      </c>
      <c r="K15" s="25">
        <v>23451.189481979363</v>
      </c>
      <c r="L15" s="25">
        <v>23.734989674378149</v>
      </c>
      <c r="M15" s="25">
        <v>28439.299882070107</v>
      </c>
      <c r="N15" s="25">
        <v>2077.0624840713945</v>
      </c>
      <c r="O15" s="25">
        <v>14.848455391706466</v>
      </c>
      <c r="P15" s="25">
        <v>56.298102691011167</v>
      </c>
      <c r="Q15" s="25">
        <v>48.649656419391995</v>
      </c>
      <c r="R15" s="25">
        <v>64.823663411944551</v>
      </c>
      <c r="S15" s="25">
        <v>57.154408794491836</v>
      </c>
      <c r="T15" s="25">
        <v>656.92771831569246</v>
      </c>
      <c r="U15" s="25">
        <v>23.745029528523716</v>
      </c>
      <c r="V15" s="25">
        <v>2090.5259077506907</v>
      </c>
      <c r="W15" s="25">
        <v>13.73414675388981</v>
      </c>
      <c r="X15" s="25">
        <v>9.9100745733107036</v>
      </c>
      <c r="Y15" s="25">
        <v>3052.5007492955879</v>
      </c>
      <c r="Z15" s="25">
        <v>488.08572102873586</v>
      </c>
      <c r="AA15" s="25">
        <v>802.79042948388508</v>
      </c>
      <c r="AB15" s="25">
        <v>1071.7383300275353</v>
      </c>
      <c r="AC15" s="25">
        <v>229.2972298924555</v>
      </c>
      <c r="AD15" s="25">
        <v>175.30799702257426</v>
      </c>
      <c r="AE15" s="25">
        <v>93.455962438569458</v>
      </c>
      <c r="AF15" s="25">
        <v>91.502096291676054</v>
      </c>
      <c r="AG15" s="25">
        <v>40.730425944808665</v>
      </c>
      <c r="AH15" s="25">
        <v>88.811442634074723</v>
      </c>
      <c r="AI15" s="25">
        <v>75.800275198075241</v>
      </c>
      <c r="AJ15" s="25">
        <v>60.469386724199659</v>
      </c>
      <c r="AK15" s="25">
        <v>109.61639448495571</v>
      </c>
      <c r="AL15" s="25">
        <v>56.823494247557683</v>
      </c>
      <c r="AM15" s="25">
        <v>43.043402590615294</v>
      </c>
      <c r="AN15" s="25">
        <v>18.514591250608341</v>
      </c>
      <c r="AO15" s="25">
        <v>81.249431479102569</v>
      </c>
      <c r="AP15" s="25">
        <v>72.461506322889448</v>
      </c>
      <c r="AQ15" s="25">
        <v>32.640494572908288</v>
      </c>
      <c r="AR15" s="25">
        <v>5.3318544418867022</v>
      </c>
      <c r="AS15" s="25">
        <v>3.8200747387215621</v>
      </c>
      <c r="AT15" s="25">
        <v>1.9974554253192676</v>
      </c>
      <c r="AU15" s="25">
        <v>32.438762555338485</v>
      </c>
      <c r="AV15" s="25">
        <v>362.30878240192641</v>
      </c>
      <c r="AW15" s="25">
        <v>131.80171804385978</v>
      </c>
      <c r="AX15" s="25">
        <v>3488.1785582675088</v>
      </c>
      <c r="AY15" s="40">
        <v>177.6154836162865</v>
      </c>
      <c r="AZ15" s="25">
        <v>2.5711517369963683</v>
      </c>
      <c r="BA15" s="25">
        <v>31.863843857922333</v>
      </c>
      <c r="BB15" s="25">
        <v>38.202177692526462</v>
      </c>
      <c r="BC15" s="25">
        <v>243.18734776607369</v>
      </c>
      <c r="BD15" s="25">
        <v>12354.485424699224</v>
      </c>
      <c r="BE15" s="25">
        <v>10.176693194556073</v>
      </c>
      <c r="BF15" s="25">
        <v>10.564222448678519</v>
      </c>
      <c r="BG15" s="25">
        <v>46.146674799237587</v>
      </c>
      <c r="BH15" s="25">
        <v>27.975880013120232</v>
      </c>
      <c r="BI15" s="25">
        <v>179.04353123604918</v>
      </c>
      <c r="BJ15" s="25">
        <v>39.398784795906302</v>
      </c>
      <c r="BK15" s="25">
        <v>74.566393195743473</v>
      </c>
      <c r="BL15" s="25">
        <v>36.341616639785727</v>
      </c>
      <c r="BM15" s="25">
        <v>66.425930366935887</v>
      </c>
      <c r="BN15" s="25">
        <v>23.287124561336029</v>
      </c>
      <c r="BO15" s="25">
        <v>77.880837953171621</v>
      </c>
      <c r="BP15" s="25">
        <v>12.251409229017842</v>
      </c>
      <c r="BQ15" s="25">
        <v>1527.9070113543858</v>
      </c>
      <c r="BR15" s="25">
        <v>1168.2631270201375</v>
      </c>
      <c r="BS15" s="25">
        <v>166.10330946360509</v>
      </c>
      <c r="BT15" s="25">
        <v>1598.3146954592717</v>
      </c>
      <c r="BU15" s="25">
        <v>711.43383081315847</v>
      </c>
      <c r="BV15" s="25">
        <v>52.378456412215172</v>
      </c>
      <c r="BW15" s="25">
        <v>738.01510177075443</v>
      </c>
      <c r="BX15" s="25">
        <v>0</v>
      </c>
      <c r="BY15" s="25">
        <v>103651.12759356326</v>
      </c>
      <c r="BZ15" s="25">
        <v>40248.489598205342</v>
      </c>
      <c r="CA15" s="25">
        <v>79.511138156412954</v>
      </c>
      <c r="CB15" s="25">
        <v>0</v>
      </c>
      <c r="CC15" s="25">
        <v>177717.30735024565</v>
      </c>
      <c r="CD15" s="25">
        <v>617.39769461445042</v>
      </c>
      <c r="CE15" s="25">
        <v>2629.1666252119085</v>
      </c>
      <c r="CF15" s="25">
        <v>221291.87240643374</v>
      </c>
      <c r="CG15" s="25">
        <v>324943</v>
      </c>
      <c r="CH15"/>
      <c r="CI15">
        <f t="shared" si="0"/>
        <v>0.68101750893674817</v>
      </c>
      <c r="CJ15"/>
      <c r="CK15"/>
      <c r="CL15"/>
      <c r="CM15"/>
      <c r="CN15"/>
      <c r="CO15"/>
      <c r="CP15"/>
      <c r="CQ15"/>
      <c r="CR15"/>
      <c r="CS15"/>
      <c r="CT15"/>
      <c r="CU15"/>
    </row>
    <row r="16" spans="1:99" s="5" customFormat="1" x14ac:dyDescent="0.3">
      <c r="A16" s="35" t="s">
        <v>20</v>
      </c>
      <c r="B16" s="11" t="s">
        <v>94</v>
      </c>
      <c r="C16" s="5">
        <v>11</v>
      </c>
      <c r="D16" s="25">
        <v>14.738989616009871</v>
      </c>
      <c r="E16" s="25">
        <v>9.3559628566249522</v>
      </c>
      <c r="F16" s="25">
        <v>0.76997093908372072</v>
      </c>
      <c r="G16" s="25">
        <v>5.2965240863765537</v>
      </c>
      <c r="H16" s="25">
        <v>13.258631367879314</v>
      </c>
      <c r="I16" s="25">
        <v>7.7752003622939307</v>
      </c>
      <c r="J16" s="25">
        <v>1.7552233619762363</v>
      </c>
      <c r="K16" s="25">
        <v>397.93740052882697</v>
      </c>
      <c r="L16" s="25">
        <v>1.2398412004481818</v>
      </c>
      <c r="M16" s="25">
        <v>99.164788907422874</v>
      </c>
      <c r="N16" s="25">
        <v>6639.8139459170734</v>
      </c>
      <c r="O16" s="25">
        <v>1.6073509897261555</v>
      </c>
      <c r="P16" s="25">
        <v>4.5283349087940703</v>
      </c>
      <c r="Q16" s="25">
        <v>5.5452055450162003</v>
      </c>
      <c r="R16" s="25">
        <v>4.332433091559972</v>
      </c>
      <c r="S16" s="25">
        <v>4.1709141399226111</v>
      </c>
      <c r="T16" s="25">
        <v>8.1110653190751663</v>
      </c>
      <c r="U16" s="25">
        <v>1.6440958479037435</v>
      </c>
      <c r="V16" s="25">
        <v>62.724309273939141</v>
      </c>
      <c r="W16" s="25">
        <v>0.63813413401866848</v>
      </c>
      <c r="X16" s="25">
        <v>0.24728806370822448</v>
      </c>
      <c r="Y16" s="25">
        <v>3.2332953034574743</v>
      </c>
      <c r="Z16" s="25">
        <v>10.807878362967745</v>
      </c>
      <c r="AA16" s="25">
        <v>13.785349231611255</v>
      </c>
      <c r="AB16" s="25">
        <v>11.28593901371301</v>
      </c>
      <c r="AC16" s="25">
        <v>8.4070269539693641</v>
      </c>
      <c r="AD16" s="25">
        <v>10.372939319485088</v>
      </c>
      <c r="AE16" s="25">
        <v>5.7335930661251897</v>
      </c>
      <c r="AF16" s="25">
        <v>10.690564754255435</v>
      </c>
      <c r="AG16" s="25">
        <v>3.6727053557939886</v>
      </c>
      <c r="AH16" s="25">
        <v>20.532547002031617</v>
      </c>
      <c r="AI16" s="25">
        <v>9.8421770671883415</v>
      </c>
      <c r="AJ16" s="25">
        <v>9.6817179914882701</v>
      </c>
      <c r="AK16" s="25">
        <v>31.591530962644072</v>
      </c>
      <c r="AL16" s="25">
        <v>12.546867209198936</v>
      </c>
      <c r="AM16" s="25">
        <v>8.0829596045852554</v>
      </c>
      <c r="AN16" s="25">
        <v>5.407992938744381</v>
      </c>
      <c r="AO16" s="25">
        <v>8.3460780589867074</v>
      </c>
      <c r="AP16" s="25">
        <v>19.980902844651798</v>
      </c>
      <c r="AQ16" s="25">
        <v>8.2460963667313756</v>
      </c>
      <c r="AR16" s="25">
        <v>1.3470073329610392</v>
      </c>
      <c r="AS16" s="25">
        <v>0.96508048777422217</v>
      </c>
      <c r="AT16" s="25">
        <v>0.45259474803304378</v>
      </c>
      <c r="AU16" s="25">
        <v>3.0293874354188697</v>
      </c>
      <c r="AV16" s="25">
        <v>69.490475030276087</v>
      </c>
      <c r="AW16" s="25">
        <v>10.121867206807233</v>
      </c>
      <c r="AX16" s="25">
        <v>107.19137678328732</v>
      </c>
      <c r="AY16" s="40">
        <v>17.004469945780773</v>
      </c>
      <c r="AZ16" s="25">
        <v>0.45098488593686104</v>
      </c>
      <c r="BA16" s="25">
        <v>8.1017402306451949</v>
      </c>
      <c r="BB16" s="25">
        <v>6.2954672198081303</v>
      </c>
      <c r="BC16" s="25">
        <v>450.04095222912139</v>
      </c>
      <c r="BD16" s="25">
        <v>26011.35330764388</v>
      </c>
      <c r="BE16" s="25">
        <v>1.2831511983985373</v>
      </c>
      <c r="BF16" s="25">
        <v>1.6703355696329378</v>
      </c>
      <c r="BG16" s="25">
        <v>6.639948261941079</v>
      </c>
      <c r="BH16" s="25">
        <v>5.1156865831042113</v>
      </c>
      <c r="BI16" s="25">
        <v>98.337037634416632</v>
      </c>
      <c r="BJ16" s="25">
        <v>6.2222204663183387</v>
      </c>
      <c r="BK16" s="25">
        <v>12.418989797104674</v>
      </c>
      <c r="BL16" s="25">
        <v>3.0201910223074115</v>
      </c>
      <c r="BM16" s="25">
        <v>4.3590942128361103</v>
      </c>
      <c r="BN16" s="25">
        <v>2.9262015060654649</v>
      </c>
      <c r="BO16" s="25">
        <v>13.385941024795088</v>
      </c>
      <c r="BP16" s="25">
        <v>1.1279802772267595</v>
      </c>
      <c r="BQ16" s="25">
        <v>100.98309553695751</v>
      </c>
      <c r="BR16" s="25">
        <v>69.203497212669163</v>
      </c>
      <c r="BS16" s="25">
        <v>17.627628060822449</v>
      </c>
      <c r="BT16" s="25">
        <v>72.575287811944762</v>
      </c>
      <c r="BU16" s="25">
        <v>174.85302763201307</v>
      </c>
      <c r="BV16" s="25">
        <v>28.677201679237029</v>
      </c>
      <c r="BW16" s="25">
        <v>19.690719496694626</v>
      </c>
      <c r="BX16" s="25">
        <v>0</v>
      </c>
      <c r="BY16" s="25">
        <v>34822.865718029527</v>
      </c>
      <c r="BZ16" s="25">
        <v>2978.2515255170383</v>
      </c>
      <c r="CA16" s="25">
        <v>1.711930760683654</v>
      </c>
      <c r="CB16" s="25">
        <v>0</v>
      </c>
      <c r="CC16" s="25">
        <v>40937.659906730412</v>
      </c>
      <c r="CD16" s="25">
        <v>99.164105981748065</v>
      </c>
      <c r="CE16" s="25">
        <v>-295.65318701065814</v>
      </c>
      <c r="CF16" s="25">
        <v>43721.134281979219</v>
      </c>
      <c r="CG16" s="25">
        <v>78544</v>
      </c>
      <c r="CH16"/>
      <c r="CI16">
        <f t="shared" si="0"/>
        <v>0.55664511970334107</v>
      </c>
      <c r="CJ16"/>
      <c r="CK16"/>
      <c r="CL16"/>
      <c r="CM16"/>
      <c r="CN16"/>
      <c r="CO16"/>
      <c r="CP16"/>
      <c r="CQ16"/>
      <c r="CR16"/>
      <c r="CS16"/>
      <c r="CT16"/>
      <c r="CU16"/>
    </row>
    <row r="17" spans="1:99" s="5" customFormat="1" x14ac:dyDescent="0.3">
      <c r="A17" s="35" t="s">
        <v>21</v>
      </c>
      <c r="B17" s="11" t="s">
        <v>95</v>
      </c>
      <c r="C17" s="5">
        <v>12</v>
      </c>
      <c r="D17" s="25">
        <v>1.8863691688160806</v>
      </c>
      <c r="E17" s="25">
        <v>0.98094149694974564</v>
      </c>
      <c r="F17" s="25">
        <v>8.9514122424551451E-2</v>
      </c>
      <c r="G17" s="25">
        <v>8.8027856520601772E-2</v>
      </c>
      <c r="H17" s="25">
        <v>2.1983798045019105</v>
      </c>
      <c r="I17" s="25">
        <v>2.4823701771170765</v>
      </c>
      <c r="J17" s="25">
        <v>0.38449654161175145</v>
      </c>
      <c r="K17" s="25">
        <v>3.1242665359212305</v>
      </c>
      <c r="L17" s="25">
        <v>8.7243129884883114E-2</v>
      </c>
      <c r="M17" s="25">
        <v>3.0183844464507614</v>
      </c>
      <c r="N17" s="25">
        <v>0.69678188723731094</v>
      </c>
      <c r="O17" s="25">
        <v>304.40931111676258</v>
      </c>
      <c r="P17" s="25">
        <v>0.50326688931054453</v>
      </c>
      <c r="Q17" s="25">
        <v>0.69276169613652694</v>
      </c>
      <c r="R17" s="25">
        <v>0.57329707009926212</v>
      </c>
      <c r="S17" s="25">
        <v>0.29665772502281579</v>
      </c>
      <c r="T17" s="25">
        <v>0.77841527883959816</v>
      </c>
      <c r="U17" s="25">
        <v>0.14759259718021084</v>
      </c>
      <c r="V17" s="25">
        <v>1.9269421902803952</v>
      </c>
      <c r="W17" s="25">
        <v>4.9416870450355976E-2</v>
      </c>
      <c r="X17" s="25">
        <v>3.1575728348748398E-4</v>
      </c>
      <c r="Y17" s="25">
        <v>0.17235201458619911</v>
      </c>
      <c r="Z17" s="25">
        <v>1.107047151565081</v>
      </c>
      <c r="AA17" s="25">
        <v>0.63432236052340329</v>
      </c>
      <c r="AB17" s="25">
        <v>0.48493659722363391</v>
      </c>
      <c r="AC17" s="25">
        <v>0.79277348067123543</v>
      </c>
      <c r="AD17" s="25">
        <v>0.99845903316703566</v>
      </c>
      <c r="AE17" s="25">
        <v>0.6455418969998038</v>
      </c>
      <c r="AF17" s="25">
        <v>0.712524191046642</v>
      </c>
      <c r="AG17" s="25">
        <v>0.61963993182403332</v>
      </c>
      <c r="AH17" s="25">
        <v>0.72265568027218996</v>
      </c>
      <c r="AI17" s="25">
        <v>1.1712195262487939</v>
      </c>
      <c r="AJ17" s="25">
        <v>1.1271924243504921</v>
      </c>
      <c r="AK17" s="25">
        <v>9.9519577058698854</v>
      </c>
      <c r="AL17" s="25">
        <v>1.7055667632146216</v>
      </c>
      <c r="AM17" s="25">
        <v>0.71215731551300565</v>
      </c>
      <c r="AN17" s="25">
        <v>0.50240733713544983</v>
      </c>
      <c r="AO17" s="25">
        <v>0.67606474613185774</v>
      </c>
      <c r="AP17" s="25">
        <v>6.0422709799356547</v>
      </c>
      <c r="AQ17" s="25">
        <v>0.4634018470298451</v>
      </c>
      <c r="AR17" s="25">
        <v>7.5697112705986572E-2</v>
      </c>
      <c r="AS17" s="25">
        <v>5.4234156463576412E-2</v>
      </c>
      <c r="AT17" s="25">
        <v>3.1969707392013345E-2</v>
      </c>
      <c r="AU17" s="25">
        <v>0.18846966514968422</v>
      </c>
      <c r="AV17" s="25">
        <v>5.1648106730527434</v>
      </c>
      <c r="AW17" s="25">
        <v>0.45008788726776994</v>
      </c>
      <c r="AX17" s="25">
        <v>3.61602930689922</v>
      </c>
      <c r="AY17" s="40">
        <v>1.1145936349456742</v>
      </c>
      <c r="AZ17" s="25">
        <v>0.10844203309535461</v>
      </c>
      <c r="BA17" s="25">
        <v>0.10146144957095145</v>
      </c>
      <c r="BB17" s="25">
        <v>0.28571453627037663</v>
      </c>
      <c r="BC17" s="25">
        <v>0.14313380238001955</v>
      </c>
      <c r="BD17" s="25">
        <v>2.3330807425444964</v>
      </c>
      <c r="BE17" s="25">
        <v>0.14060471532909452</v>
      </c>
      <c r="BF17" s="25">
        <v>0.12207897960738018</v>
      </c>
      <c r="BG17" s="25">
        <v>0.53625142339661203</v>
      </c>
      <c r="BH17" s="25">
        <v>0.43983916719084837</v>
      </c>
      <c r="BI17" s="25">
        <v>0.45998093840233023</v>
      </c>
      <c r="BJ17" s="25">
        <v>0.24562702079061452</v>
      </c>
      <c r="BK17" s="25">
        <v>0.3710081829810753</v>
      </c>
      <c r="BL17" s="25">
        <v>1.3352301796625763</v>
      </c>
      <c r="BM17" s="25">
        <v>0.34056162756002412</v>
      </c>
      <c r="BN17" s="25">
        <v>0.16603915433191185</v>
      </c>
      <c r="BO17" s="25">
        <v>1.6680395415370559</v>
      </c>
      <c r="BP17" s="25">
        <v>4.7183572022464225E-2</v>
      </c>
      <c r="BQ17" s="25">
        <v>0.7308086747581809</v>
      </c>
      <c r="BR17" s="25">
        <v>0.48670412463528373</v>
      </c>
      <c r="BS17" s="25">
        <v>0.26664793898329137</v>
      </c>
      <c r="BT17" s="25">
        <v>0.69125629899785723</v>
      </c>
      <c r="BU17" s="25">
        <v>1.7783446644125542</v>
      </c>
      <c r="BV17" s="25">
        <v>0.1676868662129688</v>
      </c>
      <c r="BW17" s="25">
        <v>0.52694908987627909</v>
      </c>
      <c r="BX17" s="25">
        <v>0</v>
      </c>
      <c r="BY17" s="25">
        <v>377.84581021053685</v>
      </c>
      <c r="BZ17" s="25">
        <v>6460.6450810491788</v>
      </c>
      <c r="CA17" s="25">
        <v>0.1990032115475113</v>
      </c>
      <c r="CB17" s="25">
        <v>0</v>
      </c>
      <c r="CC17" s="25">
        <v>7980.5129275240461</v>
      </c>
      <c r="CD17" s="25">
        <v>100.82735960011679</v>
      </c>
      <c r="CE17" s="25">
        <v>773.96981840481578</v>
      </c>
      <c r="CF17" s="25">
        <v>15316.154189789704</v>
      </c>
      <c r="CG17" s="25">
        <v>15694</v>
      </c>
      <c r="CH17"/>
      <c r="CI17">
        <f t="shared" si="0"/>
        <v>0.9759241869370272</v>
      </c>
      <c r="CJ17"/>
      <c r="CK17"/>
      <c r="CL17"/>
      <c r="CM17"/>
      <c r="CN17"/>
      <c r="CO17"/>
      <c r="CP17"/>
      <c r="CQ17"/>
      <c r="CR17"/>
      <c r="CS17"/>
      <c r="CT17"/>
      <c r="CU17"/>
    </row>
    <row r="18" spans="1:99" s="5" customFormat="1" x14ac:dyDescent="0.3">
      <c r="A18" s="35" t="s">
        <v>22</v>
      </c>
      <c r="B18" s="11" t="s">
        <v>96</v>
      </c>
      <c r="C18" s="5">
        <v>13</v>
      </c>
      <c r="D18" s="25">
        <v>642.38995914991267</v>
      </c>
      <c r="E18" s="25">
        <v>14.399924056563151</v>
      </c>
      <c r="F18" s="25">
        <v>1.8905924010699628</v>
      </c>
      <c r="G18" s="25">
        <v>137.05393396576258</v>
      </c>
      <c r="H18" s="25">
        <v>128.57781705556366</v>
      </c>
      <c r="I18" s="25">
        <v>4.1265763935516064</v>
      </c>
      <c r="J18" s="25">
        <v>4.1160996444608555</v>
      </c>
      <c r="K18" s="25">
        <v>27.277179168998604</v>
      </c>
      <c r="L18" s="25">
        <v>67.026326943523443</v>
      </c>
      <c r="M18" s="25">
        <v>244.79517413636665</v>
      </c>
      <c r="N18" s="25">
        <v>21.13741749931685</v>
      </c>
      <c r="O18" s="25">
        <v>0.8988048875095489</v>
      </c>
      <c r="P18" s="25">
        <v>8509.6725027076536</v>
      </c>
      <c r="Q18" s="25">
        <v>13628.942665461169</v>
      </c>
      <c r="R18" s="25">
        <v>2606.6689982240227</v>
      </c>
      <c r="S18" s="25">
        <v>11.305036241085562</v>
      </c>
      <c r="T18" s="25">
        <v>100.30504670143124</v>
      </c>
      <c r="U18" s="25">
        <v>4.970703710477153</v>
      </c>
      <c r="V18" s="25">
        <v>6.6119015002143851</v>
      </c>
      <c r="W18" s="25">
        <v>0.16966481583260196</v>
      </c>
      <c r="X18" s="25">
        <v>5.0263172570893799E-3</v>
      </c>
      <c r="Y18" s="25">
        <v>1.8458565298817506</v>
      </c>
      <c r="Z18" s="25">
        <v>35.196951389219521</v>
      </c>
      <c r="AA18" s="25">
        <v>48.249939392082702</v>
      </c>
      <c r="AB18" s="25">
        <v>20.283491721844559</v>
      </c>
      <c r="AC18" s="25">
        <v>108.51910475628955</v>
      </c>
      <c r="AD18" s="25">
        <v>616.57318395515813</v>
      </c>
      <c r="AE18" s="25">
        <v>37.796868736825743</v>
      </c>
      <c r="AF18" s="25">
        <v>8.8171957354994692</v>
      </c>
      <c r="AG18" s="25">
        <v>8.8828561755614253</v>
      </c>
      <c r="AH18" s="25">
        <v>67.883698788691959</v>
      </c>
      <c r="AI18" s="25">
        <v>11.98417717571572</v>
      </c>
      <c r="AJ18" s="25">
        <v>48.90490793791956</v>
      </c>
      <c r="AK18" s="25">
        <v>27.805664903220933</v>
      </c>
      <c r="AL18" s="25">
        <v>109.61916120841816</v>
      </c>
      <c r="AM18" s="25">
        <v>1418.3854685829376</v>
      </c>
      <c r="AN18" s="25">
        <v>76.782373121700076</v>
      </c>
      <c r="AO18" s="25">
        <v>1187.0203638690459</v>
      </c>
      <c r="AP18" s="25">
        <v>15.387052665470677</v>
      </c>
      <c r="AQ18" s="25">
        <v>17.872047667931913</v>
      </c>
      <c r="AR18" s="25">
        <v>2.9194152230452302</v>
      </c>
      <c r="AS18" s="25">
        <v>2.0916520634512921</v>
      </c>
      <c r="AT18" s="25">
        <v>10.512230026557557</v>
      </c>
      <c r="AU18" s="25">
        <v>10.389171028392157</v>
      </c>
      <c r="AV18" s="25">
        <v>480.37903467491014</v>
      </c>
      <c r="AW18" s="25">
        <v>45.60364462376473</v>
      </c>
      <c r="AX18" s="25">
        <v>208.38349727630995</v>
      </c>
      <c r="AY18" s="40">
        <v>65.056099808123761</v>
      </c>
      <c r="AZ18" s="25">
        <v>8.9390976009789842</v>
      </c>
      <c r="BA18" s="25">
        <v>2.0078706719482891</v>
      </c>
      <c r="BB18" s="25">
        <v>8.1661732111813912</v>
      </c>
      <c r="BC18" s="25">
        <v>204.64517883027327</v>
      </c>
      <c r="BD18" s="25">
        <v>171.47627033416506</v>
      </c>
      <c r="BE18" s="25">
        <v>1.8465202748561564</v>
      </c>
      <c r="BF18" s="25">
        <v>6.3454807842654946</v>
      </c>
      <c r="BG18" s="25">
        <v>6.815066617547167</v>
      </c>
      <c r="BH18" s="25">
        <v>5.4954300931416684</v>
      </c>
      <c r="BI18" s="25">
        <v>16.869637392032264</v>
      </c>
      <c r="BJ18" s="25">
        <v>8.8629152153000383</v>
      </c>
      <c r="BK18" s="25">
        <v>15.976461100229219</v>
      </c>
      <c r="BL18" s="25">
        <v>7.7212776824614524</v>
      </c>
      <c r="BM18" s="25">
        <v>6.6896441313662214</v>
      </c>
      <c r="BN18" s="25">
        <v>5.9205044364051247</v>
      </c>
      <c r="BO18" s="25">
        <v>21.534404552321512</v>
      </c>
      <c r="BP18" s="25">
        <v>1.8455538107723242</v>
      </c>
      <c r="BQ18" s="25">
        <v>53.257851822872077</v>
      </c>
      <c r="BR18" s="25">
        <v>39.209568468264159</v>
      </c>
      <c r="BS18" s="25">
        <v>10.574144275761332</v>
      </c>
      <c r="BT18" s="25">
        <v>31.833748900786112</v>
      </c>
      <c r="BU18" s="25">
        <v>90.553749147484865</v>
      </c>
      <c r="BV18" s="25">
        <v>9.5336882944586403</v>
      </c>
      <c r="BW18" s="25">
        <v>638.62633407498538</v>
      </c>
      <c r="BX18" s="25">
        <v>0</v>
      </c>
      <c r="BY18" s="25">
        <v>32230.233031743588</v>
      </c>
      <c r="BZ18" s="25">
        <v>1908.2790781185861</v>
      </c>
      <c r="CA18" s="25">
        <v>0.66153601031069831</v>
      </c>
      <c r="CB18" s="25">
        <v>0</v>
      </c>
      <c r="CC18" s="25">
        <v>17845.997661049816</v>
      </c>
      <c r="CD18" s="25">
        <v>154.41796757896583</v>
      </c>
      <c r="CE18" s="25">
        <v>2653.4107255098629</v>
      </c>
      <c r="CF18" s="25">
        <v>22562.766968267551</v>
      </c>
      <c r="CG18" s="25">
        <v>54793</v>
      </c>
      <c r="CH18"/>
      <c r="CI18">
        <f t="shared" si="0"/>
        <v>0.41178192411927711</v>
      </c>
      <c r="CJ18"/>
      <c r="CK18"/>
      <c r="CL18"/>
      <c r="CM18"/>
      <c r="CN18"/>
      <c r="CO18"/>
      <c r="CP18"/>
      <c r="CQ18"/>
      <c r="CR18"/>
      <c r="CS18"/>
      <c r="CT18"/>
      <c r="CU18"/>
    </row>
    <row r="19" spans="1:99" s="5" customFormat="1" x14ac:dyDescent="0.3">
      <c r="A19" s="35" t="s">
        <v>23</v>
      </c>
      <c r="B19" s="11" t="s">
        <v>97</v>
      </c>
      <c r="C19" s="5">
        <v>14</v>
      </c>
      <c r="D19" s="25">
        <v>17.323867278338266</v>
      </c>
      <c r="E19" s="25">
        <v>5.2372681576537436</v>
      </c>
      <c r="F19" s="25">
        <v>7.6339939120000473</v>
      </c>
      <c r="G19" s="25">
        <v>3.9947180824234816</v>
      </c>
      <c r="H19" s="25">
        <v>81.492116957727674</v>
      </c>
      <c r="I19" s="25">
        <v>1.7349413267799365</v>
      </c>
      <c r="J19" s="25">
        <v>0.37286519447378519</v>
      </c>
      <c r="K19" s="25">
        <v>18.331541964755786</v>
      </c>
      <c r="L19" s="25">
        <v>1.20864935888813</v>
      </c>
      <c r="M19" s="25">
        <v>21.930676856322304</v>
      </c>
      <c r="N19" s="25">
        <v>3.1827196661696102</v>
      </c>
      <c r="O19" s="25">
        <v>1.0036996056339746</v>
      </c>
      <c r="P19" s="25">
        <v>71.691779280916506</v>
      </c>
      <c r="Q19" s="25">
        <v>1582.839850525208</v>
      </c>
      <c r="R19" s="25">
        <v>79.577090979978095</v>
      </c>
      <c r="S19" s="25">
        <v>1.1238955661117997</v>
      </c>
      <c r="T19" s="25">
        <v>4.3220354059665489</v>
      </c>
      <c r="U19" s="25">
        <v>0.78414974565975548</v>
      </c>
      <c r="V19" s="25">
        <v>8.8092295994456364</v>
      </c>
      <c r="W19" s="25">
        <v>0.22591754355993365</v>
      </c>
      <c r="X19" s="25">
        <v>1.554599391776372E-3</v>
      </c>
      <c r="Y19" s="25">
        <v>0.84125992911619984</v>
      </c>
      <c r="Z19" s="25">
        <v>5.0384603621065223</v>
      </c>
      <c r="AA19" s="25">
        <v>9.2754544251901656</v>
      </c>
      <c r="AB19" s="25">
        <v>2.1569417902720929</v>
      </c>
      <c r="AC19" s="25">
        <v>3.0755750545452463</v>
      </c>
      <c r="AD19" s="25">
        <v>8.2808849483007059</v>
      </c>
      <c r="AE19" s="25">
        <v>12.293952929940946</v>
      </c>
      <c r="AF19" s="25">
        <v>6.8007572114167489</v>
      </c>
      <c r="AG19" s="25">
        <v>2.1716691948156548</v>
      </c>
      <c r="AH19" s="25">
        <v>32.08815229965802</v>
      </c>
      <c r="AI19" s="25">
        <v>5.1657705704295518</v>
      </c>
      <c r="AJ19" s="25">
        <v>4.3884581940304495</v>
      </c>
      <c r="AK19" s="25">
        <v>8.4582379120234634</v>
      </c>
      <c r="AL19" s="25">
        <v>4.0511339901024614</v>
      </c>
      <c r="AM19" s="25">
        <v>35.390150127345009</v>
      </c>
      <c r="AN19" s="25">
        <v>1.9237426830195898</v>
      </c>
      <c r="AO19" s="25">
        <v>28.012600750207895</v>
      </c>
      <c r="AP19" s="25">
        <v>4.0830233869151051</v>
      </c>
      <c r="AQ19" s="25">
        <v>36.995596931237564</v>
      </c>
      <c r="AR19" s="25">
        <v>6.0432643686652794</v>
      </c>
      <c r="AS19" s="25">
        <v>4.3297734035637605</v>
      </c>
      <c r="AT19" s="25">
        <v>46.230723305515419</v>
      </c>
      <c r="AU19" s="25">
        <v>82.420701023561051</v>
      </c>
      <c r="AV19" s="25">
        <v>45.417060820707015</v>
      </c>
      <c r="AW19" s="25">
        <v>2.783118926733442</v>
      </c>
      <c r="AX19" s="25">
        <v>296.41425629013008</v>
      </c>
      <c r="AY19" s="40">
        <v>155.30225042612614</v>
      </c>
      <c r="AZ19" s="25">
        <v>6.0432338911520471</v>
      </c>
      <c r="BA19" s="25">
        <v>115.64312662153408</v>
      </c>
      <c r="BB19" s="25">
        <v>75.069671703947307</v>
      </c>
      <c r="BC19" s="25">
        <v>72.007671784655074</v>
      </c>
      <c r="BD19" s="25">
        <v>180.00493869988927</v>
      </c>
      <c r="BE19" s="25">
        <v>0.67414260808286297</v>
      </c>
      <c r="BF19" s="25">
        <v>97.39334038397088</v>
      </c>
      <c r="BG19" s="25">
        <v>28.506800092102779</v>
      </c>
      <c r="BH19" s="25">
        <v>2.156438786700603</v>
      </c>
      <c r="BI19" s="25">
        <v>420.91592743514707</v>
      </c>
      <c r="BJ19" s="25">
        <v>27.273078320231107</v>
      </c>
      <c r="BK19" s="25">
        <v>9.382601561667073</v>
      </c>
      <c r="BL19" s="25">
        <v>113.5439691610773</v>
      </c>
      <c r="BM19" s="25">
        <v>27.862324383504191</v>
      </c>
      <c r="BN19" s="25">
        <v>2.3152493295037635</v>
      </c>
      <c r="BO19" s="25">
        <v>114.83274158687838</v>
      </c>
      <c r="BP19" s="25">
        <v>148.98131377198752</v>
      </c>
      <c r="BQ19" s="25">
        <v>473.71644863317158</v>
      </c>
      <c r="BR19" s="25">
        <v>417.50202608154927</v>
      </c>
      <c r="BS19" s="25">
        <v>2.4802471084087681</v>
      </c>
      <c r="BT19" s="25">
        <v>40.228511835473206</v>
      </c>
      <c r="BU19" s="25">
        <v>75.033604900615117</v>
      </c>
      <c r="BV19" s="25">
        <v>90.855037879581531</v>
      </c>
      <c r="BW19" s="25">
        <v>713.71251247909129</v>
      </c>
      <c r="BX19" s="25">
        <v>0</v>
      </c>
      <c r="BY19" s="25">
        <v>6018.390491903001</v>
      </c>
      <c r="BZ19" s="25">
        <v>1487.0023533941203</v>
      </c>
      <c r="CA19" s="25">
        <v>18.256368632936255</v>
      </c>
      <c r="CB19" s="25">
        <v>0</v>
      </c>
      <c r="CC19" s="25">
        <v>56258.295320507816</v>
      </c>
      <c r="CD19" s="25">
        <v>119.90141429200371</v>
      </c>
      <c r="CE19" s="25">
        <v>2530.1540512722554</v>
      </c>
      <c r="CF19" s="25">
        <v>60413.609508099093</v>
      </c>
      <c r="CG19" s="25">
        <v>66432</v>
      </c>
      <c r="CH19"/>
      <c r="CI19">
        <f t="shared" si="0"/>
        <v>0.90940524909831244</v>
      </c>
      <c r="CJ19"/>
      <c r="CK19"/>
      <c r="CL19"/>
      <c r="CM19"/>
      <c r="CN19"/>
      <c r="CO19"/>
      <c r="CP19"/>
      <c r="CQ19"/>
      <c r="CR19"/>
      <c r="CS19"/>
      <c r="CT19"/>
      <c r="CU19"/>
    </row>
    <row r="20" spans="1:99" s="5" customFormat="1" x14ac:dyDescent="0.3">
      <c r="A20" s="35" t="s">
        <v>24</v>
      </c>
      <c r="B20" s="13" t="s">
        <v>98</v>
      </c>
      <c r="C20" s="5">
        <v>15</v>
      </c>
      <c r="D20" s="25">
        <v>3.1656503368254212</v>
      </c>
      <c r="E20" s="25">
        <v>3.5016145817022655</v>
      </c>
      <c r="F20" s="25">
        <v>0.11250466792074208</v>
      </c>
      <c r="G20" s="25">
        <v>1.2552648448728361</v>
      </c>
      <c r="H20" s="25">
        <v>7.230083457881797</v>
      </c>
      <c r="I20" s="25">
        <v>3.1731176114512492</v>
      </c>
      <c r="J20" s="25">
        <v>0.2911685720237227</v>
      </c>
      <c r="K20" s="25">
        <v>14.205273766469926</v>
      </c>
      <c r="L20" s="25">
        <v>0.35946420768424214</v>
      </c>
      <c r="M20" s="25">
        <v>18.63153693478959</v>
      </c>
      <c r="N20" s="25">
        <v>4.7600469544155501</v>
      </c>
      <c r="O20" s="25">
        <v>0.20646677645055178</v>
      </c>
      <c r="P20" s="25">
        <v>4.6290137458726655</v>
      </c>
      <c r="Q20" s="25">
        <v>3.9448713309004133</v>
      </c>
      <c r="R20" s="25">
        <v>4155.6638549254176</v>
      </c>
      <c r="S20" s="25">
        <v>0.76695931972554121</v>
      </c>
      <c r="T20" s="25">
        <v>61.973868951911165</v>
      </c>
      <c r="U20" s="25">
        <v>1.8174690548495949</v>
      </c>
      <c r="V20" s="25">
        <v>1.0066646767342782</v>
      </c>
      <c r="W20" s="25">
        <v>2.5850075389228028E-2</v>
      </c>
      <c r="X20" s="25">
        <v>1.4882634456147273E-3</v>
      </c>
      <c r="Y20" s="25">
        <v>1.1895828463229976</v>
      </c>
      <c r="Z20" s="25">
        <v>3.0979993367822507</v>
      </c>
      <c r="AA20" s="25">
        <v>4.0532564004503708</v>
      </c>
      <c r="AB20" s="25">
        <v>5.6541105554984581</v>
      </c>
      <c r="AC20" s="25">
        <v>2.9261179072739241</v>
      </c>
      <c r="AD20" s="25">
        <v>20.455284808029276</v>
      </c>
      <c r="AE20" s="25">
        <v>2.9266939546275155</v>
      </c>
      <c r="AF20" s="25">
        <v>1.6093491459344706</v>
      </c>
      <c r="AG20" s="25">
        <v>1.0869083119438476</v>
      </c>
      <c r="AH20" s="25">
        <v>21.021282281114541</v>
      </c>
      <c r="AI20" s="25">
        <v>2.0171853123896883</v>
      </c>
      <c r="AJ20" s="25">
        <v>3.6322328564495923</v>
      </c>
      <c r="AK20" s="25">
        <v>6.1046983499278547</v>
      </c>
      <c r="AL20" s="25">
        <v>32.39202355927673</v>
      </c>
      <c r="AM20" s="25">
        <v>14.553318255000438</v>
      </c>
      <c r="AN20" s="25">
        <v>2.2000245250973318</v>
      </c>
      <c r="AO20" s="25">
        <v>34.980015712238689</v>
      </c>
      <c r="AP20" s="25">
        <v>3.5512269715090663</v>
      </c>
      <c r="AQ20" s="25">
        <v>48.542151785512054</v>
      </c>
      <c r="AR20" s="25">
        <v>7.9294045939837607</v>
      </c>
      <c r="AS20" s="25">
        <v>5.6811224898820534</v>
      </c>
      <c r="AT20" s="25">
        <v>62.416992316027851</v>
      </c>
      <c r="AU20" s="25">
        <v>0.97683659044505045</v>
      </c>
      <c r="AV20" s="25">
        <v>38.909173635655499</v>
      </c>
      <c r="AW20" s="25">
        <v>8.9998049757904486</v>
      </c>
      <c r="AX20" s="25">
        <v>18.534076538664536</v>
      </c>
      <c r="AY20" s="40">
        <v>16.556329365011656</v>
      </c>
      <c r="AZ20" s="25">
        <v>8.0811358525520044E-2</v>
      </c>
      <c r="BA20" s="25">
        <v>1.6804029088899453</v>
      </c>
      <c r="BB20" s="25">
        <v>0.60163347377445087</v>
      </c>
      <c r="BC20" s="25">
        <v>1.5930623870171838</v>
      </c>
      <c r="BD20" s="25">
        <v>19.165198497563843</v>
      </c>
      <c r="BE20" s="25">
        <v>1.0106411104110542</v>
      </c>
      <c r="BF20" s="25">
        <v>21.927959997995146</v>
      </c>
      <c r="BG20" s="25">
        <v>1.2906255395217827</v>
      </c>
      <c r="BH20" s="25">
        <v>3.3661820209957516</v>
      </c>
      <c r="BI20" s="25">
        <v>2.4523121619275736</v>
      </c>
      <c r="BJ20" s="25">
        <v>0.71811162448815435</v>
      </c>
      <c r="BK20" s="25">
        <v>1.4974092179878471</v>
      </c>
      <c r="BL20" s="25">
        <v>6.3304120503115779</v>
      </c>
      <c r="BM20" s="25">
        <v>1.975185981076947</v>
      </c>
      <c r="BN20" s="25">
        <v>1.1834953655319842</v>
      </c>
      <c r="BO20" s="25">
        <v>5.4848328294669395</v>
      </c>
      <c r="BP20" s="25">
        <v>49.192873267605989</v>
      </c>
      <c r="BQ20" s="25">
        <v>23.113457894109349</v>
      </c>
      <c r="BR20" s="25">
        <v>3.4092172432266792</v>
      </c>
      <c r="BS20" s="25">
        <v>0.5726037308362002</v>
      </c>
      <c r="BT20" s="25">
        <v>3.6907174135698084</v>
      </c>
      <c r="BU20" s="25">
        <v>5.9127732555703849</v>
      </c>
      <c r="BV20" s="25">
        <v>0.71157968631764146</v>
      </c>
      <c r="BW20" s="25">
        <v>3.5661619901216595</v>
      </c>
      <c r="BX20" s="25">
        <v>0</v>
      </c>
      <c r="BY20" s="25">
        <v>4819.2470974444177</v>
      </c>
      <c r="BZ20" s="25">
        <v>6665.3743838161636</v>
      </c>
      <c r="CA20" s="25">
        <v>0.18919681769293806</v>
      </c>
      <c r="CB20" s="25">
        <v>0</v>
      </c>
      <c r="CC20" s="25">
        <v>30701.253822498617</v>
      </c>
      <c r="CD20" s="25">
        <v>358.76273421774158</v>
      </c>
      <c r="CE20" s="25">
        <v>1303.1727652059487</v>
      </c>
      <c r="CF20" s="25">
        <v>39028.752902556174</v>
      </c>
      <c r="CG20" s="25">
        <v>43848</v>
      </c>
      <c r="CH20"/>
      <c r="CI20">
        <f t="shared" si="0"/>
        <v>0.89009197460673628</v>
      </c>
      <c r="CJ20"/>
      <c r="CK20"/>
      <c r="CL20"/>
      <c r="CM20"/>
      <c r="CN20"/>
      <c r="CO20"/>
      <c r="CP20"/>
      <c r="CQ20"/>
      <c r="CR20"/>
      <c r="CS20"/>
      <c r="CT20"/>
      <c r="CU20"/>
    </row>
    <row r="21" spans="1:99" s="5" customFormat="1" x14ac:dyDescent="0.3">
      <c r="A21" s="35" t="s">
        <v>25</v>
      </c>
      <c r="B21" s="13" t="s">
        <v>99</v>
      </c>
      <c r="C21" s="5">
        <v>16</v>
      </c>
      <c r="D21" s="25">
        <v>575.89959297462758</v>
      </c>
      <c r="E21" s="25">
        <v>408.86174245243643</v>
      </c>
      <c r="F21" s="25">
        <v>27.078125575125597</v>
      </c>
      <c r="G21" s="25">
        <v>5.0211369652671012</v>
      </c>
      <c r="H21" s="25">
        <v>3.1760824510168657</v>
      </c>
      <c r="I21" s="25">
        <v>1.225781096353548</v>
      </c>
      <c r="J21" s="25">
        <v>0.26039057385195663</v>
      </c>
      <c r="K21" s="25">
        <v>57.13450516522834</v>
      </c>
      <c r="L21" s="25">
        <v>0.62410237435219007</v>
      </c>
      <c r="M21" s="25">
        <v>405.6063431206822</v>
      </c>
      <c r="N21" s="25">
        <v>91.150689799000702</v>
      </c>
      <c r="O21" s="25">
        <v>0.29916003822419512</v>
      </c>
      <c r="P21" s="25">
        <v>31.360025702729924</v>
      </c>
      <c r="Q21" s="25">
        <v>2.5333417873788457</v>
      </c>
      <c r="R21" s="25">
        <v>0.97262586335494794</v>
      </c>
      <c r="S21" s="25">
        <v>3561.053935604044</v>
      </c>
      <c r="T21" s="25">
        <v>551.46127657983902</v>
      </c>
      <c r="U21" s="25">
        <v>0.56589008260184981</v>
      </c>
      <c r="V21" s="25">
        <v>2.0630228964122397</v>
      </c>
      <c r="W21" s="25">
        <v>5.2923185107571026E-2</v>
      </c>
      <c r="X21" s="25">
        <v>9.8132278302966972E-4</v>
      </c>
      <c r="Y21" s="25">
        <v>0.99085793010736489</v>
      </c>
      <c r="Z21" s="25">
        <v>24.669118147257489</v>
      </c>
      <c r="AA21" s="25">
        <v>49.781551585969268</v>
      </c>
      <c r="AB21" s="25">
        <v>1.8465129933731801</v>
      </c>
      <c r="AC21" s="25">
        <v>1.8269033600244682</v>
      </c>
      <c r="AD21" s="25">
        <v>4.9169045298608154</v>
      </c>
      <c r="AE21" s="25">
        <v>38.360309208720174</v>
      </c>
      <c r="AF21" s="25">
        <v>20.559373261957724</v>
      </c>
      <c r="AG21" s="25">
        <v>0.48397907430069476</v>
      </c>
      <c r="AH21" s="25">
        <v>244.31850088754982</v>
      </c>
      <c r="AI21" s="25">
        <v>2.0560778944507638</v>
      </c>
      <c r="AJ21" s="25">
        <v>5.5533200993508265</v>
      </c>
      <c r="AK21" s="25">
        <v>268.62275604968454</v>
      </c>
      <c r="AL21" s="25">
        <v>139.86950335432778</v>
      </c>
      <c r="AM21" s="25">
        <v>94.283122241299196</v>
      </c>
      <c r="AN21" s="25">
        <v>114.49865904488344</v>
      </c>
      <c r="AO21" s="25">
        <v>5155.4476853721289</v>
      </c>
      <c r="AP21" s="25">
        <v>2.9704190557009564</v>
      </c>
      <c r="AQ21" s="25">
        <v>303.96864307328116</v>
      </c>
      <c r="AR21" s="25">
        <v>49.653553996995726</v>
      </c>
      <c r="AS21" s="25">
        <v>35.574918516446054</v>
      </c>
      <c r="AT21" s="25">
        <v>28.219834389706026</v>
      </c>
      <c r="AU21" s="25">
        <v>6.525193357906546</v>
      </c>
      <c r="AV21" s="25">
        <v>5272.3530022514924</v>
      </c>
      <c r="AW21" s="25">
        <v>15.796129529045754</v>
      </c>
      <c r="AX21" s="25">
        <v>2542.947086809711</v>
      </c>
      <c r="AY21" s="40">
        <v>6.0463049545752678</v>
      </c>
      <c r="AZ21" s="25">
        <v>0.38099368759197688</v>
      </c>
      <c r="BA21" s="25">
        <v>0.50376783023816563</v>
      </c>
      <c r="BB21" s="25">
        <v>111.10870455918798</v>
      </c>
      <c r="BC21" s="25">
        <v>5.2650195955158399</v>
      </c>
      <c r="BD21" s="25">
        <v>27.278433124969197</v>
      </c>
      <c r="BE21" s="25">
        <v>0.92471510396970635</v>
      </c>
      <c r="BF21" s="25">
        <v>117.467944899315</v>
      </c>
      <c r="BG21" s="25">
        <v>9.4640346180192836</v>
      </c>
      <c r="BH21" s="25">
        <v>7.9710762440111775</v>
      </c>
      <c r="BI21" s="25">
        <v>22.249568143588508</v>
      </c>
      <c r="BJ21" s="25">
        <v>451.81329834525707</v>
      </c>
      <c r="BK21" s="25">
        <v>22.141556094672666</v>
      </c>
      <c r="BL21" s="25">
        <v>4.3252286635431245</v>
      </c>
      <c r="BM21" s="25">
        <v>4.8999483457747859</v>
      </c>
      <c r="BN21" s="25">
        <v>4.9439587295902365</v>
      </c>
      <c r="BO21" s="25">
        <v>143.49876687177465</v>
      </c>
      <c r="BP21" s="25">
        <v>1.1495339044149535</v>
      </c>
      <c r="BQ21" s="25">
        <v>85.991655433995788</v>
      </c>
      <c r="BR21" s="25">
        <v>26.267861447526954</v>
      </c>
      <c r="BS21" s="25">
        <v>20.108720825582562</v>
      </c>
      <c r="BT21" s="25">
        <v>5.5608174430738391</v>
      </c>
      <c r="BU21" s="25">
        <v>17.945372646197391</v>
      </c>
      <c r="BV21" s="25">
        <v>15.604886622927555</v>
      </c>
      <c r="BW21" s="25">
        <v>231.26643156306363</v>
      </c>
      <c r="BX21" s="25">
        <v>0</v>
      </c>
      <c r="BY21" s="25">
        <v>21496.674191324331</v>
      </c>
      <c r="BZ21" s="25">
        <v>8988.4962240800105</v>
      </c>
      <c r="CA21" s="25">
        <v>0.12378141963519998</v>
      </c>
      <c r="CB21" s="25">
        <v>0</v>
      </c>
      <c r="CC21" s="25">
        <v>2436.8813076685633</v>
      </c>
      <c r="CD21" s="25">
        <v>124.74319635612343</v>
      </c>
      <c r="CE21" s="25">
        <v>-359.91870082642885</v>
      </c>
      <c r="CF21" s="25">
        <v>11190.325808697906</v>
      </c>
      <c r="CG21" s="25">
        <v>32687</v>
      </c>
      <c r="CH21"/>
      <c r="CI21">
        <f t="shared" si="0"/>
        <v>0.34234790004276644</v>
      </c>
      <c r="CJ21"/>
      <c r="CK21"/>
      <c r="CL21"/>
      <c r="CM21"/>
      <c r="CN21"/>
      <c r="CO21"/>
      <c r="CP21"/>
      <c r="CQ21"/>
      <c r="CR21"/>
      <c r="CS21"/>
      <c r="CT21"/>
      <c r="CU21"/>
    </row>
    <row r="22" spans="1:99" s="5" customFormat="1" x14ac:dyDescent="0.3">
      <c r="A22" s="35" t="s">
        <v>26</v>
      </c>
      <c r="B22" s="11" t="s">
        <v>100</v>
      </c>
      <c r="C22" s="5">
        <v>17</v>
      </c>
      <c r="D22" s="25">
        <v>484.47657908812602</v>
      </c>
      <c r="E22" s="25">
        <v>163.41992247595826</v>
      </c>
      <c r="F22" s="25">
        <v>20.615260347114198</v>
      </c>
      <c r="G22" s="25">
        <v>5.8578921770495143</v>
      </c>
      <c r="H22" s="25">
        <v>63.998590091409142</v>
      </c>
      <c r="I22" s="25">
        <v>116.44933324596096</v>
      </c>
      <c r="J22" s="25">
        <v>19.522373066008036</v>
      </c>
      <c r="K22" s="25">
        <v>2946.450864063343</v>
      </c>
      <c r="L22" s="25">
        <v>16.792677936772492</v>
      </c>
      <c r="M22" s="25">
        <v>3579.4642539699116</v>
      </c>
      <c r="N22" s="25">
        <v>227.40911400973994</v>
      </c>
      <c r="O22" s="25">
        <v>527.10497440370898</v>
      </c>
      <c r="P22" s="25">
        <v>533.58149741546777</v>
      </c>
      <c r="Q22" s="25">
        <v>304.23519179800036</v>
      </c>
      <c r="R22" s="25">
        <v>599.12898950250974</v>
      </c>
      <c r="S22" s="25">
        <v>997.05550669050319</v>
      </c>
      <c r="T22" s="25">
        <v>17336.141523292394</v>
      </c>
      <c r="U22" s="25">
        <v>1080.5644362790067</v>
      </c>
      <c r="V22" s="25">
        <v>149.69532659309297</v>
      </c>
      <c r="W22" s="25">
        <v>3.8398047693873503</v>
      </c>
      <c r="X22" s="25">
        <v>5.7059413013689622E-2</v>
      </c>
      <c r="Y22" s="25">
        <v>55.80084979190098</v>
      </c>
      <c r="Z22" s="25">
        <v>109.13595645361006</v>
      </c>
      <c r="AA22" s="25">
        <v>203.32754747843759</v>
      </c>
      <c r="AB22" s="25">
        <v>1479.5944059635219</v>
      </c>
      <c r="AC22" s="25">
        <v>881.64015201840959</v>
      </c>
      <c r="AD22" s="25">
        <v>2148.3735267543443</v>
      </c>
      <c r="AE22" s="25">
        <v>1464.0260625544502</v>
      </c>
      <c r="AF22" s="25">
        <v>44.193157211983952</v>
      </c>
      <c r="AG22" s="25">
        <v>18.777785833759225</v>
      </c>
      <c r="AH22" s="25">
        <v>1188.0628875288216</v>
      </c>
      <c r="AI22" s="25">
        <v>697.10906438325617</v>
      </c>
      <c r="AJ22" s="25">
        <v>368.93227969774961</v>
      </c>
      <c r="AK22" s="25">
        <v>132.28754563704774</v>
      </c>
      <c r="AL22" s="25">
        <v>290.31712655254341</v>
      </c>
      <c r="AM22" s="25">
        <v>705.04817118748031</v>
      </c>
      <c r="AN22" s="25">
        <v>47.987182601319333</v>
      </c>
      <c r="AO22" s="25">
        <v>861.40980278848042</v>
      </c>
      <c r="AP22" s="25">
        <v>24.287570788032568</v>
      </c>
      <c r="AQ22" s="25">
        <v>60.292344010331433</v>
      </c>
      <c r="AR22" s="25">
        <v>9.8488091687822603</v>
      </c>
      <c r="AS22" s="25">
        <v>7.056304241276564</v>
      </c>
      <c r="AT22" s="25">
        <v>3.9153997106606142</v>
      </c>
      <c r="AU22" s="25">
        <v>57.548798715221388</v>
      </c>
      <c r="AV22" s="25">
        <v>341.38662747232547</v>
      </c>
      <c r="AW22" s="25">
        <v>605.5091366437631</v>
      </c>
      <c r="AX22" s="25">
        <v>5757.9757212547684</v>
      </c>
      <c r="AY22" s="40">
        <v>172.26839729477263</v>
      </c>
      <c r="AZ22" s="25">
        <v>44.88445765631959</v>
      </c>
      <c r="BA22" s="25">
        <v>16.699982283057626</v>
      </c>
      <c r="BB22" s="25">
        <v>301.23450955963051</v>
      </c>
      <c r="BC22" s="25">
        <v>179.6825292729275</v>
      </c>
      <c r="BD22" s="25">
        <v>1295.139463873573</v>
      </c>
      <c r="BE22" s="25">
        <v>769.85663133136416</v>
      </c>
      <c r="BF22" s="25">
        <v>121.38809587312124</v>
      </c>
      <c r="BG22" s="25">
        <v>60.099533494634706</v>
      </c>
      <c r="BH22" s="25">
        <v>566.53763841641342</v>
      </c>
      <c r="BI22" s="25">
        <v>1394.2435368236875</v>
      </c>
      <c r="BJ22" s="25">
        <v>292.67537925035981</v>
      </c>
      <c r="BK22" s="25">
        <v>1496.7377422322315</v>
      </c>
      <c r="BL22" s="25">
        <v>375.26764977143358</v>
      </c>
      <c r="BM22" s="25">
        <v>516.77110522424675</v>
      </c>
      <c r="BN22" s="25">
        <v>441.52115269618628</v>
      </c>
      <c r="BO22" s="25">
        <v>1897.0610850099845</v>
      </c>
      <c r="BP22" s="25">
        <v>35.822763577414072</v>
      </c>
      <c r="BQ22" s="25">
        <v>843.65663235393299</v>
      </c>
      <c r="BR22" s="25">
        <v>646.23875732468036</v>
      </c>
      <c r="BS22" s="25">
        <v>483.89953808075313</v>
      </c>
      <c r="BT22" s="25">
        <v>130.78637323516386</v>
      </c>
      <c r="BU22" s="25">
        <v>839.06053927534674</v>
      </c>
      <c r="BV22" s="25">
        <v>66.767841390422049</v>
      </c>
      <c r="BW22" s="25">
        <v>558.64345554160946</v>
      </c>
      <c r="BX22" s="25">
        <v>0</v>
      </c>
      <c r="BY22" s="25">
        <v>60286.650177914038</v>
      </c>
      <c r="BZ22" s="25">
        <v>34160.217659532369</v>
      </c>
      <c r="CA22" s="25">
        <v>0.21114252305990536</v>
      </c>
      <c r="CB22" s="25">
        <v>0</v>
      </c>
      <c r="CC22" s="25">
        <v>14142.497722479031</v>
      </c>
      <c r="CD22" s="25">
        <v>218.06720880545404</v>
      </c>
      <c r="CE22" s="25">
        <v>787.35608879618803</v>
      </c>
      <c r="CF22" s="25">
        <v>49308.349822136122</v>
      </c>
      <c r="CG22" s="25">
        <v>109595</v>
      </c>
      <c r="CH22"/>
      <c r="CI22">
        <f t="shared" si="0"/>
        <v>0.44991422804084241</v>
      </c>
      <c r="CJ22"/>
      <c r="CK22"/>
      <c r="CL22"/>
      <c r="CM22"/>
      <c r="CN22"/>
      <c r="CO22"/>
      <c r="CP22"/>
      <c r="CQ22"/>
      <c r="CR22"/>
      <c r="CS22"/>
      <c r="CT22"/>
      <c r="CU22"/>
    </row>
    <row r="23" spans="1:99" s="5" customFormat="1" x14ac:dyDescent="0.3">
      <c r="A23" s="35" t="s">
        <v>27</v>
      </c>
      <c r="B23" s="11" t="s">
        <v>101</v>
      </c>
      <c r="C23" s="5">
        <v>18</v>
      </c>
      <c r="D23" s="25">
        <v>13.339322336485235</v>
      </c>
      <c r="E23" s="25">
        <v>3.1329613532081737</v>
      </c>
      <c r="F23" s="25">
        <v>2.4387295803335323</v>
      </c>
      <c r="G23" s="25">
        <v>0.41174963220345551</v>
      </c>
      <c r="H23" s="25">
        <v>6.6182739715733696</v>
      </c>
      <c r="I23" s="25">
        <v>14.804113355511834</v>
      </c>
      <c r="J23" s="25">
        <v>3.8701544742412097</v>
      </c>
      <c r="K23" s="25">
        <v>85.186409952943919</v>
      </c>
      <c r="L23" s="25">
        <v>11.087753283561041</v>
      </c>
      <c r="M23" s="25">
        <v>114.11040389106206</v>
      </c>
      <c r="N23" s="25">
        <v>221.79900535780783</v>
      </c>
      <c r="O23" s="25">
        <v>5.157676783603768</v>
      </c>
      <c r="P23" s="25">
        <v>17.391981351023837</v>
      </c>
      <c r="Q23" s="25">
        <v>19.532918733880258</v>
      </c>
      <c r="R23" s="25">
        <v>12.239218348222984</v>
      </c>
      <c r="S23" s="25">
        <v>28.70140216483221</v>
      </c>
      <c r="T23" s="25">
        <v>196.93695866879804</v>
      </c>
      <c r="U23" s="25">
        <v>996.48161893031045</v>
      </c>
      <c r="V23" s="25">
        <v>8.9755705319727976</v>
      </c>
      <c r="W23" s="25">
        <v>0.23020988411853741</v>
      </c>
      <c r="X23" s="25">
        <v>2.6149486501612427E-3</v>
      </c>
      <c r="Y23" s="25">
        <v>9.8994416833193135</v>
      </c>
      <c r="Z23" s="25">
        <v>5.5179686526019465</v>
      </c>
      <c r="AA23" s="25">
        <v>23.272288452989464</v>
      </c>
      <c r="AB23" s="25">
        <v>16.904612099165309</v>
      </c>
      <c r="AC23" s="25">
        <v>18.810886334988925</v>
      </c>
      <c r="AD23" s="25">
        <v>61.632086605662025</v>
      </c>
      <c r="AE23" s="25">
        <v>25.16405186894179</v>
      </c>
      <c r="AF23" s="25">
        <v>18.243604821766155</v>
      </c>
      <c r="AG23" s="25">
        <v>1.7709165931754178</v>
      </c>
      <c r="AH23" s="25">
        <v>31.445401191103375</v>
      </c>
      <c r="AI23" s="25">
        <v>194.60325009516066</v>
      </c>
      <c r="AJ23" s="25">
        <v>13.867940817486756</v>
      </c>
      <c r="AK23" s="25">
        <v>22.023420020685744</v>
      </c>
      <c r="AL23" s="25">
        <v>28.005185858666746</v>
      </c>
      <c r="AM23" s="25">
        <v>28.21837239817825</v>
      </c>
      <c r="AN23" s="25">
        <v>5.3995950654618863</v>
      </c>
      <c r="AO23" s="25">
        <v>39.211127289602899</v>
      </c>
      <c r="AP23" s="25">
        <v>3.8478854595298939</v>
      </c>
      <c r="AQ23" s="25">
        <v>22.346285787186023</v>
      </c>
      <c r="AR23" s="25">
        <v>3.6502860846039376</v>
      </c>
      <c r="AS23" s="25">
        <v>2.6152937618394665</v>
      </c>
      <c r="AT23" s="25">
        <v>5.3059561107700794</v>
      </c>
      <c r="AU23" s="25">
        <v>11.366928333523759</v>
      </c>
      <c r="AV23" s="25">
        <v>71.515593522430578</v>
      </c>
      <c r="AW23" s="25">
        <v>111.40668932156279</v>
      </c>
      <c r="AX23" s="25">
        <v>6729.9426449456223</v>
      </c>
      <c r="AY23" s="40">
        <v>56.85771285147267</v>
      </c>
      <c r="AZ23" s="25">
        <v>1.7187503961847612</v>
      </c>
      <c r="BA23" s="25">
        <v>33.680218153388793</v>
      </c>
      <c r="BB23" s="25">
        <v>63.906744764856342</v>
      </c>
      <c r="BC23" s="25">
        <v>10.455078327361646</v>
      </c>
      <c r="BD23" s="25">
        <v>101.21687459716247</v>
      </c>
      <c r="BE23" s="25">
        <v>1189.4141458884806</v>
      </c>
      <c r="BF23" s="25">
        <v>211.93620447332046</v>
      </c>
      <c r="BG23" s="25">
        <v>605.27134125392308</v>
      </c>
      <c r="BH23" s="25">
        <v>538.32545311209321</v>
      </c>
      <c r="BI23" s="25">
        <v>1458.0065591688883</v>
      </c>
      <c r="BJ23" s="25">
        <v>330.83616985435003</v>
      </c>
      <c r="BK23" s="25">
        <v>556.47460661289415</v>
      </c>
      <c r="BL23" s="25">
        <v>226.79438734614351</v>
      </c>
      <c r="BM23" s="25">
        <v>2104.0793969167003</v>
      </c>
      <c r="BN23" s="25">
        <v>63.744541446255411</v>
      </c>
      <c r="BO23" s="25">
        <v>1293.0832488715801</v>
      </c>
      <c r="BP23" s="25">
        <v>2.9332676004145624</v>
      </c>
      <c r="BQ23" s="25">
        <v>1054.3198988395673</v>
      </c>
      <c r="BR23" s="25">
        <v>222.82941521498168</v>
      </c>
      <c r="BS23" s="25">
        <v>41.714129950786727</v>
      </c>
      <c r="BT23" s="25">
        <v>89.605469705838274</v>
      </c>
      <c r="BU23" s="25">
        <v>103.38244922351554</v>
      </c>
      <c r="BV23" s="25">
        <v>328.68184010140919</v>
      </c>
      <c r="BW23" s="25">
        <v>344.79312245990695</v>
      </c>
      <c r="BX23" s="25">
        <v>0</v>
      </c>
      <c r="BY23" s="25">
        <v>20302.49778784185</v>
      </c>
      <c r="BZ23" s="25">
        <v>176.53574298205356</v>
      </c>
      <c r="CA23" s="25">
        <v>0.26935788229663143</v>
      </c>
      <c r="CB23" s="25">
        <v>0</v>
      </c>
      <c r="CC23" s="25">
        <v>1258.4005468510047</v>
      </c>
      <c r="CD23" s="25">
        <v>40.666815602113267</v>
      </c>
      <c r="CE23" s="25">
        <v>-445.37025112817054</v>
      </c>
      <c r="CF23" s="25">
        <v>1030.5022121892976</v>
      </c>
      <c r="CG23" s="25">
        <v>21333</v>
      </c>
      <c r="CH23"/>
      <c r="CI23">
        <f t="shared" si="0"/>
        <v>4.8305545970529114E-2</v>
      </c>
      <c r="CJ23"/>
      <c r="CK23"/>
      <c r="CL23"/>
      <c r="CM23"/>
      <c r="CN23"/>
      <c r="CO23"/>
      <c r="CP23"/>
      <c r="CQ23"/>
      <c r="CR23"/>
      <c r="CS23"/>
      <c r="CT23"/>
      <c r="CU23"/>
    </row>
    <row r="24" spans="1:99" s="18" customFormat="1" x14ac:dyDescent="0.3">
      <c r="A24" s="35" t="s">
        <v>28</v>
      </c>
      <c r="B24" s="4" t="s">
        <v>102</v>
      </c>
      <c r="C24" s="18">
        <v>19</v>
      </c>
      <c r="D24" s="46">
        <v>12522.632519533092</v>
      </c>
      <c r="E24" s="46">
        <v>4529.1576882829731</v>
      </c>
      <c r="F24" s="46">
        <v>691.20360658459242</v>
      </c>
      <c r="G24" s="46">
        <v>1123.6606102339751</v>
      </c>
      <c r="H24" s="46">
        <v>3436.5901396139275</v>
      </c>
      <c r="I24" s="46">
        <v>4990.8881594386366</v>
      </c>
      <c r="J24" s="46">
        <v>1243.4586100658526</v>
      </c>
      <c r="K24" s="46">
        <v>3099.5978747182226</v>
      </c>
      <c r="L24" s="46">
        <v>901.23197496123021</v>
      </c>
      <c r="M24" s="46">
        <v>3777.5560112972616</v>
      </c>
      <c r="N24" s="46">
        <v>721.48778110527439</v>
      </c>
      <c r="O24" s="46">
        <v>19.753751511316885</v>
      </c>
      <c r="P24" s="46">
        <v>252.82664097451064</v>
      </c>
      <c r="Q24" s="46">
        <v>105.1450681065524</v>
      </c>
      <c r="R24" s="46">
        <v>196.64050937947721</v>
      </c>
      <c r="S24" s="46">
        <v>273.71901313171429</v>
      </c>
      <c r="T24" s="46">
        <v>2024.9337788883145</v>
      </c>
      <c r="U24" s="46">
        <v>22.932426491456628</v>
      </c>
      <c r="V24" s="46">
        <v>110832.26105709503</v>
      </c>
      <c r="W24" s="46">
        <v>2852.6018414340801</v>
      </c>
      <c r="X24" s="46">
        <v>913.18108339073501</v>
      </c>
      <c r="Y24" s="46">
        <v>372.77800864538665</v>
      </c>
      <c r="Z24" s="46">
        <v>10873.963150608515</v>
      </c>
      <c r="AA24" s="46">
        <v>960.79738217402087</v>
      </c>
      <c r="AB24" s="46">
        <v>470.1262062355666</v>
      </c>
      <c r="AC24" s="46">
        <v>187.46501781303067</v>
      </c>
      <c r="AD24" s="46">
        <v>1671.0651731823252</v>
      </c>
      <c r="AE24" s="46">
        <v>2993.1382155248989</v>
      </c>
      <c r="AF24" s="46">
        <v>1853.8128862687497</v>
      </c>
      <c r="AG24" s="46">
        <v>2401.590078444216</v>
      </c>
      <c r="AH24" s="46">
        <v>412.73978207336182</v>
      </c>
      <c r="AI24" s="46">
        <v>196.80683430812857</v>
      </c>
      <c r="AJ24" s="46">
        <v>532.91945425261213</v>
      </c>
      <c r="AK24" s="46">
        <v>438.35205049141177</v>
      </c>
      <c r="AL24" s="46">
        <v>997.16558673446275</v>
      </c>
      <c r="AM24" s="46">
        <v>366.59462089235251</v>
      </c>
      <c r="AN24" s="46">
        <v>99.828542069340401</v>
      </c>
      <c r="AO24" s="46">
        <v>264.11533615702814</v>
      </c>
      <c r="AP24" s="46">
        <v>340.00152047639358</v>
      </c>
      <c r="AQ24" s="46">
        <v>2403.6211238173555</v>
      </c>
      <c r="AR24" s="46">
        <v>392.5613967492672</v>
      </c>
      <c r="AS24" s="46">
        <v>281.2555915514609</v>
      </c>
      <c r="AT24" s="46">
        <v>39.351034825142662</v>
      </c>
      <c r="AU24" s="46">
        <v>1057.6584168554284</v>
      </c>
      <c r="AV24" s="46">
        <v>6560.9161595641526</v>
      </c>
      <c r="AW24" s="46">
        <v>959.18197134293257</v>
      </c>
      <c r="AX24" s="46">
        <v>15601.925063646577</v>
      </c>
      <c r="AY24" s="48">
        <f>'Fluxos Energia'!L17</f>
        <v>44920.554568492276</v>
      </c>
      <c r="AZ24" s="46">
        <v>1664.3254032695027</v>
      </c>
      <c r="BA24" s="46">
        <v>6710.988050768251</v>
      </c>
      <c r="BB24" s="46">
        <v>2004.3535197355434</v>
      </c>
      <c r="BC24" s="46">
        <v>84.590635668237184</v>
      </c>
      <c r="BD24" s="46">
        <v>2272.97567882577</v>
      </c>
      <c r="BE24" s="46">
        <v>23.045753027364938</v>
      </c>
      <c r="BF24" s="46">
        <v>58.727794531367806</v>
      </c>
      <c r="BG24" s="46">
        <v>89.357006794270276</v>
      </c>
      <c r="BH24" s="46">
        <v>172.01030491538387</v>
      </c>
      <c r="BI24" s="46">
        <v>598.21743042017511</v>
      </c>
      <c r="BJ24" s="46">
        <v>101.5923021008885</v>
      </c>
      <c r="BK24" s="46">
        <v>574.34079343583812</v>
      </c>
      <c r="BL24" s="46">
        <v>407.7551894533571</v>
      </c>
      <c r="BM24" s="46">
        <v>131.53972635633767</v>
      </c>
      <c r="BN24" s="46">
        <v>708.48833907984294</v>
      </c>
      <c r="BO24" s="46">
        <v>565.40770019436866</v>
      </c>
      <c r="BP24" s="46">
        <v>427.26511935873617</v>
      </c>
      <c r="BQ24" s="46">
        <v>2331.4275477576762</v>
      </c>
      <c r="BR24" s="46">
        <v>334.33949886834267</v>
      </c>
      <c r="BS24" s="46">
        <v>129.02050993549793</v>
      </c>
      <c r="BT24" s="46">
        <v>80.289527507648458</v>
      </c>
      <c r="BU24" s="46">
        <v>348.12057642093322</v>
      </c>
      <c r="BV24" s="46">
        <v>142.96643688512478</v>
      </c>
      <c r="BW24" s="46">
        <v>710.68954719135274</v>
      </c>
      <c r="BX24" s="46">
        <v>0</v>
      </c>
      <c r="BY24" s="46">
        <v>300268.8618076829</v>
      </c>
      <c r="BZ24" s="46">
        <v>21129.468115285599</v>
      </c>
      <c r="CA24" s="46">
        <v>0</v>
      </c>
      <c r="CB24" s="46">
        <v>0</v>
      </c>
      <c r="CC24" s="46">
        <v>117714.641201433</v>
      </c>
      <c r="CD24" s="46">
        <v>1.4315587348310601</v>
      </c>
      <c r="CE24" s="46">
        <v>-5303.1361940251199</v>
      </c>
      <c r="CF24" s="46">
        <v>133542.40468142793</v>
      </c>
      <c r="CG24" s="46">
        <v>433811.26648911083</v>
      </c>
      <c r="CH24"/>
      <c r="CI24">
        <f t="shared" si="0"/>
        <v>0.30783526154634805</v>
      </c>
      <c r="CJ24"/>
      <c r="CK24"/>
      <c r="CL24"/>
      <c r="CM24"/>
      <c r="CN24"/>
      <c r="CO24"/>
      <c r="CP24"/>
      <c r="CQ24"/>
      <c r="CR24"/>
      <c r="CS24"/>
      <c r="CT24"/>
      <c r="CU24"/>
    </row>
    <row r="25" spans="1:99" s="18" customFormat="1" x14ac:dyDescent="0.3">
      <c r="A25" s="35" t="s">
        <v>29</v>
      </c>
      <c r="B25" s="4" t="s">
        <v>103</v>
      </c>
      <c r="C25" s="18">
        <v>20</v>
      </c>
      <c r="D25" s="46">
        <v>800.98709238031074</v>
      </c>
      <c r="E25" s="46">
        <v>228.31395134121664</v>
      </c>
      <c r="F25" s="46">
        <v>42.84210846485729</v>
      </c>
      <c r="G25" s="46">
        <v>49.015375331955099</v>
      </c>
      <c r="H25" s="46">
        <v>29.475244253497728</v>
      </c>
      <c r="I25" s="46">
        <v>349.95761769903044</v>
      </c>
      <c r="J25" s="46">
        <v>66.507064819792134</v>
      </c>
      <c r="K25" s="46">
        <v>152.9995966611024</v>
      </c>
      <c r="L25" s="46">
        <v>66.775694859087963</v>
      </c>
      <c r="M25" s="46">
        <v>217.49628010011335</v>
      </c>
      <c r="N25" s="46">
        <v>35.430374874966532</v>
      </c>
      <c r="O25" s="46">
        <v>1.2241021908097549</v>
      </c>
      <c r="P25" s="46">
        <v>8.7468574422966933E-2</v>
      </c>
      <c r="Q25" s="46">
        <v>4.1680127820015886E-2</v>
      </c>
      <c r="R25" s="46">
        <v>5.2176194185798191E-2</v>
      </c>
      <c r="S25" s="46">
        <v>0.70663884087715245</v>
      </c>
      <c r="T25" s="46">
        <v>36.050744959885058</v>
      </c>
      <c r="U25" s="46">
        <v>1.6231507350466379</v>
      </c>
      <c r="V25" s="46">
        <v>4.9463166031858421</v>
      </c>
      <c r="W25" s="46">
        <v>0.12740008991067267</v>
      </c>
      <c r="X25" s="46">
        <v>2.2286903330390823E-2</v>
      </c>
      <c r="Y25" s="46">
        <v>830.99987346381795</v>
      </c>
      <c r="Z25" s="46">
        <v>88.073225849021981</v>
      </c>
      <c r="AA25" s="46">
        <v>26.385249778054153</v>
      </c>
      <c r="AB25" s="46">
        <v>22.19683428704419</v>
      </c>
      <c r="AC25" s="46">
        <v>15.228424622984061</v>
      </c>
      <c r="AD25" s="46">
        <v>59.441331229481158</v>
      </c>
      <c r="AE25" s="46">
        <v>62.48707651720617</v>
      </c>
      <c r="AF25" s="46">
        <v>53.695921184526156</v>
      </c>
      <c r="AG25" s="46">
        <v>14.697807497505472</v>
      </c>
      <c r="AH25" s="46">
        <v>22.59738246849809</v>
      </c>
      <c r="AI25" s="46">
        <v>14.780253823385392</v>
      </c>
      <c r="AJ25" s="46">
        <v>16.201304973411656</v>
      </c>
      <c r="AK25" s="46">
        <v>18.656441525958165</v>
      </c>
      <c r="AL25" s="46">
        <v>66.238086762132014</v>
      </c>
      <c r="AM25" s="46">
        <v>15.162335757206742</v>
      </c>
      <c r="AN25" s="46">
        <v>6.2855793006054697</v>
      </c>
      <c r="AO25" s="46">
        <v>16.047930732855296</v>
      </c>
      <c r="AP25" s="46">
        <v>15.826858358950924</v>
      </c>
      <c r="AQ25" s="46">
        <v>1.0453906676912066</v>
      </c>
      <c r="AR25" s="46">
        <v>0.17033481756105376</v>
      </c>
      <c r="AS25" s="46">
        <v>0.12203854039561458</v>
      </c>
      <c r="AT25" s="46">
        <v>2.0696437936307807E-2</v>
      </c>
      <c r="AU25" s="46">
        <v>0.84012605867218304</v>
      </c>
      <c r="AV25" s="46">
        <v>314.86489219163877</v>
      </c>
      <c r="AW25" s="46">
        <v>14.792994580132206</v>
      </c>
      <c r="AX25" s="46">
        <v>747.61131564934908</v>
      </c>
      <c r="AY25" s="48">
        <f>'Fluxos Energia'!L18</f>
        <v>5181.1799382375975</v>
      </c>
      <c r="AZ25" s="46">
        <v>0.84983695185490293</v>
      </c>
      <c r="BA25" s="46">
        <v>32.27113757300112</v>
      </c>
      <c r="BB25" s="46">
        <v>102.63218127976005</v>
      </c>
      <c r="BC25" s="46">
        <v>1.5996283358392476</v>
      </c>
      <c r="BD25" s="46">
        <v>1.1177232242077269</v>
      </c>
      <c r="BE25" s="46">
        <v>0.21533386704567911</v>
      </c>
      <c r="BF25" s="46">
        <v>0.7536020199406791</v>
      </c>
      <c r="BG25" s="46">
        <v>0.52129845275347098</v>
      </c>
      <c r="BH25" s="46">
        <v>0.78407177280580997</v>
      </c>
      <c r="BI25" s="46">
        <v>2.723078605507566</v>
      </c>
      <c r="BJ25" s="46">
        <v>0.56868637304067438</v>
      </c>
      <c r="BK25" s="46">
        <v>2.6149690456407759</v>
      </c>
      <c r="BL25" s="46">
        <v>2.1615132488413709</v>
      </c>
      <c r="BM25" s="46">
        <v>0.55949068530369961</v>
      </c>
      <c r="BN25" s="46">
        <v>8.1413889672549988</v>
      </c>
      <c r="BO25" s="46">
        <v>2.5664201960293136</v>
      </c>
      <c r="BP25" s="46">
        <v>24.202500883003804</v>
      </c>
      <c r="BQ25" s="46">
        <v>7.0732373027531645</v>
      </c>
      <c r="BR25" s="46">
        <v>0.70014747876949934</v>
      </c>
      <c r="BS25" s="46">
        <v>6.9915698388294043</v>
      </c>
      <c r="BT25" s="46">
        <v>0.2017277790717576</v>
      </c>
      <c r="BU25" s="46">
        <v>4.8962952711294179</v>
      </c>
      <c r="BV25" s="46">
        <v>4.0101391892789389</v>
      </c>
      <c r="BW25" s="46">
        <v>16.713675476606536</v>
      </c>
      <c r="BX25" s="46">
        <v>0</v>
      </c>
      <c r="BY25" s="46">
        <v>9935.2016651372924</v>
      </c>
      <c r="BZ25" s="46">
        <v>421.58378395935199</v>
      </c>
      <c r="CA25" s="46">
        <v>0</v>
      </c>
      <c r="CB25" s="46">
        <v>0</v>
      </c>
      <c r="CC25" s="46">
        <v>43.723354520799496</v>
      </c>
      <c r="CD25" s="46">
        <v>0.48795201857792703</v>
      </c>
      <c r="CE25" s="46">
        <v>-15.134626870855699</v>
      </c>
      <c r="CF25" s="46">
        <v>450.66046362787347</v>
      </c>
      <c r="CG25" s="46">
        <v>10385.862128765166</v>
      </c>
      <c r="CH25"/>
      <c r="CI25">
        <f t="shared" si="0"/>
        <v>4.339172406108717E-2</v>
      </c>
      <c r="CJ25"/>
      <c r="CK25"/>
      <c r="CL25"/>
      <c r="CM25"/>
      <c r="CN25"/>
      <c r="CO25"/>
      <c r="CP25"/>
      <c r="CQ25"/>
      <c r="CR25"/>
      <c r="CS25"/>
      <c r="CT25"/>
      <c r="CU25"/>
    </row>
    <row r="26" spans="1:99" s="18" customFormat="1" x14ac:dyDescent="0.3">
      <c r="A26" s="35" t="s">
        <v>30</v>
      </c>
      <c r="B26" s="11" t="s">
        <v>104</v>
      </c>
      <c r="C26" s="18">
        <v>21</v>
      </c>
      <c r="D26" s="46">
        <v>3.097599811957731</v>
      </c>
      <c r="E26" s="46">
        <v>2.6317441718778483</v>
      </c>
      <c r="F26" s="46">
        <v>0.25045315140373309</v>
      </c>
      <c r="G26" s="46">
        <v>1.1454317617459846</v>
      </c>
      <c r="H26" s="46">
        <v>63.643880813932434</v>
      </c>
      <c r="I26" s="46">
        <v>25.411817206673721</v>
      </c>
      <c r="J26" s="46">
        <v>4.7089032887406397</v>
      </c>
      <c r="K26" s="46">
        <v>1.4120661489589843</v>
      </c>
      <c r="L26" s="46">
        <v>2.2448832994914965E-2</v>
      </c>
      <c r="M26" s="46">
        <v>0.73106477719809781</v>
      </c>
      <c r="N26" s="46">
        <v>0.31731661243234488</v>
      </c>
      <c r="O26" s="46">
        <v>4.2146732089029188E-3</v>
      </c>
      <c r="P26" s="46">
        <v>7.3819091888877947E-2</v>
      </c>
      <c r="Q26" s="46">
        <v>1.8262355748853928E-3</v>
      </c>
      <c r="R26" s="46">
        <v>6.8517283904238738E-2</v>
      </c>
      <c r="S26" s="46">
        <v>0.41032360765982845</v>
      </c>
      <c r="T26" s="46">
        <v>0.80412552092852674</v>
      </c>
      <c r="U26" s="46">
        <v>4.2380244401252782E-3</v>
      </c>
      <c r="V26" s="46">
        <v>111.54950844292934</v>
      </c>
      <c r="W26" s="46">
        <v>15.910302955689614</v>
      </c>
      <c r="X26" s="46">
        <v>1312.4122952422433</v>
      </c>
      <c r="Y26" s="46">
        <v>3.3455571526155286E-3</v>
      </c>
      <c r="Z26" s="46">
        <v>3.6823053334142277</v>
      </c>
      <c r="AA26" s="46">
        <v>0.54571521204773887</v>
      </c>
      <c r="AB26" s="46">
        <v>0.20430783912428513</v>
      </c>
      <c r="AC26" s="46">
        <v>2.3745335612572707E-2</v>
      </c>
      <c r="AD26" s="46">
        <v>0.91186851007197556</v>
      </c>
      <c r="AE26" s="46">
        <v>18.895061571639101</v>
      </c>
      <c r="AF26" s="46">
        <v>1035.1843245612683</v>
      </c>
      <c r="AG26" s="46">
        <v>27.184975318788272</v>
      </c>
      <c r="AH26" s="46">
        <v>20.27854295009459</v>
      </c>
      <c r="AI26" s="46">
        <v>0.11311615847944548</v>
      </c>
      <c r="AJ26" s="46">
        <v>81.726580369796153</v>
      </c>
      <c r="AK26" s="46">
        <v>26.200130192655507</v>
      </c>
      <c r="AL26" s="46">
        <v>22.452421923146879</v>
      </c>
      <c r="AM26" s="46">
        <v>41.159031431785124</v>
      </c>
      <c r="AN26" s="46">
        <v>2.3537012046784431</v>
      </c>
      <c r="AO26" s="46">
        <v>10.863703891176662</v>
      </c>
      <c r="AP26" s="46">
        <v>29.206644372032159</v>
      </c>
      <c r="AQ26" s="46">
        <v>4.8418514602366525</v>
      </c>
      <c r="AR26" s="46">
        <v>0.79068716599325317</v>
      </c>
      <c r="AS26" s="46">
        <v>0.56649784834961781</v>
      </c>
      <c r="AT26" s="46">
        <v>8.0074452856133779E-2</v>
      </c>
      <c r="AU26" s="46">
        <v>0.42937543654728849</v>
      </c>
      <c r="AV26" s="46">
        <v>3.1763959094286802</v>
      </c>
      <c r="AW26" s="46">
        <v>2.2347957659808628</v>
      </c>
      <c r="AX26" s="46">
        <v>8.125685475566307</v>
      </c>
      <c r="AY26" s="47">
        <v>81.923630447983768</v>
      </c>
      <c r="AZ26" s="46">
        <v>0.47737028934962372</v>
      </c>
      <c r="BA26" s="46">
        <v>20.979156471462314</v>
      </c>
      <c r="BB26" s="46">
        <v>0.51031590022122419</v>
      </c>
      <c r="BC26" s="46">
        <v>0.16350879002132898</v>
      </c>
      <c r="BD26" s="46">
        <v>2.3645019132421026</v>
      </c>
      <c r="BE26" s="46">
        <v>5.9745756307938339E-2</v>
      </c>
      <c r="BF26" s="46">
        <v>0.13976576889911693</v>
      </c>
      <c r="BG26" s="46">
        <v>0.24553158710949882</v>
      </c>
      <c r="BH26" s="46">
        <v>0.47845515745081435</v>
      </c>
      <c r="BI26" s="46">
        <v>1.662730734749762</v>
      </c>
      <c r="BJ26" s="46">
        <v>0.27622412382272732</v>
      </c>
      <c r="BK26" s="46">
        <v>1.5968385467742297</v>
      </c>
      <c r="BL26" s="46">
        <v>0.93384180922662152</v>
      </c>
      <c r="BM26" s="46">
        <v>0.32403957193137806</v>
      </c>
      <c r="BN26" s="46">
        <v>1.3773636678633441</v>
      </c>
      <c r="BO26" s="46">
        <v>1.5326187593784086</v>
      </c>
      <c r="BP26" s="46">
        <v>0.31426729001727954</v>
      </c>
      <c r="BQ26" s="46">
        <v>4.627677112606114</v>
      </c>
      <c r="BR26" s="46">
        <v>0.47313426560644828</v>
      </c>
      <c r="BS26" s="46">
        <v>0.11307740656055784</v>
      </c>
      <c r="BT26" s="46">
        <v>0.12320486535608087</v>
      </c>
      <c r="BU26" s="46">
        <v>0.7588136653642249</v>
      </c>
      <c r="BV26" s="46">
        <v>0.26476190806565353</v>
      </c>
      <c r="BW26" s="46">
        <v>0.95884654273782299</v>
      </c>
      <c r="BX26" s="46">
        <v>0</v>
      </c>
      <c r="BY26" s="46">
        <v>3008.5262052564158</v>
      </c>
      <c r="BZ26" s="46">
        <v>51.5371752636905</v>
      </c>
      <c r="CA26" s="46">
        <v>0</v>
      </c>
      <c r="CB26" s="46">
        <v>0</v>
      </c>
      <c r="CC26" s="46">
        <v>245.87140316222499</v>
      </c>
      <c r="CD26" s="46">
        <v>0</v>
      </c>
      <c r="CE26" s="46">
        <v>-2.06340155831924</v>
      </c>
      <c r="CF26" s="46">
        <v>295.34517686759636</v>
      </c>
      <c r="CG26" s="46">
        <v>3303.8713821240121</v>
      </c>
      <c r="CH26"/>
      <c r="CI26">
        <f t="shared" si="0"/>
        <v>8.939366661353601E-2</v>
      </c>
      <c r="CJ26"/>
      <c r="CK26"/>
      <c r="CL26"/>
      <c r="CM26"/>
      <c r="CN26"/>
      <c r="CO26"/>
      <c r="CP26"/>
      <c r="CQ26"/>
      <c r="CR26"/>
      <c r="CS26"/>
      <c r="CT26"/>
      <c r="CU26"/>
    </row>
    <row r="27" spans="1:99" s="18" customFormat="1" x14ac:dyDescent="0.3">
      <c r="A27" s="35" t="s">
        <v>31</v>
      </c>
      <c r="B27" s="9" t="s">
        <v>105</v>
      </c>
      <c r="C27" s="18">
        <v>22</v>
      </c>
      <c r="D27" s="46">
        <v>79.900398643439559</v>
      </c>
      <c r="E27" s="46">
        <v>99.636051155377572</v>
      </c>
      <c r="F27" s="46">
        <v>3.1945139257046757</v>
      </c>
      <c r="G27" s="46">
        <v>2.5063210381545988</v>
      </c>
      <c r="H27" s="46">
        <v>632.57369899417984</v>
      </c>
      <c r="I27" s="46">
        <v>6.4954438367298497</v>
      </c>
      <c r="J27" s="46">
        <v>1.6063796343317513</v>
      </c>
      <c r="K27" s="46">
        <v>227.81003844824465</v>
      </c>
      <c r="L27" s="46">
        <v>193.42907447130622</v>
      </c>
      <c r="M27" s="46">
        <v>910.61411127192025</v>
      </c>
      <c r="N27" s="46">
        <v>183.16587399259419</v>
      </c>
      <c r="O27" s="46">
        <v>0.19687255186620539</v>
      </c>
      <c r="P27" s="46">
        <v>1.4072228580930899</v>
      </c>
      <c r="Q27" s="46">
        <v>0.9664003321803617</v>
      </c>
      <c r="R27" s="46">
        <v>1.1141634178397606</v>
      </c>
      <c r="S27" s="46">
        <v>26.899322903780181</v>
      </c>
      <c r="T27" s="46">
        <v>9.3848406540838791</v>
      </c>
      <c r="U27" s="46">
        <v>0.67263276752480161</v>
      </c>
      <c r="V27" s="46">
        <v>15110.474440783461</v>
      </c>
      <c r="W27" s="46">
        <v>76.356762277775346</v>
      </c>
      <c r="X27" s="46">
        <v>76.309221377926335</v>
      </c>
      <c r="Y27" s="46">
        <v>457.97466030633063</v>
      </c>
      <c r="Z27" s="46">
        <v>296.72564945244068</v>
      </c>
      <c r="AA27" s="46">
        <v>299.30407939715974</v>
      </c>
      <c r="AB27" s="46">
        <v>1246.3545287279433</v>
      </c>
      <c r="AC27" s="46">
        <v>713.90217858633127</v>
      </c>
      <c r="AD27" s="46">
        <v>7.7573680250948573</v>
      </c>
      <c r="AE27" s="46">
        <v>2.9343725801158467</v>
      </c>
      <c r="AF27" s="46">
        <v>3.4760919883159147</v>
      </c>
      <c r="AG27" s="46">
        <v>1.4932503374748685</v>
      </c>
      <c r="AH27" s="46">
        <v>31.020153239681459</v>
      </c>
      <c r="AI27" s="46">
        <v>1.493382929405739</v>
      </c>
      <c r="AJ27" s="46">
        <v>3.833323710114561</v>
      </c>
      <c r="AK27" s="46">
        <v>25.744484983700801</v>
      </c>
      <c r="AL27" s="46">
        <v>15.046528772896151</v>
      </c>
      <c r="AM27" s="46">
        <v>2.804612858897066</v>
      </c>
      <c r="AN27" s="46">
        <v>1.1816601153834354</v>
      </c>
      <c r="AO27" s="46">
        <v>3.5941609127456209</v>
      </c>
      <c r="AP27" s="46">
        <v>16.582466245429515</v>
      </c>
      <c r="AQ27" s="46">
        <v>6.1615523604345581</v>
      </c>
      <c r="AR27" s="46">
        <v>1.0064951757553382</v>
      </c>
      <c r="AS27" s="46">
        <v>0.72111623403349223</v>
      </c>
      <c r="AT27" s="46">
        <v>0.14624501845386453</v>
      </c>
      <c r="AU27" s="46">
        <v>19.763070665683248</v>
      </c>
      <c r="AV27" s="46">
        <v>293.64415461460698</v>
      </c>
      <c r="AW27" s="46">
        <v>274.54746406836551</v>
      </c>
      <c r="AX27" s="46">
        <v>499.37373969253753</v>
      </c>
      <c r="AY27" s="48">
        <f>'Fluxos Energia'!L19</f>
        <v>0</v>
      </c>
      <c r="AZ27" s="46">
        <v>4.3904133825691698</v>
      </c>
      <c r="BA27" s="46">
        <v>18.370765062988067</v>
      </c>
      <c r="BB27" s="46">
        <v>45.122455201350661</v>
      </c>
      <c r="BC27" s="46">
        <v>9.6670383452120223</v>
      </c>
      <c r="BD27" s="46">
        <v>267.16490026221402</v>
      </c>
      <c r="BE27" s="46">
        <v>3.5708401091085591</v>
      </c>
      <c r="BF27" s="46">
        <v>7.7979006262281683</v>
      </c>
      <c r="BG27" s="46">
        <v>19.931211968101252</v>
      </c>
      <c r="BH27" s="46">
        <v>31.085430080000744</v>
      </c>
      <c r="BI27" s="46">
        <v>116.31030923269896</v>
      </c>
      <c r="BJ27" s="46">
        <v>14.918810684157439</v>
      </c>
      <c r="BK27" s="46">
        <v>120.40394087675234</v>
      </c>
      <c r="BL27" s="46">
        <v>94.923340310639233</v>
      </c>
      <c r="BM27" s="46">
        <v>37.083554048944201</v>
      </c>
      <c r="BN27" s="46">
        <v>94.076892505068784</v>
      </c>
      <c r="BO27" s="46">
        <v>113.06571632590388</v>
      </c>
      <c r="BP27" s="46">
        <v>63.77865197027522</v>
      </c>
      <c r="BQ27" s="46">
        <v>545.1484605432837</v>
      </c>
      <c r="BR27" s="46">
        <v>77.529339453011886</v>
      </c>
      <c r="BS27" s="46">
        <v>7.9860566791466265</v>
      </c>
      <c r="BT27" s="46">
        <v>31.915945471629662</v>
      </c>
      <c r="BU27" s="46">
        <v>89.581739955367482</v>
      </c>
      <c r="BV27" s="46">
        <v>15.024297994362884</v>
      </c>
      <c r="BW27" s="46">
        <v>141.68801243329764</v>
      </c>
      <c r="BX27" s="46">
        <v>0</v>
      </c>
      <c r="BY27" s="46">
        <v>24543.172790084926</v>
      </c>
      <c r="BZ27" s="46">
        <v>5351.6554134196831</v>
      </c>
      <c r="CA27" s="46">
        <v>0.20439015636524591</v>
      </c>
      <c r="CB27" s="46">
        <v>0</v>
      </c>
      <c r="CC27" s="46">
        <v>24299.633170119676</v>
      </c>
      <c r="CD27" s="46">
        <v>72.643596277789399</v>
      </c>
      <c r="CE27" s="46">
        <v>369.69063994322966</v>
      </c>
      <c r="CF27" s="46">
        <v>30093.827209916744</v>
      </c>
      <c r="CG27" s="46">
        <v>54637</v>
      </c>
      <c r="CH27"/>
      <c r="CI27">
        <f t="shared" si="0"/>
        <v>0.55079574665367326</v>
      </c>
      <c r="CJ27"/>
      <c r="CK27"/>
      <c r="CL27"/>
      <c r="CM27"/>
      <c r="CN27"/>
      <c r="CO27"/>
      <c r="CP27"/>
      <c r="CQ27"/>
      <c r="CR27"/>
      <c r="CS27"/>
      <c r="CT27"/>
      <c r="CU27"/>
    </row>
    <row r="28" spans="1:99" s="18" customFormat="1" x14ac:dyDescent="0.3">
      <c r="A28" s="35" t="s">
        <v>32</v>
      </c>
      <c r="B28" s="13" t="s">
        <v>106</v>
      </c>
      <c r="C28" s="18">
        <v>23</v>
      </c>
      <c r="D28" s="46">
        <v>45933.044359638436</v>
      </c>
      <c r="E28" s="46">
        <v>4700.5044163265666</v>
      </c>
      <c r="F28" s="46">
        <v>342.73136390902454</v>
      </c>
      <c r="G28" s="46">
        <v>238.96792391327978</v>
      </c>
      <c r="H28" s="46">
        <v>4857.5133156899028</v>
      </c>
      <c r="I28" s="46">
        <v>340.81703858764217</v>
      </c>
      <c r="J28" s="46">
        <v>131.04423066879949</v>
      </c>
      <c r="K28" s="46">
        <v>458.64651981621552</v>
      </c>
      <c r="L28" s="46">
        <v>172.1912484025066</v>
      </c>
      <c r="M28" s="46">
        <v>1063.8133565738997</v>
      </c>
      <c r="N28" s="46">
        <v>94.697046441751269</v>
      </c>
      <c r="O28" s="46">
        <v>16.378011510186006</v>
      </c>
      <c r="P28" s="46">
        <v>3539.888795553667</v>
      </c>
      <c r="Q28" s="46">
        <v>140.2501878176308</v>
      </c>
      <c r="R28" s="46">
        <v>1473.9022093587721</v>
      </c>
      <c r="S28" s="46">
        <v>677.61342195254645</v>
      </c>
      <c r="T28" s="46">
        <v>4354.276400576402</v>
      </c>
      <c r="U28" s="46">
        <v>67.362735403493403</v>
      </c>
      <c r="V28" s="46">
        <v>2393.0475479893194</v>
      </c>
      <c r="W28" s="46">
        <v>61.87209758267435</v>
      </c>
      <c r="X28" s="46">
        <v>98.627655104761928</v>
      </c>
      <c r="Y28" s="46">
        <v>648.58312906910044</v>
      </c>
      <c r="Z28" s="46">
        <v>32375.576721911151</v>
      </c>
      <c r="AA28" s="46">
        <v>12475.942717223639</v>
      </c>
      <c r="AB28" s="46">
        <v>4409.2644078602816</v>
      </c>
      <c r="AC28" s="46">
        <v>1782.2171736904882</v>
      </c>
      <c r="AD28" s="46">
        <v>16336.883889888046</v>
      </c>
      <c r="AE28" s="46">
        <v>2295.3151360232764</v>
      </c>
      <c r="AF28" s="46">
        <v>973.06272085871444</v>
      </c>
      <c r="AG28" s="46">
        <v>908.00850643377476</v>
      </c>
      <c r="AH28" s="46">
        <v>1236.0285761317223</v>
      </c>
      <c r="AI28" s="46">
        <v>176.46662538129186</v>
      </c>
      <c r="AJ28" s="46">
        <v>2291.575475123389</v>
      </c>
      <c r="AK28" s="46">
        <v>179.95359302721911</v>
      </c>
      <c r="AL28" s="46">
        <v>154.70952198696784</v>
      </c>
      <c r="AM28" s="46">
        <v>1135.6975642494849</v>
      </c>
      <c r="AN28" s="46">
        <v>253.54152761239519</v>
      </c>
      <c r="AO28" s="46">
        <v>1680.149036583515</v>
      </c>
      <c r="AP28" s="46">
        <v>172.49950015048447</v>
      </c>
      <c r="AQ28" s="46">
        <v>136.21436258311925</v>
      </c>
      <c r="AR28" s="46">
        <v>22.250739876667826</v>
      </c>
      <c r="AS28" s="46">
        <v>15.941824790446791</v>
      </c>
      <c r="AT28" s="46">
        <v>1.9475205234391786</v>
      </c>
      <c r="AU28" s="46">
        <v>656.55925163066536</v>
      </c>
      <c r="AV28" s="46">
        <v>483.24643627978298</v>
      </c>
      <c r="AW28" s="46">
        <v>95.956963698845016</v>
      </c>
      <c r="AX28" s="46">
        <v>1195.4936096891383</v>
      </c>
      <c r="AY28" s="47">
        <v>117.98955045004034</v>
      </c>
      <c r="AZ28" s="46">
        <v>2.4453832279960048</v>
      </c>
      <c r="BA28" s="46">
        <v>4.7189595831741658</v>
      </c>
      <c r="BB28" s="46">
        <v>50.015835454144906</v>
      </c>
      <c r="BC28" s="46">
        <v>21.034007298556386</v>
      </c>
      <c r="BD28" s="46">
        <v>166.06271438385446</v>
      </c>
      <c r="BE28" s="46">
        <v>6.597310075905523</v>
      </c>
      <c r="BF28" s="46">
        <v>11.591102799505713</v>
      </c>
      <c r="BG28" s="46">
        <v>36.650030246830845</v>
      </c>
      <c r="BH28" s="46">
        <v>29.675183083945797</v>
      </c>
      <c r="BI28" s="46">
        <v>81.33039216796719</v>
      </c>
      <c r="BJ28" s="46">
        <v>75.323321345095906</v>
      </c>
      <c r="BK28" s="46">
        <v>83.229416160293823</v>
      </c>
      <c r="BL28" s="46">
        <v>53.316174560087184</v>
      </c>
      <c r="BM28" s="46">
        <v>26.321729449122614</v>
      </c>
      <c r="BN28" s="46">
        <v>24.461214920479264</v>
      </c>
      <c r="BO28" s="46">
        <v>117.98116821629961</v>
      </c>
      <c r="BP28" s="46">
        <v>4.1900922783847836</v>
      </c>
      <c r="BQ28" s="46">
        <v>83.092200294350675</v>
      </c>
      <c r="BR28" s="46">
        <v>74.527759464976711</v>
      </c>
      <c r="BS28" s="46">
        <v>72.118322577308518</v>
      </c>
      <c r="BT28" s="46">
        <v>277.19832920651629</v>
      </c>
      <c r="BU28" s="46">
        <v>554.07565329523732</v>
      </c>
      <c r="BV28" s="46">
        <v>57.26041938985324</v>
      </c>
      <c r="BW28" s="46">
        <v>364.80967003077694</v>
      </c>
      <c r="BX28" s="46">
        <v>0</v>
      </c>
      <c r="BY28" s="46">
        <v>155646.29235505522</v>
      </c>
      <c r="BZ28" s="46">
        <v>19441.06574357233</v>
      </c>
      <c r="CA28" s="46">
        <v>11.449278827996304</v>
      </c>
      <c r="CB28" s="46">
        <v>0</v>
      </c>
      <c r="CC28" s="46">
        <v>3542.3545724804844</v>
      </c>
      <c r="CD28" s="46">
        <v>713.9505455643623</v>
      </c>
      <c r="CE28" s="46">
        <v>150.88750449960969</v>
      </c>
      <c r="CF28" s="46">
        <v>23859.707644944781</v>
      </c>
      <c r="CG28" s="46">
        <v>179506</v>
      </c>
      <c r="CH28"/>
      <c r="CI28">
        <f t="shared" si="0"/>
        <v>0.13291871940182937</v>
      </c>
      <c r="CJ28"/>
      <c r="CK28"/>
      <c r="CL28"/>
      <c r="CM28"/>
      <c r="CN28"/>
      <c r="CO28"/>
      <c r="CP28"/>
      <c r="CQ28"/>
      <c r="CR28"/>
      <c r="CS28"/>
      <c r="CT28"/>
      <c r="CU28"/>
    </row>
    <row r="29" spans="1:99" s="5" customFormat="1" x14ac:dyDescent="0.3">
      <c r="A29" s="35" t="s">
        <v>33</v>
      </c>
      <c r="B29" s="11" t="s">
        <v>107</v>
      </c>
      <c r="C29" s="5">
        <v>24</v>
      </c>
      <c r="D29" s="25">
        <v>23436.868191937006</v>
      </c>
      <c r="E29" s="25">
        <v>2659.0458293743441</v>
      </c>
      <c r="F29" s="25">
        <v>87.893458636695129</v>
      </c>
      <c r="G29" s="25">
        <v>1560.7928218944237</v>
      </c>
      <c r="H29" s="25">
        <v>575.39184909017627</v>
      </c>
      <c r="I29" s="25">
        <v>277.16980420078181</v>
      </c>
      <c r="J29" s="25">
        <v>112.62711110644612</v>
      </c>
      <c r="K29" s="25">
        <v>839.47489935650447</v>
      </c>
      <c r="L29" s="25">
        <v>34.242340109106259</v>
      </c>
      <c r="M29" s="25">
        <v>2339.5945956357714</v>
      </c>
      <c r="N29" s="25">
        <v>116.42229199713566</v>
      </c>
      <c r="O29" s="25">
        <v>5.0548920181282329</v>
      </c>
      <c r="P29" s="25">
        <v>306.23554303976846</v>
      </c>
      <c r="Q29" s="25">
        <v>43.171646276788621</v>
      </c>
      <c r="R29" s="25">
        <v>206.63341942890125</v>
      </c>
      <c r="S29" s="25">
        <v>705.30912868817813</v>
      </c>
      <c r="T29" s="25">
        <v>1430.9480741273044</v>
      </c>
      <c r="U29" s="25">
        <v>638.57581674164305</v>
      </c>
      <c r="V29" s="25">
        <v>388.26298998601413</v>
      </c>
      <c r="W29" s="25">
        <v>9.8737706133711924</v>
      </c>
      <c r="X29" s="25">
        <v>2.8454792006437897</v>
      </c>
      <c r="Y29" s="25">
        <v>164.27652533342126</v>
      </c>
      <c r="Z29" s="25">
        <v>2006.776280480615</v>
      </c>
      <c r="AA29" s="25">
        <v>9284.6464714127978</v>
      </c>
      <c r="AB29" s="25">
        <v>1704.2634040976709</v>
      </c>
      <c r="AC29" s="25">
        <v>864.88759356882542</v>
      </c>
      <c r="AD29" s="25">
        <v>2767.0056618200242</v>
      </c>
      <c r="AE29" s="25">
        <v>906.56113969593707</v>
      </c>
      <c r="AF29" s="25">
        <v>446.19847339490462</v>
      </c>
      <c r="AG29" s="25">
        <v>91.701863141986848</v>
      </c>
      <c r="AH29" s="25">
        <v>559.0055764442551</v>
      </c>
      <c r="AI29" s="25">
        <v>194.65755678790595</v>
      </c>
      <c r="AJ29" s="25">
        <v>204.95976057854418</v>
      </c>
      <c r="AK29" s="25">
        <v>175.09465600952271</v>
      </c>
      <c r="AL29" s="25">
        <v>497.86932589120698</v>
      </c>
      <c r="AM29" s="25">
        <v>231.01984241682032</v>
      </c>
      <c r="AN29" s="25">
        <v>111.28724018073264</v>
      </c>
      <c r="AO29" s="25">
        <v>540.55535256141468</v>
      </c>
      <c r="AP29" s="25">
        <v>671.10571636545251</v>
      </c>
      <c r="AQ29" s="25">
        <v>126.61998580241371</v>
      </c>
      <c r="AR29" s="25">
        <v>20.588788629345892</v>
      </c>
      <c r="AS29" s="25">
        <v>14.748137499305241</v>
      </c>
      <c r="AT29" s="25">
        <v>1.7755107518890538</v>
      </c>
      <c r="AU29" s="25">
        <v>331.61133322139011</v>
      </c>
      <c r="AV29" s="25">
        <v>7547.2977031495711</v>
      </c>
      <c r="AW29" s="25">
        <v>879.46696282450614</v>
      </c>
      <c r="AX29" s="25">
        <v>1715.1880233685588</v>
      </c>
      <c r="AY29" s="40">
        <v>224.13310682225537</v>
      </c>
      <c r="AZ29" s="25">
        <v>0.97484303317497201</v>
      </c>
      <c r="BA29" s="25">
        <v>3.420821431224315</v>
      </c>
      <c r="BB29" s="25">
        <v>54.346921519352513</v>
      </c>
      <c r="BC29" s="25">
        <v>27.371451109936658</v>
      </c>
      <c r="BD29" s="25">
        <v>87.896789606737485</v>
      </c>
      <c r="BE29" s="25">
        <v>89.460215174896419</v>
      </c>
      <c r="BF29" s="25">
        <v>113.90617045278515</v>
      </c>
      <c r="BG29" s="25">
        <v>21.41148903564758</v>
      </c>
      <c r="BH29" s="25">
        <v>17.569591346501603</v>
      </c>
      <c r="BI29" s="25">
        <v>66.39866349882702</v>
      </c>
      <c r="BJ29" s="25">
        <v>1157.3310351553157</v>
      </c>
      <c r="BK29" s="25">
        <v>41.759659887863243</v>
      </c>
      <c r="BL29" s="25">
        <v>42.798939307746721</v>
      </c>
      <c r="BM29" s="25">
        <v>35.716778887081304</v>
      </c>
      <c r="BN29" s="25">
        <v>22.450403078188788</v>
      </c>
      <c r="BO29" s="25">
        <v>1733.335625261504</v>
      </c>
      <c r="BP29" s="25">
        <v>2.7201007097894401</v>
      </c>
      <c r="BQ29" s="25">
        <v>227.90156694512359</v>
      </c>
      <c r="BR29" s="25">
        <v>255.68521382474333</v>
      </c>
      <c r="BS29" s="25">
        <v>36.280846208996053</v>
      </c>
      <c r="BT29" s="25">
        <v>668.46402803610079</v>
      </c>
      <c r="BU29" s="25">
        <v>97.554513092514966</v>
      </c>
      <c r="BV29" s="25">
        <v>37.181085693111328</v>
      </c>
      <c r="BW29" s="25">
        <v>119.89123038066489</v>
      </c>
      <c r="BX29" s="25">
        <v>0</v>
      </c>
      <c r="BY29" s="25">
        <v>73021.563928388263</v>
      </c>
      <c r="BZ29" s="25">
        <v>8559.7078149193294</v>
      </c>
      <c r="CA29" s="25">
        <v>16.412403652008503</v>
      </c>
      <c r="CB29" s="25">
        <v>0</v>
      </c>
      <c r="CC29" s="25">
        <v>3234.4272014584262</v>
      </c>
      <c r="CD29" s="25">
        <v>1022.6945528328781</v>
      </c>
      <c r="CE29" s="25">
        <v>2453.0638745786468</v>
      </c>
      <c r="CF29" s="25">
        <v>15286.305847441292</v>
      </c>
      <c r="CG29" s="25">
        <v>88308</v>
      </c>
      <c r="CH29"/>
      <c r="CI29">
        <f t="shared" si="0"/>
        <v>0.17310216342167517</v>
      </c>
      <c r="CJ29"/>
      <c r="CK29"/>
      <c r="CL29"/>
      <c r="CM29"/>
      <c r="CN29"/>
      <c r="CO29"/>
      <c r="CP29"/>
      <c r="CQ29"/>
      <c r="CR29"/>
      <c r="CS29"/>
      <c r="CT29"/>
      <c r="CU29"/>
    </row>
    <row r="30" spans="1:99" s="5" customFormat="1" x14ac:dyDescent="0.3">
      <c r="A30" s="35" t="s">
        <v>34</v>
      </c>
      <c r="B30" s="13" t="s">
        <v>108</v>
      </c>
      <c r="C30" s="5">
        <v>25</v>
      </c>
      <c r="D30" s="25">
        <v>765.32407228554757</v>
      </c>
      <c r="E30" s="25">
        <v>124.11387850179078</v>
      </c>
      <c r="F30" s="25">
        <v>4.1411188153510174</v>
      </c>
      <c r="G30" s="25">
        <v>26.412863045666757</v>
      </c>
      <c r="H30" s="25">
        <v>122.19348830272185</v>
      </c>
      <c r="I30" s="25">
        <v>63.069815311004142</v>
      </c>
      <c r="J30" s="25">
        <v>11.163087907145654</v>
      </c>
      <c r="K30" s="25">
        <v>95.473773292238747</v>
      </c>
      <c r="L30" s="25">
        <v>9.1511033885046196</v>
      </c>
      <c r="M30" s="25">
        <v>192.91991867350174</v>
      </c>
      <c r="N30" s="25">
        <v>34.513375800956148</v>
      </c>
      <c r="O30" s="25">
        <v>3.2668037519040349</v>
      </c>
      <c r="P30" s="25">
        <v>51.801738888519992</v>
      </c>
      <c r="Q30" s="25">
        <v>35.76642807129145</v>
      </c>
      <c r="R30" s="25">
        <v>26.440693725389696</v>
      </c>
      <c r="S30" s="25">
        <v>30.120874219206467</v>
      </c>
      <c r="T30" s="25">
        <v>123.1126632615119</v>
      </c>
      <c r="U30" s="25">
        <v>22.783765951060694</v>
      </c>
      <c r="V30" s="25">
        <v>124.17839587838451</v>
      </c>
      <c r="W30" s="25">
        <v>2.0914553904543145</v>
      </c>
      <c r="X30" s="25">
        <v>0.94011926883268948</v>
      </c>
      <c r="Y30" s="25">
        <v>15.692138604437643</v>
      </c>
      <c r="Z30" s="25">
        <v>448.56543891392897</v>
      </c>
      <c r="AA30" s="25">
        <v>480.65157317625301</v>
      </c>
      <c r="AB30" s="25">
        <v>924.76116878084099</v>
      </c>
      <c r="AC30" s="25">
        <v>75.265260537033612</v>
      </c>
      <c r="AD30" s="25">
        <v>144.47270541708136</v>
      </c>
      <c r="AE30" s="25">
        <v>65.701679774365658</v>
      </c>
      <c r="AF30" s="25">
        <v>37.95752489666986</v>
      </c>
      <c r="AG30" s="25">
        <v>41.675918483687312</v>
      </c>
      <c r="AH30" s="25">
        <v>317.05272978135366</v>
      </c>
      <c r="AI30" s="25">
        <v>29.079180527867894</v>
      </c>
      <c r="AJ30" s="25">
        <v>28.954047476786545</v>
      </c>
      <c r="AK30" s="25">
        <v>43.497999341133976</v>
      </c>
      <c r="AL30" s="25">
        <v>34.73592326046758</v>
      </c>
      <c r="AM30" s="25">
        <v>37.306511748934938</v>
      </c>
      <c r="AN30" s="25">
        <v>9.7057737312474952</v>
      </c>
      <c r="AO30" s="25">
        <v>38.819059029139787</v>
      </c>
      <c r="AP30" s="25">
        <v>24.596692342297754</v>
      </c>
      <c r="AQ30" s="25">
        <v>18.204243080080232</v>
      </c>
      <c r="AR30" s="25">
        <v>2.9736796454142302</v>
      </c>
      <c r="AS30" s="25">
        <v>2.1305304970924372</v>
      </c>
      <c r="AT30" s="25">
        <v>0.64633242431100457</v>
      </c>
      <c r="AU30" s="25">
        <v>42.033846960204116</v>
      </c>
      <c r="AV30" s="25">
        <v>195.92545477331595</v>
      </c>
      <c r="AW30" s="25">
        <v>120.4157439284653</v>
      </c>
      <c r="AX30" s="25">
        <v>1401.1009267267268</v>
      </c>
      <c r="AY30" s="40">
        <v>203.90997113813663</v>
      </c>
      <c r="AZ30" s="25">
        <v>5.5952137081025688</v>
      </c>
      <c r="BA30" s="25">
        <v>1.1265727598851401</v>
      </c>
      <c r="BB30" s="25">
        <v>68.884046741803957</v>
      </c>
      <c r="BC30" s="25">
        <v>53.710385927398235</v>
      </c>
      <c r="BD30" s="25">
        <v>82.24949145659258</v>
      </c>
      <c r="BE30" s="25">
        <v>21.158267396351164</v>
      </c>
      <c r="BF30" s="25">
        <v>34.420095833078832</v>
      </c>
      <c r="BG30" s="25">
        <v>70.625037677671259</v>
      </c>
      <c r="BH30" s="25">
        <v>17.722423926174685</v>
      </c>
      <c r="BI30" s="25">
        <v>36.376816158407671</v>
      </c>
      <c r="BJ30" s="25">
        <v>16.273948589978041</v>
      </c>
      <c r="BK30" s="25">
        <v>190.5955151165258</v>
      </c>
      <c r="BL30" s="25">
        <v>71.454878200582485</v>
      </c>
      <c r="BM30" s="25">
        <v>199.62394567673493</v>
      </c>
      <c r="BN30" s="25">
        <v>71.73330640310796</v>
      </c>
      <c r="BO30" s="25">
        <v>1199.0862876313577</v>
      </c>
      <c r="BP30" s="25">
        <v>1.6549958781979446</v>
      </c>
      <c r="BQ30" s="25">
        <v>159.23256167147863</v>
      </c>
      <c r="BR30" s="25">
        <v>119.9270390654266</v>
      </c>
      <c r="BS30" s="25">
        <v>95.531753477834599</v>
      </c>
      <c r="BT30" s="25">
        <v>94.289859108825453</v>
      </c>
      <c r="BU30" s="25">
        <v>592.29431745727231</v>
      </c>
      <c r="BV30" s="25">
        <v>110.0251636837786</v>
      </c>
      <c r="BW30" s="25">
        <v>795.73451950291633</v>
      </c>
      <c r="BX30" s="25">
        <v>0</v>
      </c>
      <c r="BY30" s="25">
        <v>10764.137931777743</v>
      </c>
      <c r="BZ30" s="25">
        <v>3455.2589383894306</v>
      </c>
      <c r="CA30" s="25">
        <v>35.713769285259886</v>
      </c>
      <c r="CB30" s="25">
        <v>0</v>
      </c>
      <c r="CC30" s="25">
        <v>33581.623776443317</v>
      </c>
      <c r="CD30" s="25">
        <v>524.80293503638927</v>
      </c>
      <c r="CE30" s="25">
        <v>1814.3668191400257</v>
      </c>
      <c r="CF30" s="25">
        <v>39411.766238294418</v>
      </c>
      <c r="CG30" s="25">
        <v>50176</v>
      </c>
      <c r="CH30"/>
      <c r="CI30">
        <f t="shared" si="0"/>
        <v>0.78547046871600801</v>
      </c>
      <c r="CJ30"/>
      <c r="CK30"/>
      <c r="CL30"/>
      <c r="CM30"/>
      <c r="CN30"/>
      <c r="CO30"/>
      <c r="CP30"/>
      <c r="CQ30"/>
      <c r="CR30"/>
      <c r="CS30"/>
      <c r="CT30"/>
      <c r="CU30"/>
    </row>
    <row r="31" spans="1:99" s="5" customFormat="1" x14ac:dyDescent="0.3">
      <c r="A31" s="35" t="s">
        <v>35</v>
      </c>
      <c r="B31" s="11" t="s">
        <v>109</v>
      </c>
      <c r="C31" s="5">
        <v>26</v>
      </c>
      <c r="D31" s="25">
        <v>443.97217151359592</v>
      </c>
      <c r="E31" s="25">
        <v>1869.1641231126855</v>
      </c>
      <c r="F31" s="25">
        <v>14.509689719427843</v>
      </c>
      <c r="G31" s="25">
        <v>21.801574985008322</v>
      </c>
      <c r="H31" s="25">
        <v>344.65019746950128</v>
      </c>
      <c r="I31" s="25">
        <v>12.749822177431822</v>
      </c>
      <c r="J31" s="25">
        <v>2.5974450497443975</v>
      </c>
      <c r="K31" s="25">
        <v>76.787091348360789</v>
      </c>
      <c r="L31" s="25">
        <v>1.3569438674573762</v>
      </c>
      <c r="M31" s="25">
        <v>285.83398368415976</v>
      </c>
      <c r="N31" s="25">
        <v>11.028080155814289</v>
      </c>
      <c r="O31" s="25">
        <v>1.3513649756152128</v>
      </c>
      <c r="P31" s="25">
        <v>11.481965066808659</v>
      </c>
      <c r="Q31" s="25">
        <v>44.242044331893702</v>
      </c>
      <c r="R31" s="25">
        <v>15.518909476881802</v>
      </c>
      <c r="S31" s="25">
        <v>7.8798413056405519</v>
      </c>
      <c r="T31" s="25">
        <v>21.626560099752098</v>
      </c>
      <c r="U31" s="25">
        <v>2.9720982687295496</v>
      </c>
      <c r="V31" s="25">
        <v>12.242890835212263</v>
      </c>
      <c r="W31" s="25">
        <v>0.31444667494117745</v>
      </c>
      <c r="X31" s="25">
        <v>2.0529487493655307E-2</v>
      </c>
      <c r="Y31" s="25">
        <v>7.4184148620428205</v>
      </c>
      <c r="Z31" s="25">
        <v>150.798997275326</v>
      </c>
      <c r="AA31" s="25">
        <v>375.00097328736553</v>
      </c>
      <c r="AB31" s="25">
        <v>53.960868440938519</v>
      </c>
      <c r="AC31" s="25">
        <v>3129.9100339540382</v>
      </c>
      <c r="AD31" s="25">
        <v>38.414583241951156</v>
      </c>
      <c r="AE31" s="25">
        <v>12.782497171358527</v>
      </c>
      <c r="AF31" s="25">
        <v>12.930878239459119</v>
      </c>
      <c r="AG31" s="25">
        <v>7.8937147128118461</v>
      </c>
      <c r="AH31" s="25">
        <v>12.581001969579674</v>
      </c>
      <c r="AI31" s="25">
        <v>7.0458294774843608</v>
      </c>
      <c r="AJ31" s="25">
        <v>9.0717900704220966</v>
      </c>
      <c r="AK31" s="25">
        <v>23.978799357804675</v>
      </c>
      <c r="AL31" s="25">
        <v>21.038799059598425</v>
      </c>
      <c r="AM31" s="25">
        <v>8.1781439128328994</v>
      </c>
      <c r="AN31" s="25">
        <v>2.5045048600577866</v>
      </c>
      <c r="AO31" s="25">
        <v>38.129607978566824</v>
      </c>
      <c r="AP31" s="25">
        <v>10.456296298511003</v>
      </c>
      <c r="AQ31" s="25">
        <v>7.1915975681491329</v>
      </c>
      <c r="AR31" s="25">
        <v>1.1747539962162112</v>
      </c>
      <c r="AS31" s="25">
        <v>0.84166739997684148</v>
      </c>
      <c r="AT31" s="25">
        <v>0.57083643574971177</v>
      </c>
      <c r="AU31" s="25">
        <v>6.7002783705652291</v>
      </c>
      <c r="AV31" s="25">
        <v>38.494486556234271</v>
      </c>
      <c r="AW31" s="25">
        <v>11.011734927339187</v>
      </c>
      <c r="AX31" s="25">
        <v>350.93073802352893</v>
      </c>
      <c r="AY31" s="40">
        <v>15.00196454727465</v>
      </c>
      <c r="AZ31" s="25">
        <v>3.1854828487345221</v>
      </c>
      <c r="BA31" s="25">
        <v>0.89327323344411003</v>
      </c>
      <c r="BB31" s="25">
        <v>12.376354879591545</v>
      </c>
      <c r="BC31" s="25">
        <v>5.1967772626154582</v>
      </c>
      <c r="BD31" s="25">
        <v>57.999276105995435</v>
      </c>
      <c r="BE31" s="25">
        <v>1.0528672043195852</v>
      </c>
      <c r="BF31" s="25">
        <v>3.3242458189919772</v>
      </c>
      <c r="BG31" s="25">
        <v>8.6575109527345422</v>
      </c>
      <c r="BH31" s="25">
        <v>9.9219241877981155</v>
      </c>
      <c r="BI31" s="25">
        <v>18.970806213526092</v>
      </c>
      <c r="BJ31" s="25">
        <v>10.232229131918936</v>
      </c>
      <c r="BK31" s="25">
        <v>22.657946560890359</v>
      </c>
      <c r="BL31" s="25">
        <v>38.805067212527774</v>
      </c>
      <c r="BM31" s="25">
        <v>45.310747131768821</v>
      </c>
      <c r="BN31" s="25">
        <v>20.785824100399655</v>
      </c>
      <c r="BO31" s="25">
        <v>42.917218660616193</v>
      </c>
      <c r="BP31" s="25">
        <v>1.2398895556709761</v>
      </c>
      <c r="BQ31" s="25">
        <v>372.68888795564266</v>
      </c>
      <c r="BR31" s="25">
        <v>319.37331384252718</v>
      </c>
      <c r="BS31" s="25">
        <v>159.336749704027</v>
      </c>
      <c r="BT31" s="25">
        <v>3521.2986065344753</v>
      </c>
      <c r="BU31" s="25">
        <v>8425.784091602638</v>
      </c>
      <c r="BV31" s="25">
        <v>17.09677444069024</v>
      </c>
      <c r="BW31" s="25">
        <v>404.31235908193423</v>
      </c>
      <c r="BX31" s="25">
        <v>0</v>
      </c>
      <c r="BY31" s="25">
        <v>21079.533789824818</v>
      </c>
      <c r="BZ31" s="25">
        <v>3220.0470717150952</v>
      </c>
      <c r="CA31" s="25">
        <v>5793.2843616481869</v>
      </c>
      <c r="CB31" s="25">
        <v>0</v>
      </c>
      <c r="CC31" s="25">
        <v>40030.055492508189</v>
      </c>
      <c r="CD31" s="25">
        <v>1351.8377898639048</v>
      </c>
      <c r="CE31" s="25">
        <v>4769.2414944475986</v>
      </c>
      <c r="CF31" s="25">
        <v>55164.466210182982</v>
      </c>
      <c r="CG31" s="25">
        <v>76244</v>
      </c>
      <c r="CH31"/>
      <c r="CI31">
        <f t="shared" si="0"/>
        <v>0.72352534245557665</v>
      </c>
      <c r="CJ31"/>
      <c r="CK31"/>
      <c r="CL31"/>
      <c r="CM31"/>
      <c r="CN31"/>
      <c r="CO31"/>
      <c r="CP31"/>
      <c r="CQ31"/>
      <c r="CR31"/>
      <c r="CS31"/>
      <c r="CT31"/>
      <c r="CU31"/>
    </row>
    <row r="32" spans="1:99" s="5" customFormat="1" x14ac:dyDescent="0.3">
      <c r="A32" s="35" t="s">
        <v>36</v>
      </c>
      <c r="B32" s="11" t="s">
        <v>110</v>
      </c>
      <c r="C32" s="5">
        <v>27</v>
      </c>
      <c r="D32" s="25">
        <v>698.19120611355686</v>
      </c>
      <c r="E32" s="25">
        <v>235.00732894487612</v>
      </c>
      <c r="F32" s="25">
        <v>46.570392897485277</v>
      </c>
      <c r="G32" s="25">
        <v>145.47520267504802</v>
      </c>
      <c r="H32" s="25">
        <v>191.68712516730781</v>
      </c>
      <c r="I32" s="25">
        <v>734.8401183638382</v>
      </c>
      <c r="J32" s="25">
        <v>72.852895045306624</v>
      </c>
      <c r="K32" s="25">
        <v>2835.2781442329774</v>
      </c>
      <c r="L32" s="25">
        <v>123.23956835726558</v>
      </c>
      <c r="M32" s="25">
        <v>8166.6726624034654</v>
      </c>
      <c r="N32" s="25">
        <v>2823.5616616332836</v>
      </c>
      <c r="O32" s="25">
        <v>5.829172542163934</v>
      </c>
      <c r="P32" s="25">
        <v>242.18885067809185</v>
      </c>
      <c r="Q32" s="25">
        <v>198.43575550260184</v>
      </c>
      <c r="R32" s="25">
        <v>712.23020966267848</v>
      </c>
      <c r="S32" s="25">
        <v>266.74123173073173</v>
      </c>
      <c r="T32" s="25">
        <v>738.6273624387095</v>
      </c>
      <c r="U32" s="25">
        <v>733.41383985966013</v>
      </c>
      <c r="V32" s="25">
        <v>110.29826111510954</v>
      </c>
      <c r="W32" s="25">
        <v>2.8397278939999633</v>
      </c>
      <c r="X32" s="25">
        <v>0.45112675088901755</v>
      </c>
      <c r="Y32" s="25">
        <v>43.249097984475434</v>
      </c>
      <c r="Z32" s="25">
        <v>1403.928516481019</v>
      </c>
      <c r="AA32" s="25">
        <v>719.21446758915226</v>
      </c>
      <c r="AB32" s="25">
        <v>1682.385729724693</v>
      </c>
      <c r="AC32" s="25">
        <v>463.56477141687969</v>
      </c>
      <c r="AD32" s="25">
        <v>14371.991843298307</v>
      </c>
      <c r="AE32" s="25">
        <v>1850.3009085535984</v>
      </c>
      <c r="AF32" s="25">
        <v>520.8080440186443</v>
      </c>
      <c r="AG32" s="25">
        <v>57.315708493171336</v>
      </c>
      <c r="AH32" s="25">
        <v>828.61201432061296</v>
      </c>
      <c r="AI32" s="25">
        <v>912.98050464519679</v>
      </c>
      <c r="AJ32" s="25">
        <v>1826.2680802120797</v>
      </c>
      <c r="AK32" s="25">
        <v>2015.725779141412</v>
      </c>
      <c r="AL32" s="25">
        <v>8176.9329043593352</v>
      </c>
      <c r="AM32" s="25">
        <v>3620.2689161006506</v>
      </c>
      <c r="AN32" s="25">
        <v>922.26891684546194</v>
      </c>
      <c r="AO32" s="25">
        <v>2285.0354996915526</v>
      </c>
      <c r="AP32" s="25">
        <v>1454.4904347081451</v>
      </c>
      <c r="AQ32" s="25">
        <v>257.62247831813414</v>
      </c>
      <c r="AR32" s="25">
        <v>42.082865879443538</v>
      </c>
      <c r="AS32" s="25">
        <v>30.150802995699234</v>
      </c>
      <c r="AT32" s="25">
        <v>7.1900259126368766</v>
      </c>
      <c r="AU32" s="25">
        <v>429.33990256957657</v>
      </c>
      <c r="AV32" s="25">
        <v>12177.286383342467</v>
      </c>
      <c r="AW32" s="25">
        <v>1941.0435905118864</v>
      </c>
      <c r="AX32" s="25">
        <v>6198.7944490538466</v>
      </c>
      <c r="AY32" s="40">
        <v>5894.515874999357</v>
      </c>
      <c r="AZ32" s="25">
        <v>4.6589395894430004</v>
      </c>
      <c r="BA32" s="25">
        <v>696.32353467204223</v>
      </c>
      <c r="BB32" s="25">
        <v>156.37460688129173</v>
      </c>
      <c r="BC32" s="25">
        <v>35.118482091435013</v>
      </c>
      <c r="BD32" s="25">
        <v>615.7715407016625</v>
      </c>
      <c r="BE32" s="25">
        <v>13.98893549175458</v>
      </c>
      <c r="BF32" s="25">
        <v>9.2621639740128554</v>
      </c>
      <c r="BG32" s="25">
        <v>34.376200596067932</v>
      </c>
      <c r="BH32" s="25">
        <v>32.765046656742619</v>
      </c>
      <c r="BI32" s="25">
        <v>107.3241552362624</v>
      </c>
      <c r="BJ32" s="25">
        <v>147.82293033399088</v>
      </c>
      <c r="BK32" s="25">
        <v>554.69942201469837</v>
      </c>
      <c r="BL32" s="25">
        <v>36.239847887767361</v>
      </c>
      <c r="BM32" s="25">
        <v>32.213399284135718</v>
      </c>
      <c r="BN32" s="25">
        <v>323.86813982315834</v>
      </c>
      <c r="BO32" s="25">
        <v>604.7309315345027</v>
      </c>
      <c r="BP32" s="25">
        <v>4.7775075772886808</v>
      </c>
      <c r="BQ32" s="25">
        <v>220.0332257609727</v>
      </c>
      <c r="BR32" s="25">
        <v>214.32989186945926</v>
      </c>
      <c r="BS32" s="25">
        <v>57.369330350965733</v>
      </c>
      <c r="BT32" s="25">
        <v>570.95267173392745</v>
      </c>
      <c r="BU32" s="25">
        <v>669.58857904486888</v>
      </c>
      <c r="BV32" s="25">
        <v>45.98435367952267</v>
      </c>
      <c r="BW32" s="25">
        <v>182.77788191994347</v>
      </c>
      <c r="BX32" s="25">
        <v>0</v>
      </c>
      <c r="BY32" s="25">
        <v>94589.152073882418</v>
      </c>
      <c r="BZ32" s="25">
        <v>9260.7613637163904</v>
      </c>
      <c r="CA32" s="25">
        <v>2.8306752376408211</v>
      </c>
      <c r="CB32" s="25">
        <v>0</v>
      </c>
      <c r="CC32" s="25">
        <v>15552.936104406237</v>
      </c>
      <c r="CD32" s="25">
        <v>1309.9414793030776</v>
      </c>
      <c r="CE32" s="25">
        <v>501.37830351136915</v>
      </c>
      <c r="CF32" s="25">
        <v>26627.847926174709</v>
      </c>
      <c r="CG32" s="25">
        <v>121217</v>
      </c>
      <c r="CH32"/>
      <c r="CI32">
        <f t="shared" si="0"/>
        <v>0.21967090363706995</v>
      </c>
      <c r="CJ32"/>
      <c r="CK32"/>
      <c r="CL32"/>
      <c r="CM32"/>
      <c r="CN32"/>
      <c r="CO32"/>
      <c r="CP32"/>
      <c r="CQ32"/>
      <c r="CR32"/>
      <c r="CS32"/>
      <c r="CT32"/>
      <c r="CU32"/>
    </row>
    <row r="33" spans="1:99" s="5" customFormat="1" x14ac:dyDescent="0.3">
      <c r="A33" s="35" t="s">
        <v>37</v>
      </c>
      <c r="B33" s="11" t="s">
        <v>111</v>
      </c>
      <c r="C33" s="5">
        <v>28</v>
      </c>
      <c r="D33" s="25">
        <v>3226.6687640198024</v>
      </c>
      <c r="E33" s="25">
        <v>1972.1846466853069</v>
      </c>
      <c r="F33" s="25">
        <v>72.877293509869219</v>
      </c>
      <c r="G33" s="25">
        <v>80.016722424721706</v>
      </c>
      <c r="H33" s="25">
        <v>109.45919841985923</v>
      </c>
      <c r="I33" s="25">
        <v>21.621880852486001</v>
      </c>
      <c r="J33" s="25">
        <v>13.352698780297077</v>
      </c>
      <c r="K33" s="25">
        <v>52.312554887290922</v>
      </c>
      <c r="L33" s="25">
        <v>88.041649780684097</v>
      </c>
      <c r="M33" s="25">
        <v>1536.0830523442648</v>
      </c>
      <c r="N33" s="25">
        <v>1582.2384854228314</v>
      </c>
      <c r="O33" s="25">
        <v>1.8768220231117665</v>
      </c>
      <c r="P33" s="25">
        <v>19.839803647830244</v>
      </c>
      <c r="Q33" s="25">
        <v>18.911342306526265</v>
      </c>
      <c r="R33" s="25">
        <v>14.029681776340363</v>
      </c>
      <c r="S33" s="25">
        <v>17.490177036427415</v>
      </c>
      <c r="T33" s="25">
        <v>282.77739773770696</v>
      </c>
      <c r="U33" s="25">
        <v>18.736911839665925</v>
      </c>
      <c r="V33" s="25">
        <v>26.429532859749521</v>
      </c>
      <c r="W33" s="25">
        <v>0.67964277464125677</v>
      </c>
      <c r="X33" s="25">
        <v>0.13850613215398211</v>
      </c>
      <c r="Y33" s="25">
        <v>16.320967501032175</v>
      </c>
      <c r="Z33" s="25">
        <v>717.09186867233325</v>
      </c>
      <c r="AA33" s="25">
        <v>233.06966703324008</v>
      </c>
      <c r="AB33" s="25">
        <v>355.94990063936473</v>
      </c>
      <c r="AC33" s="25">
        <v>84.726938422113179</v>
      </c>
      <c r="AD33" s="25">
        <v>536.72902195180097</v>
      </c>
      <c r="AE33" s="25">
        <v>6686.5697862867073</v>
      </c>
      <c r="AF33" s="25">
        <v>367.26831486127037</v>
      </c>
      <c r="AG33" s="25">
        <v>31.73029883522404</v>
      </c>
      <c r="AH33" s="25">
        <v>183.79941086548772</v>
      </c>
      <c r="AI33" s="25">
        <v>22.689635819994468</v>
      </c>
      <c r="AJ33" s="25">
        <v>295.70222707877946</v>
      </c>
      <c r="AK33" s="25">
        <v>261.0159851513319</v>
      </c>
      <c r="AL33" s="25">
        <v>1978.3926141810778</v>
      </c>
      <c r="AM33" s="25">
        <v>128.52289427386165</v>
      </c>
      <c r="AN33" s="25">
        <v>154.58344410879093</v>
      </c>
      <c r="AO33" s="25">
        <v>460.50864961272919</v>
      </c>
      <c r="AP33" s="25">
        <v>243.22035988888976</v>
      </c>
      <c r="AQ33" s="25">
        <v>1495.2882188879971</v>
      </c>
      <c r="AR33" s="25">
        <v>167.56233981372128</v>
      </c>
      <c r="AS33" s="25">
        <v>117.65398097427043</v>
      </c>
      <c r="AT33" s="25">
        <v>35.35863036801409</v>
      </c>
      <c r="AU33" s="25">
        <v>852.51409957975102</v>
      </c>
      <c r="AV33" s="25">
        <v>42784.119505397124</v>
      </c>
      <c r="AW33" s="25">
        <v>251.57376722144124</v>
      </c>
      <c r="AX33" s="25">
        <v>339.43383395070703</v>
      </c>
      <c r="AY33" s="40">
        <v>33.648526235011985</v>
      </c>
      <c r="AZ33" s="25">
        <v>1.0867094734381257</v>
      </c>
      <c r="BA33" s="25">
        <v>1.2122493018562257</v>
      </c>
      <c r="BB33" s="25">
        <v>29.991674658193084</v>
      </c>
      <c r="BC33" s="25">
        <v>193.48775210266331</v>
      </c>
      <c r="BD33" s="25">
        <v>697.94863584780944</v>
      </c>
      <c r="BE33" s="25">
        <v>4.4716513566204199</v>
      </c>
      <c r="BF33" s="25">
        <v>6.4131467835155966</v>
      </c>
      <c r="BG33" s="25">
        <v>18.124562629642888</v>
      </c>
      <c r="BH33" s="25">
        <v>15.212772014869019</v>
      </c>
      <c r="BI33" s="25">
        <v>38.445138389401741</v>
      </c>
      <c r="BJ33" s="25">
        <v>2315.1624154053834</v>
      </c>
      <c r="BK33" s="25">
        <v>40.037059494106373</v>
      </c>
      <c r="BL33" s="25">
        <v>19.614387119363023</v>
      </c>
      <c r="BM33" s="25">
        <v>10.094006645153572</v>
      </c>
      <c r="BN33" s="25">
        <v>9.9452630649684899</v>
      </c>
      <c r="BO33" s="25">
        <v>141.16937517254061</v>
      </c>
      <c r="BP33" s="25">
        <v>2.0603812178307388</v>
      </c>
      <c r="BQ33" s="25">
        <v>393.17710528430001</v>
      </c>
      <c r="BR33" s="25">
        <v>139.31583223193502</v>
      </c>
      <c r="BS33" s="25">
        <v>33.413336488114204</v>
      </c>
      <c r="BT33" s="25">
        <v>156.09208961815213</v>
      </c>
      <c r="BU33" s="25">
        <v>169.65803116002317</v>
      </c>
      <c r="BV33" s="25">
        <v>26.101550976804859</v>
      </c>
      <c r="BW33" s="25">
        <v>262.04607157909732</v>
      </c>
      <c r="BX33" s="25">
        <v>0</v>
      </c>
      <c r="BY33" s="25">
        <v>72715.092850889429</v>
      </c>
      <c r="BZ33" s="25">
        <v>6379.5178163791115</v>
      </c>
      <c r="CA33" s="25">
        <v>20.93134617736758</v>
      </c>
      <c r="CB33" s="25">
        <v>0</v>
      </c>
      <c r="CC33" s="25">
        <v>3801.7963606619746</v>
      </c>
      <c r="CD33" s="25">
        <v>838.13624005501333</v>
      </c>
      <c r="CE33" s="25">
        <v>132.49279340700829</v>
      </c>
      <c r="CF33" s="25">
        <v>11172.874556680477</v>
      </c>
      <c r="CG33" s="25">
        <v>83888</v>
      </c>
      <c r="CH33"/>
      <c r="CI33">
        <f t="shared" si="0"/>
        <v>0.13318799538289716</v>
      </c>
      <c r="CJ33"/>
      <c r="CK33"/>
      <c r="CL33"/>
      <c r="CM33"/>
      <c r="CN33"/>
      <c r="CO33"/>
      <c r="CP33"/>
      <c r="CQ33"/>
      <c r="CR33"/>
      <c r="CS33"/>
      <c r="CT33"/>
      <c r="CU33"/>
    </row>
    <row r="34" spans="1:99" s="5" customFormat="1" x14ac:dyDescent="0.3">
      <c r="A34" s="35" t="s">
        <v>38</v>
      </c>
      <c r="B34" s="11" t="s">
        <v>112</v>
      </c>
      <c r="C34" s="5">
        <v>29</v>
      </c>
      <c r="D34" s="25">
        <v>262.77487490120808</v>
      </c>
      <c r="E34" s="25">
        <v>389.14382094835344</v>
      </c>
      <c r="F34" s="25">
        <v>24.861677123088111</v>
      </c>
      <c r="G34" s="25">
        <v>113.51703967096056</v>
      </c>
      <c r="H34" s="25">
        <v>3616.2850138062472</v>
      </c>
      <c r="I34" s="25">
        <v>64.496318466896241</v>
      </c>
      <c r="J34" s="25">
        <v>85.483991748870636</v>
      </c>
      <c r="K34" s="25">
        <v>355.10058144947982</v>
      </c>
      <c r="L34" s="25">
        <v>4.7280076742069888</v>
      </c>
      <c r="M34" s="25">
        <v>200.57533441688471</v>
      </c>
      <c r="N34" s="25">
        <v>156.43377122094105</v>
      </c>
      <c r="O34" s="25">
        <v>1.2409764476693355</v>
      </c>
      <c r="P34" s="25">
        <v>30.136722312705164</v>
      </c>
      <c r="Q34" s="25">
        <v>8.0622740441151652</v>
      </c>
      <c r="R34" s="25">
        <v>13.431865682368388</v>
      </c>
      <c r="S34" s="25">
        <v>33.806226133621998</v>
      </c>
      <c r="T34" s="25">
        <v>236.38040773334802</v>
      </c>
      <c r="U34" s="25">
        <v>6.9742808921860036</v>
      </c>
      <c r="V34" s="25">
        <v>66.478280704690562</v>
      </c>
      <c r="W34" s="25">
        <v>1.7183629213929548</v>
      </c>
      <c r="X34" s="25">
        <v>1.1909279822380454</v>
      </c>
      <c r="Y34" s="25">
        <v>7.4335377451803559</v>
      </c>
      <c r="Z34" s="25">
        <v>143.92891343511951</v>
      </c>
      <c r="AA34" s="25">
        <v>90.576787952850779</v>
      </c>
      <c r="AB34" s="25">
        <v>67.684946322771268</v>
      </c>
      <c r="AC34" s="25">
        <v>24.284205695667726</v>
      </c>
      <c r="AD34" s="25">
        <v>1085.0757056905613</v>
      </c>
      <c r="AE34" s="25">
        <v>918.01495045593583</v>
      </c>
      <c r="AF34" s="25">
        <v>14070.167484113746</v>
      </c>
      <c r="AG34" s="25">
        <v>865.5929831333525</v>
      </c>
      <c r="AH34" s="25">
        <v>19426.164634091354</v>
      </c>
      <c r="AI34" s="25">
        <v>103.61819134564952</v>
      </c>
      <c r="AJ34" s="25">
        <v>3103.4381576164037</v>
      </c>
      <c r="AK34" s="25">
        <v>8993.6737730102705</v>
      </c>
      <c r="AL34" s="25">
        <v>6495.5526987204094</v>
      </c>
      <c r="AM34" s="25">
        <v>8849.4907759703383</v>
      </c>
      <c r="AN34" s="25">
        <v>896.68640931363495</v>
      </c>
      <c r="AO34" s="25">
        <v>1379.4853913523034</v>
      </c>
      <c r="AP34" s="25">
        <v>1483.4772812125625</v>
      </c>
      <c r="AQ34" s="25">
        <v>317.09454163488385</v>
      </c>
      <c r="AR34" s="25">
        <v>48.841654763107798</v>
      </c>
      <c r="AS34" s="25">
        <v>34.900789974945432</v>
      </c>
      <c r="AT34" s="25">
        <v>18.590943744459455</v>
      </c>
      <c r="AU34" s="25">
        <v>146.56725510669389</v>
      </c>
      <c r="AV34" s="25">
        <v>14400.858593455139</v>
      </c>
      <c r="AW34" s="25">
        <v>81.855239860334919</v>
      </c>
      <c r="AX34" s="25">
        <v>1901.4122131718241</v>
      </c>
      <c r="AY34" s="40">
        <v>60.413187154614938</v>
      </c>
      <c r="AZ34" s="25">
        <v>1.4900687416786664</v>
      </c>
      <c r="BA34" s="25">
        <v>1.6712751649615303</v>
      </c>
      <c r="BB34" s="25">
        <v>42.736558296703052</v>
      </c>
      <c r="BC34" s="25">
        <v>20.594870079057586</v>
      </c>
      <c r="BD34" s="25">
        <v>158.90557154996668</v>
      </c>
      <c r="BE34" s="25">
        <v>2.3018929355692039</v>
      </c>
      <c r="BF34" s="25">
        <v>6.1660230515715053</v>
      </c>
      <c r="BG34" s="25">
        <v>27.881213618922335</v>
      </c>
      <c r="BH34" s="25">
        <v>50.211721861632164</v>
      </c>
      <c r="BI34" s="25">
        <v>63.325796415418466</v>
      </c>
      <c r="BJ34" s="25">
        <v>69.94535818607865</v>
      </c>
      <c r="BK34" s="25">
        <v>63.394797487021648</v>
      </c>
      <c r="BL34" s="25">
        <v>38.642701920171497</v>
      </c>
      <c r="BM34" s="25">
        <v>13.404671992392238</v>
      </c>
      <c r="BN34" s="25">
        <v>268.2220937387342</v>
      </c>
      <c r="BO34" s="25">
        <v>60.127341360609051</v>
      </c>
      <c r="BP34" s="25">
        <v>6.5359951349295251</v>
      </c>
      <c r="BQ34" s="25">
        <v>225.94611889172501</v>
      </c>
      <c r="BR34" s="25">
        <v>45.68987250199735</v>
      </c>
      <c r="BS34" s="25">
        <v>57.425109941081196</v>
      </c>
      <c r="BT34" s="25">
        <v>23.138290164487152</v>
      </c>
      <c r="BU34" s="25">
        <v>36.675005037113721</v>
      </c>
      <c r="BV34" s="25">
        <v>44.724982916536767</v>
      </c>
      <c r="BW34" s="25">
        <v>49.112857699699489</v>
      </c>
      <c r="BX34" s="25">
        <v>0</v>
      </c>
      <c r="BY34" s="25">
        <v>92065.972191013629</v>
      </c>
      <c r="BZ34" s="25">
        <v>46158.066289483351</v>
      </c>
      <c r="CA34" s="25">
        <v>0.14070934149824033</v>
      </c>
      <c r="CB34" s="25">
        <v>0</v>
      </c>
      <c r="CC34" s="25">
        <v>1916.0339776157098</v>
      </c>
      <c r="CD34" s="25">
        <v>796.3263504396059</v>
      </c>
      <c r="CE34" s="25">
        <v>9128.4929998032985</v>
      </c>
      <c r="CF34" s="25">
        <v>57999.060326683466</v>
      </c>
      <c r="CG34" s="25">
        <v>150065</v>
      </c>
      <c r="CH34"/>
      <c r="CI34">
        <f t="shared" si="0"/>
        <v>0.38649292191172802</v>
      </c>
      <c r="CJ34"/>
      <c r="CK34"/>
      <c r="CL34"/>
      <c r="CM34"/>
      <c r="CN34"/>
      <c r="CO34"/>
      <c r="CP34"/>
      <c r="CQ34"/>
      <c r="CR34"/>
      <c r="CS34"/>
      <c r="CT34"/>
      <c r="CU34"/>
    </row>
    <row r="35" spans="1:99" s="5" customFormat="1" x14ac:dyDescent="0.3">
      <c r="A35" s="35" t="s">
        <v>39</v>
      </c>
      <c r="B35" s="13" t="s">
        <v>113</v>
      </c>
      <c r="C35" s="5">
        <v>30</v>
      </c>
      <c r="D35" s="25">
        <v>327.99913936802051</v>
      </c>
      <c r="E35" s="25">
        <v>72.250793338860731</v>
      </c>
      <c r="F35" s="25">
        <v>4.8815266886388011</v>
      </c>
      <c r="G35" s="25">
        <v>10.375022654183512</v>
      </c>
      <c r="H35" s="25">
        <v>180.42286532008069</v>
      </c>
      <c r="I35" s="25">
        <v>29.021051387653834</v>
      </c>
      <c r="J35" s="25">
        <v>102.39930347838519</v>
      </c>
      <c r="K35" s="25">
        <v>354.40531758858458</v>
      </c>
      <c r="L35" s="25">
        <v>7.2109333412315229</v>
      </c>
      <c r="M35" s="25">
        <v>602.09009563007453</v>
      </c>
      <c r="N35" s="25">
        <v>32.250182638806891</v>
      </c>
      <c r="O35" s="25">
        <v>1.249238110229435</v>
      </c>
      <c r="P35" s="25">
        <v>17.706035821288815</v>
      </c>
      <c r="Q35" s="25">
        <v>11.292353214133229</v>
      </c>
      <c r="R35" s="25">
        <v>15.895323620406913</v>
      </c>
      <c r="S35" s="25">
        <v>6.2209216869208346</v>
      </c>
      <c r="T35" s="25">
        <v>418.18347196756122</v>
      </c>
      <c r="U35" s="25">
        <v>226.12039413865162</v>
      </c>
      <c r="V35" s="25">
        <v>12.350050514104892</v>
      </c>
      <c r="W35" s="25">
        <v>0.31704527153795725</v>
      </c>
      <c r="X35" s="25">
        <v>1.4715075875442175E-2</v>
      </c>
      <c r="Y35" s="25">
        <v>4.8119872977488161</v>
      </c>
      <c r="Z35" s="25">
        <v>1343.6894181396908</v>
      </c>
      <c r="AA35" s="25">
        <v>360.21696983007155</v>
      </c>
      <c r="AB35" s="25">
        <v>79.745506097122131</v>
      </c>
      <c r="AC35" s="25">
        <v>29.644662270870597</v>
      </c>
      <c r="AD35" s="25">
        <v>126.34320164265912</v>
      </c>
      <c r="AE35" s="25">
        <v>182.45188893447718</v>
      </c>
      <c r="AF35" s="25">
        <v>2111.108676181344</v>
      </c>
      <c r="AG35" s="25">
        <v>11749.075941649333</v>
      </c>
      <c r="AH35" s="25">
        <v>2337.2706167083024</v>
      </c>
      <c r="AI35" s="25">
        <v>167.97259126204719</v>
      </c>
      <c r="AJ35" s="25">
        <v>6409.1056619833316</v>
      </c>
      <c r="AK35" s="25">
        <v>1968.9882410056684</v>
      </c>
      <c r="AL35" s="25">
        <v>757.11977571910666</v>
      </c>
      <c r="AM35" s="25">
        <v>4903.931180969942</v>
      </c>
      <c r="AN35" s="25">
        <v>964.62693919228559</v>
      </c>
      <c r="AO35" s="25">
        <v>2079.0499101657547</v>
      </c>
      <c r="AP35" s="25">
        <v>1657.283728959869</v>
      </c>
      <c r="AQ35" s="25">
        <v>69.002081610024248</v>
      </c>
      <c r="AR35" s="25">
        <v>11.271552718358691</v>
      </c>
      <c r="AS35" s="25">
        <v>8.0756469020062092</v>
      </c>
      <c r="AT35" s="25">
        <v>5.7094104798331182</v>
      </c>
      <c r="AU35" s="25">
        <v>151.00308742831047</v>
      </c>
      <c r="AV35" s="25">
        <v>2671.7048955719752</v>
      </c>
      <c r="AW35" s="25">
        <v>671.10615408548813</v>
      </c>
      <c r="AX35" s="25">
        <v>636.6349535863468</v>
      </c>
      <c r="AY35" s="40">
        <v>91.163800065008417</v>
      </c>
      <c r="AZ35" s="25">
        <v>1.8181176656353912</v>
      </c>
      <c r="BA35" s="25">
        <v>1.8591240708545662</v>
      </c>
      <c r="BB35" s="25">
        <v>42.485350775409039</v>
      </c>
      <c r="BC35" s="25">
        <v>18.822651646658375</v>
      </c>
      <c r="BD35" s="25">
        <v>102.32219762667414</v>
      </c>
      <c r="BE35" s="25">
        <v>3.0964801188327877</v>
      </c>
      <c r="BF35" s="25">
        <v>7.3669021801213646</v>
      </c>
      <c r="BG35" s="25">
        <v>35.696866995587122</v>
      </c>
      <c r="BH35" s="25">
        <v>27.292073316278188</v>
      </c>
      <c r="BI35" s="25">
        <v>75.757469827224114</v>
      </c>
      <c r="BJ35" s="25">
        <v>78.546779463190731</v>
      </c>
      <c r="BK35" s="25">
        <v>77.794108543142215</v>
      </c>
      <c r="BL35" s="25">
        <v>15.782527297828176</v>
      </c>
      <c r="BM35" s="25">
        <v>17.582062203019539</v>
      </c>
      <c r="BN35" s="25">
        <v>18.870314441633383</v>
      </c>
      <c r="BO35" s="25">
        <v>61.924189362876774</v>
      </c>
      <c r="BP35" s="25">
        <v>4.3873217304488907</v>
      </c>
      <c r="BQ35" s="25">
        <v>65.879991597722096</v>
      </c>
      <c r="BR35" s="25">
        <v>18.172085755498685</v>
      </c>
      <c r="BS35" s="25">
        <v>68.052447976203183</v>
      </c>
      <c r="BT35" s="25">
        <v>29.028014235441432</v>
      </c>
      <c r="BU35" s="25">
        <v>117.57291313680243</v>
      </c>
      <c r="BV35" s="25">
        <v>53.270977373438818</v>
      </c>
      <c r="BW35" s="25">
        <v>82.363751686010772</v>
      </c>
      <c r="BX35" s="25">
        <v>0</v>
      </c>
      <c r="BY35" s="25">
        <v>45006.508980338731</v>
      </c>
      <c r="BZ35" s="25">
        <v>24409.736203094599</v>
      </c>
      <c r="CA35" s="25">
        <v>0.72163790854097531</v>
      </c>
      <c r="CB35" s="25">
        <v>0</v>
      </c>
      <c r="CC35" s="25">
        <v>2076.5017925826296</v>
      </c>
      <c r="CD35" s="25">
        <v>474.42621675924852</v>
      </c>
      <c r="CE35" s="25">
        <v>1180.1051693774962</v>
      </c>
      <c r="CF35" s="25">
        <v>28141.491019722518</v>
      </c>
      <c r="CG35" s="25">
        <v>73148</v>
      </c>
      <c r="CH35"/>
      <c r="CI35">
        <f t="shared" si="0"/>
        <v>0.38471989691751679</v>
      </c>
      <c r="CJ35"/>
      <c r="CK35"/>
      <c r="CL35"/>
      <c r="CM35"/>
      <c r="CN35"/>
      <c r="CO35"/>
      <c r="CP35"/>
      <c r="CQ35"/>
      <c r="CR35"/>
      <c r="CS35"/>
      <c r="CT35"/>
      <c r="CU35"/>
    </row>
    <row r="36" spans="1:99" s="5" customFormat="1" x14ac:dyDescent="0.3">
      <c r="A36" s="35" t="s">
        <v>40</v>
      </c>
      <c r="B36" s="11" t="s">
        <v>114</v>
      </c>
      <c r="C36" s="5">
        <v>31</v>
      </c>
      <c r="D36" s="25">
        <v>499.03628505811298</v>
      </c>
      <c r="E36" s="25">
        <v>637.12694209635652</v>
      </c>
      <c r="F36" s="25">
        <v>57.088750630363855</v>
      </c>
      <c r="G36" s="25">
        <v>52.952040829475806</v>
      </c>
      <c r="H36" s="25">
        <v>1814.6536215008716</v>
      </c>
      <c r="I36" s="25">
        <v>970.82498575716988</v>
      </c>
      <c r="J36" s="25">
        <v>218.88176946240205</v>
      </c>
      <c r="K36" s="25">
        <v>2499.7225235243782</v>
      </c>
      <c r="L36" s="25">
        <v>62.75998562979516</v>
      </c>
      <c r="M36" s="25">
        <v>2501.0728529116341</v>
      </c>
      <c r="N36" s="25">
        <v>3555.6146147296681</v>
      </c>
      <c r="O36" s="25">
        <v>16.308338771807708</v>
      </c>
      <c r="P36" s="25">
        <v>79.145719613613068</v>
      </c>
      <c r="Q36" s="25">
        <v>77.703656720160751</v>
      </c>
      <c r="R36" s="25">
        <v>60.610064535476013</v>
      </c>
      <c r="S36" s="25">
        <v>496.23164713675953</v>
      </c>
      <c r="T36" s="25">
        <v>162.77405936276381</v>
      </c>
      <c r="U36" s="25">
        <v>29.804839803181981</v>
      </c>
      <c r="V36" s="25">
        <v>328.88779661054275</v>
      </c>
      <c r="W36" s="25">
        <v>8.4721673703899363</v>
      </c>
      <c r="X36" s="25">
        <v>1.5267308346648152</v>
      </c>
      <c r="Y36" s="25">
        <v>64.505842004050564</v>
      </c>
      <c r="Z36" s="25">
        <v>525.29841647542776</v>
      </c>
      <c r="AA36" s="25">
        <v>703.8833960647429</v>
      </c>
      <c r="AB36" s="25">
        <v>951.83371164547657</v>
      </c>
      <c r="AC36" s="25">
        <v>152.41254261647069</v>
      </c>
      <c r="AD36" s="25">
        <v>348.73827152680923</v>
      </c>
      <c r="AE36" s="25">
        <v>220.63956139277727</v>
      </c>
      <c r="AF36" s="25">
        <v>2342.1473751097342</v>
      </c>
      <c r="AG36" s="25">
        <v>326.6653644321986</v>
      </c>
      <c r="AH36" s="25">
        <v>7361.8054361951226</v>
      </c>
      <c r="AI36" s="25">
        <v>902.08353170762268</v>
      </c>
      <c r="AJ36" s="25">
        <v>2162.8145510773961</v>
      </c>
      <c r="AK36" s="25">
        <v>4771.1427326245075</v>
      </c>
      <c r="AL36" s="25">
        <v>3775.924864909698</v>
      </c>
      <c r="AM36" s="25">
        <v>2345.50367768453</v>
      </c>
      <c r="AN36" s="25">
        <v>1733.9023951047222</v>
      </c>
      <c r="AO36" s="25">
        <v>1303.9481297997327</v>
      </c>
      <c r="AP36" s="25">
        <v>3247.3970161486754</v>
      </c>
      <c r="AQ36" s="25">
        <v>2060.5089523095462</v>
      </c>
      <c r="AR36" s="25">
        <v>336.58600930139283</v>
      </c>
      <c r="AS36" s="25">
        <v>241.15131527941159</v>
      </c>
      <c r="AT36" s="25">
        <v>97.752219723145572</v>
      </c>
      <c r="AU36" s="25">
        <v>490.86422926250992</v>
      </c>
      <c r="AV36" s="25">
        <v>19392.368145482073</v>
      </c>
      <c r="AW36" s="25">
        <v>394.15467546623591</v>
      </c>
      <c r="AX36" s="25">
        <v>1607.2339617656201</v>
      </c>
      <c r="AY36" s="40">
        <v>165.62452290215185</v>
      </c>
      <c r="AZ36" s="25">
        <v>11.291258408826058</v>
      </c>
      <c r="BA36" s="25">
        <v>4.9721684573621596</v>
      </c>
      <c r="BB36" s="25">
        <v>39.906178766243947</v>
      </c>
      <c r="BC36" s="25">
        <v>145.16607066701616</v>
      </c>
      <c r="BD36" s="25">
        <v>2131.8181059376038</v>
      </c>
      <c r="BE36" s="25">
        <v>3.6640066010629329</v>
      </c>
      <c r="BF36" s="25">
        <v>14.896721986389956</v>
      </c>
      <c r="BG36" s="25">
        <v>37.318672141584791</v>
      </c>
      <c r="BH36" s="25">
        <v>19.608032537303366</v>
      </c>
      <c r="BI36" s="25">
        <v>30.890878483922169</v>
      </c>
      <c r="BJ36" s="25">
        <v>417.59228118910988</v>
      </c>
      <c r="BK36" s="25">
        <v>42.951420057865775</v>
      </c>
      <c r="BL36" s="25">
        <v>29.159298362870132</v>
      </c>
      <c r="BM36" s="25">
        <v>9.5612587580921069</v>
      </c>
      <c r="BN36" s="25">
        <v>20.303370527721775</v>
      </c>
      <c r="BO36" s="25">
        <v>345.61408488534687</v>
      </c>
      <c r="BP36" s="25">
        <v>82.701262208247783</v>
      </c>
      <c r="BQ36" s="25">
        <v>962.37641768483877</v>
      </c>
      <c r="BR36" s="25">
        <v>83.657045495636225</v>
      </c>
      <c r="BS36" s="25">
        <v>24.911509409303836</v>
      </c>
      <c r="BT36" s="25">
        <v>117.28027098763397</v>
      </c>
      <c r="BU36" s="25">
        <v>70.172173948849206</v>
      </c>
      <c r="BV36" s="25">
        <v>22.595159042015471</v>
      </c>
      <c r="BW36" s="25">
        <v>109.12298613270755</v>
      </c>
      <c r="BX36" s="25">
        <v>0</v>
      </c>
      <c r="BY36" s="25">
        <v>76935.620873578911</v>
      </c>
      <c r="BZ36" s="25">
        <v>7329.3582152390518</v>
      </c>
      <c r="CA36" s="25">
        <v>1.2784448741840122</v>
      </c>
      <c r="CB36" s="25">
        <v>0</v>
      </c>
      <c r="CC36" s="25">
        <v>12109.882380664789</v>
      </c>
      <c r="CD36" s="25">
        <v>7061.8193036540324</v>
      </c>
      <c r="CE36" s="25">
        <v>-1483.9592179850076</v>
      </c>
      <c r="CF36" s="25">
        <v>25018.379126447049</v>
      </c>
      <c r="CG36" s="25">
        <v>101954</v>
      </c>
      <c r="CH36"/>
      <c r="CI36">
        <f t="shared" si="0"/>
        <v>0.24538889230875738</v>
      </c>
      <c r="CJ36"/>
      <c r="CK36"/>
      <c r="CL36"/>
      <c r="CM36"/>
      <c r="CN36"/>
      <c r="CO36"/>
      <c r="CP36"/>
      <c r="CQ36"/>
      <c r="CR36"/>
      <c r="CS36"/>
      <c r="CT36"/>
      <c r="CU36"/>
    </row>
    <row r="37" spans="1:99" s="5" customFormat="1" x14ac:dyDescent="0.3">
      <c r="A37" s="35" t="s">
        <v>41</v>
      </c>
      <c r="B37" s="13" t="s">
        <v>115</v>
      </c>
      <c r="C37" s="5">
        <v>32</v>
      </c>
      <c r="D37" s="25">
        <v>12.419133851114781</v>
      </c>
      <c r="E37" s="25">
        <v>8.6898044381552335</v>
      </c>
      <c r="F37" s="25">
        <v>1.193485766770126</v>
      </c>
      <c r="G37" s="25">
        <v>5.3596247328811897</v>
      </c>
      <c r="H37" s="25">
        <v>366.70280766656447</v>
      </c>
      <c r="I37" s="25">
        <v>98.368227072380691</v>
      </c>
      <c r="J37" s="25">
        <v>16.221482210325796</v>
      </c>
      <c r="K37" s="25">
        <v>38.201054868243702</v>
      </c>
      <c r="L37" s="25">
        <v>1.8804611435075813</v>
      </c>
      <c r="M37" s="25">
        <v>35.313877374417935</v>
      </c>
      <c r="N37" s="25">
        <v>13.801931887626946</v>
      </c>
      <c r="O37" s="25">
        <v>1.5691739301562229</v>
      </c>
      <c r="P37" s="25">
        <v>9.1187669154443896</v>
      </c>
      <c r="Q37" s="25">
        <v>13.362504628405015</v>
      </c>
      <c r="R37" s="25">
        <v>9.6102571319475718</v>
      </c>
      <c r="S37" s="25">
        <v>7.0166850551536983</v>
      </c>
      <c r="T37" s="25">
        <v>14.734427884322697</v>
      </c>
      <c r="U37" s="25">
        <v>217.35962171619289</v>
      </c>
      <c r="V37" s="25">
        <v>10.095832255490841</v>
      </c>
      <c r="W37" s="25">
        <v>0.25943691379120065</v>
      </c>
      <c r="X37" s="25">
        <v>2.2207382365984345E-2</v>
      </c>
      <c r="Y37" s="25">
        <v>2.2880449947914063</v>
      </c>
      <c r="Z37" s="25">
        <v>13.940670389707927</v>
      </c>
      <c r="AA37" s="25">
        <v>9.389810474770961</v>
      </c>
      <c r="AB37" s="25">
        <v>8.6718497932143528</v>
      </c>
      <c r="AC37" s="25">
        <v>10.054823041195542</v>
      </c>
      <c r="AD37" s="25">
        <v>30.206007482815028</v>
      </c>
      <c r="AE37" s="25">
        <v>13.468237256816359</v>
      </c>
      <c r="AF37" s="25">
        <v>21.050127137193687</v>
      </c>
      <c r="AG37" s="25">
        <v>13.073065052326756</v>
      </c>
      <c r="AH37" s="25">
        <v>21.162403636587065</v>
      </c>
      <c r="AI37" s="25">
        <v>17405.685058288047</v>
      </c>
      <c r="AJ37" s="25">
        <v>547.87496786344434</v>
      </c>
      <c r="AK37" s="25">
        <v>756.88150604138093</v>
      </c>
      <c r="AL37" s="25">
        <v>323.88078119482907</v>
      </c>
      <c r="AM37" s="25">
        <v>225.81662299211283</v>
      </c>
      <c r="AN37" s="25">
        <v>97.633183718986601</v>
      </c>
      <c r="AO37" s="25">
        <v>79.034593730625289</v>
      </c>
      <c r="AP37" s="25">
        <v>854.92363846403157</v>
      </c>
      <c r="AQ37" s="25">
        <v>234.8485338184515</v>
      </c>
      <c r="AR37" s="25">
        <v>38.362721355631727</v>
      </c>
      <c r="AS37" s="25">
        <v>27.485458269075718</v>
      </c>
      <c r="AT37" s="25">
        <v>41.949119742265481</v>
      </c>
      <c r="AU37" s="25">
        <v>20.914070381251214</v>
      </c>
      <c r="AV37" s="25">
        <v>562.15288096803124</v>
      </c>
      <c r="AW37" s="25">
        <v>43.245687941383004</v>
      </c>
      <c r="AX37" s="25">
        <v>351.46919372388192</v>
      </c>
      <c r="AY37" s="40">
        <v>65.044062061216493</v>
      </c>
      <c r="AZ37" s="25">
        <v>7.1038037479330667</v>
      </c>
      <c r="BA37" s="25">
        <v>7.0741323737925699</v>
      </c>
      <c r="BB37" s="25">
        <v>219.06182080899765</v>
      </c>
      <c r="BC37" s="25">
        <v>4.2994957026716278</v>
      </c>
      <c r="BD37" s="25">
        <v>20.580154453052806</v>
      </c>
      <c r="BE37" s="25">
        <v>3.3640291246609078</v>
      </c>
      <c r="BF37" s="25">
        <v>288.6825985085332</v>
      </c>
      <c r="BG37" s="25">
        <v>289.90217680210674</v>
      </c>
      <c r="BH37" s="25">
        <v>2116.4629209784416</v>
      </c>
      <c r="BI37" s="25">
        <v>378.52008471981327</v>
      </c>
      <c r="BJ37" s="25">
        <v>18.640704685552716</v>
      </c>
      <c r="BK37" s="25">
        <v>386.96176542391458</v>
      </c>
      <c r="BL37" s="25">
        <v>723.15010419488692</v>
      </c>
      <c r="BM37" s="25">
        <v>136.4608649774008</v>
      </c>
      <c r="BN37" s="25">
        <v>50.407471974589576</v>
      </c>
      <c r="BO37" s="25">
        <v>1365.297785232762</v>
      </c>
      <c r="BP37" s="25">
        <v>145.45213225507948</v>
      </c>
      <c r="BQ37" s="25">
        <v>318.43830111754886</v>
      </c>
      <c r="BR37" s="25">
        <v>583.98243536789414</v>
      </c>
      <c r="BS37" s="25">
        <v>135.66739203606176</v>
      </c>
      <c r="BT37" s="25">
        <v>234.52423390824742</v>
      </c>
      <c r="BU37" s="25">
        <v>296.78207143792031</v>
      </c>
      <c r="BV37" s="25">
        <v>68.816515037834662</v>
      </c>
      <c r="BW37" s="25">
        <v>876.65294613592084</v>
      </c>
      <c r="BX37" s="25">
        <v>0</v>
      </c>
      <c r="BY37" s="25">
        <v>31378.09386564494</v>
      </c>
      <c r="BZ37" s="25">
        <v>4359.5439623499396</v>
      </c>
      <c r="CA37" s="25">
        <v>0.84224591553946704</v>
      </c>
      <c r="CB37" s="25">
        <v>0</v>
      </c>
      <c r="CC37" s="25">
        <v>38106.281061939466</v>
      </c>
      <c r="CD37" s="25">
        <v>27834.343811004135</v>
      </c>
      <c r="CE37" s="25">
        <v>1864.8950531489645</v>
      </c>
      <c r="CF37" s="25">
        <v>72165.906134358025</v>
      </c>
      <c r="CG37" s="25">
        <v>103544</v>
      </c>
      <c r="CH37"/>
      <c r="CI37">
        <f t="shared" si="0"/>
        <v>0.69695884005213271</v>
      </c>
      <c r="CJ37"/>
      <c r="CK37"/>
      <c r="CL37"/>
      <c r="CM37"/>
      <c r="CN37"/>
      <c r="CO37"/>
      <c r="CP37"/>
      <c r="CQ37"/>
      <c r="CR37"/>
      <c r="CS37"/>
      <c r="CT37"/>
      <c r="CU37"/>
    </row>
    <row r="38" spans="1:99" s="5" customFormat="1" x14ac:dyDescent="0.3">
      <c r="A38" s="35" t="s">
        <v>42</v>
      </c>
      <c r="B38" s="11" t="s">
        <v>116</v>
      </c>
      <c r="C38" s="5">
        <v>33</v>
      </c>
      <c r="D38" s="25">
        <v>61.471443243496033</v>
      </c>
      <c r="E38" s="25">
        <v>100.9510779909469</v>
      </c>
      <c r="F38" s="25">
        <v>8.5343875154979525</v>
      </c>
      <c r="G38" s="25">
        <v>33.536284585432739</v>
      </c>
      <c r="H38" s="25">
        <v>351.44181560196319</v>
      </c>
      <c r="I38" s="25">
        <v>105.93191251051248</v>
      </c>
      <c r="J38" s="25">
        <v>28.623827608599345</v>
      </c>
      <c r="K38" s="25">
        <v>106.00237764710496</v>
      </c>
      <c r="L38" s="25">
        <v>20.203186585972457</v>
      </c>
      <c r="M38" s="25">
        <v>138.23009502943813</v>
      </c>
      <c r="N38" s="25">
        <v>54.237113790431863</v>
      </c>
      <c r="O38" s="25">
        <v>3.1297543523975815</v>
      </c>
      <c r="P38" s="25">
        <v>41.057799766490078</v>
      </c>
      <c r="Q38" s="25">
        <v>12.68651278034104</v>
      </c>
      <c r="R38" s="25">
        <v>14.12203476557268</v>
      </c>
      <c r="S38" s="25">
        <v>37.24508463607885</v>
      </c>
      <c r="T38" s="25">
        <v>94.046313324054367</v>
      </c>
      <c r="U38" s="25">
        <v>25.089968767362564</v>
      </c>
      <c r="V38" s="25">
        <v>24.563620027522102</v>
      </c>
      <c r="W38" s="25">
        <v>0.63389096304002268</v>
      </c>
      <c r="X38" s="25">
        <v>0.15812753103878166</v>
      </c>
      <c r="Y38" s="25">
        <v>17.644357479480224</v>
      </c>
      <c r="Z38" s="25">
        <v>128.517484352172</v>
      </c>
      <c r="AA38" s="25">
        <v>37.106257302072869</v>
      </c>
      <c r="AB38" s="25">
        <v>27.521789477193956</v>
      </c>
      <c r="AC38" s="25">
        <v>24.029436324972785</v>
      </c>
      <c r="AD38" s="25">
        <v>122.22623729916268</v>
      </c>
      <c r="AE38" s="25">
        <v>144.97496097091033</v>
      </c>
      <c r="AF38" s="25">
        <v>174.91861915213437</v>
      </c>
      <c r="AG38" s="25">
        <v>232.204389607129</v>
      </c>
      <c r="AH38" s="25">
        <v>169.67039921750245</v>
      </c>
      <c r="AI38" s="25">
        <v>1981.3495340623881</v>
      </c>
      <c r="AJ38" s="25">
        <v>7205.7318152088583</v>
      </c>
      <c r="AK38" s="25">
        <v>2445.063188035022</v>
      </c>
      <c r="AL38" s="25">
        <v>1174.943316230971</v>
      </c>
      <c r="AM38" s="25">
        <v>1006.4146357238128</v>
      </c>
      <c r="AN38" s="25">
        <v>328.24985372252911</v>
      </c>
      <c r="AO38" s="25">
        <v>282.22592215397947</v>
      </c>
      <c r="AP38" s="25">
        <v>2468.8556613926908</v>
      </c>
      <c r="AQ38" s="25">
        <v>4211.3386971755426</v>
      </c>
      <c r="AR38" s="25">
        <v>687.92600212197374</v>
      </c>
      <c r="AS38" s="25">
        <v>492.87330917570256</v>
      </c>
      <c r="AT38" s="25">
        <v>799.26302757061512</v>
      </c>
      <c r="AU38" s="25">
        <v>198.71648585839202</v>
      </c>
      <c r="AV38" s="25">
        <v>7560.7586165971779</v>
      </c>
      <c r="AW38" s="25">
        <v>469.43587383769659</v>
      </c>
      <c r="AX38" s="25">
        <v>1152.1672158094475</v>
      </c>
      <c r="AY38" s="40">
        <v>1150.8759877231025</v>
      </c>
      <c r="AZ38" s="25">
        <v>34.987697777754953</v>
      </c>
      <c r="BA38" s="25">
        <v>8.9950211061220422</v>
      </c>
      <c r="BB38" s="25">
        <v>126.21429420642849</v>
      </c>
      <c r="BC38" s="25">
        <v>36.283964031310575</v>
      </c>
      <c r="BD38" s="25">
        <v>80.774348153953326</v>
      </c>
      <c r="BE38" s="25">
        <v>10.321334342613552</v>
      </c>
      <c r="BF38" s="25">
        <v>54.167703651936158</v>
      </c>
      <c r="BG38" s="25">
        <v>627.47281614248459</v>
      </c>
      <c r="BH38" s="25">
        <v>55.847398921744265</v>
      </c>
      <c r="BI38" s="25">
        <v>84.703040578208757</v>
      </c>
      <c r="BJ38" s="25">
        <v>433.5383297501993</v>
      </c>
      <c r="BK38" s="25">
        <v>614.46180476424547</v>
      </c>
      <c r="BL38" s="25">
        <v>70.262747582605186</v>
      </c>
      <c r="BM38" s="25">
        <v>48.605598818059967</v>
      </c>
      <c r="BN38" s="25">
        <v>45.073338130913605</v>
      </c>
      <c r="BO38" s="25">
        <v>663.14429293179364</v>
      </c>
      <c r="BP38" s="25">
        <v>6.2717719731465991</v>
      </c>
      <c r="BQ38" s="25">
        <v>131.14882308832696</v>
      </c>
      <c r="BR38" s="25">
        <v>61.569511472027592</v>
      </c>
      <c r="BS38" s="25">
        <v>29.235817579768533</v>
      </c>
      <c r="BT38" s="25">
        <v>32.201740803634472</v>
      </c>
      <c r="BU38" s="25">
        <v>36.545806143206093</v>
      </c>
      <c r="BV38" s="25">
        <v>79.163102429354211</v>
      </c>
      <c r="BW38" s="25">
        <v>789.54653894132332</v>
      </c>
      <c r="BX38" s="25">
        <v>0</v>
      </c>
      <c r="BY38" s="25">
        <v>40117.436545927085</v>
      </c>
      <c r="BZ38" s="25">
        <v>8160.608236693969</v>
      </c>
      <c r="CA38" s="25">
        <v>1.0854720629864254</v>
      </c>
      <c r="CB38" s="25">
        <v>0</v>
      </c>
      <c r="CC38" s="25">
        <v>18247.815276959202</v>
      </c>
      <c r="CD38" s="25">
        <v>14696.133219116911</v>
      </c>
      <c r="CE38" s="25">
        <v>-1278.0787507290102</v>
      </c>
      <c r="CF38" s="25">
        <v>39827.563454104071</v>
      </c>
      <c r="CG38" s="25">
        <v>79945</v>
      </c>
      <c r="CH38"/>
      <c r="CI38">
        <f t="shared" si="0"/>
        <v>0.49818704677095593</v>
      </c>
      <c r="CJ38"/>
      <c r="CK38"/>
      <c r="CL38"/>
      <c r="CM38"/>
      <c r="CN38"/>
      <c r="CO38"/>
      <c r="CP38"/>
      <c r="CQ38"/>
      <c r="CR38"/>
      <c r="CS38"/>
      <c r="CT38"/>
      <c r="CU38"/>
    </row>
    <row r="39" spans="1:99" s="5" customFormat="1" x14ac:dyDescent="0.3">
      <c r="A39" s="35" t="s">
        <v>43</v>
      </c>
      <c r="B39" s="11" t="s">
        <v>117</v>
      </c>
      <c r="C39" s="5">
        <v>34</v>
      </c>
      <c r="D39" s="25">
        <v>59.522305703606065</v>
      </c>
      <c r="E39" s="25">
        <v>52.217786105288837</v>
      </c>
      <c r="F39" s="25">
        <v>7.7379426650681999</v>
      </c>
      <c r="G39" s="25">
        <v>121.83013377807498</v>
      </c>
      <c r="H39" s="25">
        <v>2981.3187232983764</v>
      </c>
      <c r="I39" s="25">
        <v>3358.5304734187052</v>
      </c>
      <c r="J39" s="25">
        <v>647.24610176666101</v>
      </c>
      <c r="K39" s="25">
        <v>116.75762496976985</v>
      </c>
      <c r="L39" s="25">
        <v>9.5497742493645656</v>
      </c>
      <c r="M39" s="25">
        <v>134.22487336695494</v>
      </c>
      <c r="N39" s="25">
        <v>105.79099949407707</v>
      </c>
      <c r="O39" s="25">
        <v>2.9828610761777705</v>
      </c>
      <c r="P39" s="25">
        <v>20.954038704035376</v>
      </c>
      <c r="Q39" s="25">
        <v>16.0117665591914</v>
      </c>
      <c r="R39" s="25">
        <v>17.830644563412736</v>
      </c>
      <c r="S39" s="25">
        <v>83.835356791768419</v>
      </c>
      <c r="T39" s="25">
        <v>66.499360523187249</v>
      </c>
      <c r="U39" s="25">
        <v>27.971484305499192</v>
      </c>
      <c r="V39" s="25">
        <v>124.42443945135997</v>
      </c>
      <c r="W39" s="25">
        <v>3.2068614775039497</v>
      </c>
      <c r="X39" s="25">
        <v>0.64315817129398389</v>
      </c>
      <c r="Y39" s="25">
        <v>14.664866993787584</v>
      </c>
      <c r="Z39" s="25">
        <v>55.365175312124499</v>
      </c>
      <c r="AA39" s="25">
        <v>42.928805361589461</v>
      </c>
      <c r="AB39" s="25">
        <v>38.4222462567935</v>
      </c>
      <c r="AC39" s="25">
        <v>23.58168466678584</v>
      </c>
      <c r="AD39" s="25">
        <v>146.51909149651729</v>
      </c>
      <c r="AE39" s="25">
        <v>63.810019097951141</v>
      </c>
      <c r="AF39" s="25">
        <v>227.46372146208054</v>
      </c>
      <c r="AG39" s="25">
        <v>109.64969949828244</v>
      </c>
      <c r="AH39" s="25">
        <v>293.6266731396156</v>
      </c>
      <c r="AI39" s="25">
        <v>187.07604213725611</v>
      </c>
      <c r="AJ39" s="25">
        <v>561.552991324191</v>
      </c>
      <c r="AK39" s="25">
        <v>13998.183884661225</v>
      </c>
      <c r="AL39" s="25">
        <v>1347.7857506206824</v>
      </c>
      <c r="AM39" s="25">
        <v>250.3072976290847</v>
      </c>
      <c r="AN39" s="25">
        <v>400.60780466117706</v>
      </c>
      <c r="AO39" s="25">
        <v>86.468517165453292</v>
      </c>
      <c r="AP39" s="25">
        <v>8156.5291072832433</v>
      </c>
      <c r="AQ39" s="25">
        <v>183.8773062557928</v>
      </c>
      <c r="AR39" s="25">
        <v>29.480190946558871</v>
      </c>
      <c r="AS39" s="25">
        <v>21.121456700492327</v>
      </c>
      <c r="AT39" s="25">
        <v>28.673874343909777</v>
      </c>
      <c r="AU39" s="25">
        <v>87.632478652176914</v>
      </c>
      <c r="AV39" s="25">
        <v>3082.2212027772262</v>
      </c>
      <c r="AW39" s="25">
        <v>347.09497939889587</v>
      </c>
      <c r="AX39" s="25">
        <v>492.90872146548861</v>
      </c>
      <c r="AY39" s="40">
        <v>188.18252456487215</v>
      </c>
      <c r="AZ39" s="25">
        <v>114.1317287125715</v>
      </c>
      <c r="BA39" s="25">
        <v>16.756327513669412</v>
      </c>
      <c r="BB39" s="25">
        <v>183.7210541682006</v>
      </c>
      <c r="BC39" s="25">
        <v>10.695788746995476</v>
      </c>
      <c r="BD39" s="25">
        <v>78.820000487197191</v>
      </c>
      <c r="BE39" s="25">
        <v>9.4137410961183203</v>
      </c>
      <c r="BF39" s="25">
        <v>7.8433874607846139</v>
      </c>
      <c r="BG39" s="25">
        <v>56.01575252421209</v>
      </c>
      <c r="BH39" s="25">
        <v>39.266320030685463</v>
      </c>
      <c r="BI39" s="25">
        <v>17.499684418311713</v>
      </c>
      <c r="BJ39" s="25">
        <v>30.905608576877551</v>
      </c>
      <c r="BK39" s="25">
        <v>36.413597653372676</v>
      </c>
      <c r="BL39" s="25">
        <v>40.176682657267463</v>
      </c>
      <c r="BM39" s="25">
        <v>12.242518732631936</v>
      </c>
      <c r="BN39" s="25">
        <v>21.569957732316201</v>
      </c>
      <c r="BO39" s="25">
        <v>1179.0029429730471</v>
      </c>
      <c r="BP39" s="25">
        <v>5.7246072672928889</v>
      </c>
      <c r="BQ39" s="25">
        <v>111.69726973593008</v>
      </c>
      <c r="BR39" s="25">
        <v>25.460223271399052</v>
      </c>
      <c r="BS39" s="25">
        <v>5.0073719347400694</v>
      </c>
      <c r="BT39" s="25">
        <v>117.48267827292875</v>
      </c>
      <c r="BU39" s="25">
        <v>49.931723664466446</v>
      </c>
      <c r="BV39" s="25">
        <v>13.370874267205979</v>
      </c>
      <c r="BW39" s="25">
        <v>42.232026044923728</v>
      </c>
      <c r="BX39" s="25">
        <v>0</v>
      </c>
      <c r="BY39" s="25">
        <v>40650.204692255793</v>
      </c>
      <c r="BZ39" s="25">
        <v>26105.19647079541</v>
      </c>
      <c r="CA39" s="25">
        <v>1.829221439477124</v>
      </c>
      <c r="CB39" s="25">
        <v>0</v>
      </c>
      <c r="CC39" s="25">
        <v>4346.8636411665539</v>
      </c>
      <c r="CD39" s="25">
        <v>59157.235988138818</v>
      </c>
      <c r="CE39" s="25">
        <v>-948.33001378563677</v>
      </c>
      <c r="CF39" s="25">
        <v>88662.795307754626</v>
      </c>
      <c r="CG39" s="25">
        <v>129313</v>
      </c>
      <c r="CH39"/>
      <c r="CI39">
        <f t="shared" si="0"/>
        <v>0.68564487180526801</v>
      </c>
      <c r="CJ39"/>
      <c r="CK39"/>
      <c r="CL39"/>
      <c r="CM39"/>
      <c r="CN39"/>
      <c r="CO39"/>
      <c r="CP39"/>
      <c r="CQ39"/>
      <c r="CR39"/>
      <c r="CS39"/>
      <c r="CT39"/>
      <c r="CU39"/>
    </row>
    <row r="40" spans="1:99" s="5" customFormat="1" x14ac:dyDescent="0.3">
      <c r="A40" s="35" t="s">
        <v>44</v>
      </c>
      <c r="B40" s="11" t="s">
        <v>118</v>
      </c>
      <c r="C40" s="5">
        <v>35</v>
      </c>
      <c r="D40" s="25">
        <v>6.0793326431152925</v>
      </c>
      <c r="E40" s="25">
        <v>4.2341402793009095</v>
      </c>
      <c r="F40" s="25">
        <v>0.45060294483418861</v>
      </c>
      <c r="G40" s="25">
        <v>1.7532064596121533</v>
      </c>
      <c r="H40" s="25">
        <v>22.732493646363995</v>
      </c>
      <c r="I40" s="25">
        <v>35.923445268958368</v>
      </c>
      <c r="J40" s="25">
        <v>4.6230340424648242</v>
      </c>
      <c r="K40" s="25">
        <v>6.0310656150077255</v>
      </c>
      <c r="L40" s="25">
        <v>39.384321213520785</v>
      </c>
      <c r="M40" s="25">
        <v>6.3633747517004942</v>
      </c>
      <c r="N40" s="25">
        <v>7.4156679627781834</v>
      </c>
      <c r="O40" s="25">
        <v>0.4853673891484559</v>
      </c>
      <c r="P40" s="25">
        <v>0.89219765450299382</v>
      </c>
      <c r="Q40" s="25">
        <v>0.72350440715786468</v>
      </c>
      <c r="R40" s="25">
        <v>0.89559605558574462</v>
      </c>
      <c r="S40" s="25">
        <v>1.5390856550522856</v>
      </c>
      <c r="T40" s="25">
        <v>2.2391794342057389</v>
      </c>
      <c r="U40" s="25">
        <v>0.13638293945280502</v>
      </c>
      <c r="V40" s="25">
        <v>0.50357185243508829</v>
      </c>
      <c r="W40" s="25">
        <v>1.295805255644086E-2</v>
      </c>
      <c r="X40" s="25">
        <v>1.7921972661052677E-3</v>
      </c>
      <c r="Y40" s="25">
        <v>0.39143869470761683</v>
      </c>
      <c r="Z40" s="25">
        <v>5.1554650903360315</v>
      </c>
      <c r="AA40" s="25">
        <v>24.655903412295473</v>
      </c>
      <c r="AB40" s="25">
        <v>3.0129772937813186</v>
      </c>
      <c r="AC40" s="25">
        <v>7.0694448061405017</v>
      </c>
      <c r="AD40" s="25">
        <v>6.0070207472078385</v>
      </c>
      <c r="AE40" s="25">
        <v>9.1046686902495484</v>
      </c>
      <c r="AF40" s="25">
        <v>3.6755743774222056</v>
      </c>
      <c r="AG40" s="25">
        <v>5.3585330825795729</v>
      </c>
      <c r="AH40" s="25">
        <v>7.6734366181145788</v>
      </c>
      <c r="AI40" s="25">
        <v>42.135878464386984</v>
      </c>
      <c r="AJ40" s="25">
        <v>130.55867196330829</v>
      </c>
      <c r="AK40" s="25">
        <v>139.03215919780203</v>
      </c>
      <c r="AL40" s="25">
        <v>6401.0291995062835</v>
      </c>
      <c r="AM40" s="25">
        <v>198.18236285527331</v>
      </c>
      <c r="AN40" s="25">
        <v>27.306349159842785</v>
      </c>
      <c r="AO40" s="25">
        <v>6.955028087194794</v>
      </c>
      <c r="AP40" s="25">
        <v>89.22255793834951</v>
      </c>
      <c r="AQ40" s="25">
        <v>86.668171491859326</v>
      </c>
      <c r="AR40" s="25">
        <v>14.15732454993543</v>
      </c>
      <c r="AS40" s="25">
        <v>10.143194730941259</v>
      </c>
      <c r="AT40" s="25">
        <v>15.485616608259518</v>
      </c>
      <c r="AU40" s="25">
        <v>13.526570934637117</v>
      </c>
      <c r="AV40" s="25">
        <v>188.27528297895037</v>
      </c>
      <c r="AW40" s="25">
        <v>532.17208085673667</v>
      </c>
      <c r="AX40" s="25">
        <v>94.656438781178892</v>
      </c>
      <c r="AY40" s="40">
        <v>864.60320895691905</v>
      </c>
      <c r="AZ40" s="25">
        <v>0.83914315631735381</v>
      </c>
      <c r="BA40" s="25">
        <v>8.1858906758950745E-2</v>
      </c>
      <c r="BB40" s="25">
        <v>9.1036561840329675</v>
      </c>
      <c r="BC40" s="25">
        <v>1.6401264875792059</v>
      </c>
      <c r="BD40" s="25">
        <v>8.1053616704011695</v>
      </c>
      <c r="BE40" s="25">
        <v>0.29355293855328496</v>
      </c>
      <c r="BF40" s="25">
        <v>1.8669431820610858</v>
      </c>
      <c r="BG40" s="25">
        <v>15.046584400360741</v>
      </c>
      <c r="BH40" s="25">
        <v>4.206258609986504</v>
      </c>
      <c r="BI40" s="25">
        <v>5.7782215604884071</v>
      </c>
      <c r="BJ40" s="25">
        <v>10.632691936448024</v>
      </c>
      <c r="BK40" s="25">
        <v>14.295464906277772</v>
      </c>
      <c r="BL40" s="25">
        <v>34.022490097580679</v>
      </c>
      <c r="BM40" s="25">
        <v>1.6650914908455441</v>
      </c>
      <c r="BN40" s="25">
        <v>14.797823088620525</v>
      </c>
      <c r="BO40" s="25">
        <v>21.056968342396452</v>
      </c>
      <c r="BP40" s="25">
        <v>2.196008256563204</v>
      </c>
      <c r="BQ40" s="25">
        <v>54.143997285643749</v>
      </c>
      <c r="BR40" s="25">
        <v>8.0172920945857413</v>
      </c>
      <c r="BS40" s="25">
        <v>3.329808523440775</v>
      </c>
      <c r="BT40" s="25">
        <v>14.693655894817354</v>
      </c>
      <c r="BU40" s="25">
        <v>10.723095359283748</v>
      </c>
      <c r="BV40" s="25">
        <v>4.0666521346822817</v>
      </c>
      <c r="BW40" s="25">
        <v>10.757810926212755</v>
      </c>
      <c r="BX40" s="25">
        <v>0</v>
      </c>
      <c r="BY40" s="25">
        <v>9319.9954377736558</v>
      </c>
      <c r="BZ40" s="25">
        <v>31565.598555046839</v>
      </c>
      <c r="CA40" s="25">
        <v>0</v>
      </c>
      <c r="CB40" s="25">
        <v>0</v>
      </c>
      <c r="CC40" s="25">
        <v>74047.929024189856</v>
      </c>
      <c r="CD40" s="25">
        <v>71777.155606281944</v>
      </c>
      <c r="CE40" s="25">
        <v>1204.3213767128063</v>
      </c>
      <c r="CF40" s="25">
        <v>178595.00456223145</v>
      </c>
      <c r="CG40" s="25">
        <v>187915</v>
      </c>
      <c r="CH40"/>
      <c r="CI40">
        <f t="shared" si="0"/>
        <v>0.95040313206626104</v>
      </c>
      <c r="CJ40"/>
      <c r="CK40"/>
      <c r="CL40"/>
      <c r="CM40"/>
      <c r="CN40"/>
      <c r="CO40"/>
      <c r="CP40"/>
      <c r="CQ40"/>
      <c r="CR40"/>
      <c r="CS40"/>
      <c r="CT40"/>
      <c r="CU40"/>
    </row>
    <row r="41" spans="1:99" s="5" customFormat="1" x14ac:dyDescent="0.3">
      <c r="A41" s="35" t="s">
        <v>45</v>
      </c>
      <c r="B41" s="11" t="s">
        <v>119</v>
      </c>
      <c r="C41" s="5">
        <v>36</v>
      </c>
      <c r="D41" s="25">
        <v>23.030769629208717</v>
      </c>
      <c r="E41" s="25">
        <v>21.334763428006642</v>
      </c>
      <c r="F41" s="25">
        <v>1.7539911411837736</v>
      </c>
      <c r="G41" s="25">
        <v>4.3114620373138086</v>
      </c>
      <c r="H41" s="25">
        <v>133.67925358866589</v>
      </c>
      <c r="I41" s="25">
        <v>118.35306042140583</v>
      </c>
      <c r="J41" s="25">
        <v>20.491406594920392</v>
      </c>
      <c r="K41" s="25">
        <v>58.822250853589146</v>
      </c>
      <c r="L41" s="25">
        <v>3.6580655989026454</v>
      </c>
      <c r="M41" s="25">
        <v>77.508676051511131</v>
      </c>
      <c r="N41" s="25">
        <v>78.143529112663003</v>
      </c>
      <c r="O41" s="25">
        <v>0.70233329744813222</v>
      </c>
      <c r="P41" s="25">
        <v>8.1067602183074658</v>
      </c>
      <c r="Q41" s="25">
        <v>3.9768991010187786</v>
      </c>
      <c r="R41" s="25">
        <v>6.6684836628326378</v>
      </c>
      <c r="S41" s="25">
        <v>12.730870567110621</v>
      </c>
      <c r="T41" s="25">
        <v>9.2106179336940119</v>
      </c>
      <c r="U41" s="25">
        <v>7.2701764040418322</v>
      </c>
      <c r="V41" s="25">
        <v>6.7603660837117481</v>
      </c>
      <c r="W41" s="25">
        <v>0.17408278972224633</v>
      </c>
      <c r="X41" s="25">
        <v>2.8862715455859316E-2</v>
      </c>
      <c r="Y41" s="25">
        <v>2.3484311284074915</v>
      </c>
      <c r="Z41" s="25">
        <v>19.637024268064614</v>
      </c>
      <c r="AA41" s="25">
        <v>17.09776631679464</v>
      </c>
      <c r="AB41" s="25">
        <v>24.773852900607473</v>
      </c>
      <c r="AC41" s="25">
        <v>9.820390171430228</v>
      </c>
      <c r="AD41" s="25">
        <v>63.16321689365504</v>
      </c>
      <c r="AE41" s="25">
        <v>25.632333748347094</v>
      </c>
      <c r="AF41" s="25">
        <v>59.722249486700498</v>
      </c>
      <c r="AG41" s="25">
        <v>25.274921115880044</v>
      </c>
      <c r="AH41" s="25">
        <v>160.67153291879316</v>
      </c>
      <c r="AI41" s="25">
        <v>149.98137675042946</v>
      </c>
      <c r="AJ41" s="25">
        <v>285.45643584851399</v>
      </c>
      <c r="AK41" s="25">
        <v>590.95514679980465</v>
      </c>
      <c r="AL41" s="25">
        <v>41768.119698194343</v>
      </c>
      <c r="AM41" s="25">
        <v>11118.72493870409</v>
      </c>
      <c r="AN41" s="25">
        <v>88.067706926733123</v>
      </c>
      <c r="AO41" s="25">
        <v>48.305878453495758</v>
      </c>
      <c r="AP41" s="25">
        <v>391.5589705473754</v>
      </c>
      <c r="AQ41" s="25">
        <v>178.96091064583609</v>
      </c>
      <c r="AR41" s="25">
        <v>29.233427337313508</v>
      </c>
      <c r="AS41" s="25">
        <v>20.944659782949238</v>
      </c>
      <c r="AT41" s="25">
        <v>27.99468308644564</v>
      </c>
      <c r="AU41" s="25">
        <v>22.002569535951483</v>
      </c>
      <c r="AV41" s="25">
        <v>786.42206006416041</v>
      </c>
      <c r="AW41" s="25">
        <v>16757.380610384294</v>
      </c>
      <c r="AX41" s="25">
        <v>271.92690386794874</v>
      </c>
      <c r="AY41" s="40">
        <v>11241.326851182903</v>
      </c>
      <c r="AZ41" s="25">
        <v>4.2981168519444219</v>
      </c>
      <c r="BA41" s="25">
        <v>3.3999873134724803</v>
      </c>
      <c r="BB41" s="25">
        <v>22.831216726047206</v>
      </c>
      <c r="BC41" s="25">
        <v>9.7792439959294306</v>
      </c>
      <c r="BD41" s="25">
        <v>66.440220699295025</v>
      </c>
      <c r="BE41" s="25">
        <v>0.9692352588187495</v>
      </c>
      <c r="BF41" s="25">
        <v>4.7494570258082378</v>
      </c>
      <c r="BG41" s="25">
        <v>32.283956554095894</v>
      </c>
      <c r="BH41" s="25">
        <v>11.675920574090959</v>
      </c>
      <c r="BI41" s="25">
        <v>25.117535659091725</v>
      </c>
      <c r="BJ41" s="25">
        <v>33.107385669635867</v>
      </c>
      <c r="BK41" s="25">
        <v>42.753067014498214</v>
      </c>
      <c r="BL41" s="25">
        <v>61.705269956035742</v>
      </c>
      <c r="BM41" s="25">
        <v>6.1094552845915722</v>
      </c>
      <c r="BN41" s="25">
        <v>178.64411219393531</v>
      </c>
      <c r="BO41" s="25">
        <v>86.122547399955891</v>
      </c>
      <c r="BP41" s="25">
        <v>3.4288450741843426</v>
      </c>
      <c r="BQ41" s="25">
        <v>944.29532162300757</v>
      </c>
      <c r="BR41" s="25">
        <v>245.02647863352792</v>
      </c>
      <c r="BS41" s="25">
        <v>20.880374625890653</v>
      </c>
      <c r="BT41" s="25">
        <v>122.23661869936019</v>
      </c>
      <c r="BU41" s="25">
        <v>19.06369890094042</v>
      </c>
      <c r="BV41" s="25">
        <v>18.253064329760541</v>
      </c>
      <c r="BW41" s="25">
        <v>36.18062033752885</v>
      </c>
      <c r="BX41" s="25">
        <v>0</v>
      </c>
      <c r="BY41" s="25">
        <v>86781.572978693453</v>
      </c>
      <c r="BZ41" s="25">
        <v>16209.850370734868</v>
      </c>
      <c r="CA41" s="25">
        <v>0</v>
      </c>
      <c r="CB41" s="25">
        <v>0</v>
      </c>
      <c r="CC41" s="25">
        <v>1499.9348819154825</v>
      </c>
      <c r="CD41" s="25">
        <v>3584.2263505479905</v>
      </c>
      <c r="CE41" s="25">
        <v>-2083.5845818673261</v>
      </c>
      <c r="CF41" s="25">
        <v>19210.427021331016</v>
      </c>
      <c r="CG41" s="25">
        <v>105992</v>
      </c>
      <c r="CH41"/>
      <c r="CI41">
        <f t="shared" si="0"/>
        <v>0.18124412239915291</v>
      </c>
      <c r="CJ41"/>
      <c r="CK41"/>
      <c r="CL41"/>
      <c r="CM41"/>
      <c r="CN41"/>
      <c r="CO41"/>
      <c r="CP41"/>
      <c r="CQ41"/>
      <c r="CR41"/>
      <c r="CS41"/>
      <c r="CT41"/>
      <c r="CU41"/>
    </row>
    <row r="42" spans="1:99" s="5" customFormat="1" x14ac:dyDescent="0.3">
      <c r="A42" s="35" t="s">
        <v>46</v>
      </c>
      <c r="B42" s="11" t="s">
        <v>120</v>
      </c>
      <c r="C42" s="5">
        <v>37</v>
      </c>
      <c r="D42" s="25">
        <v>4.9868211495342329</v>
      </c>
      <c r="E42" s="25">
        <v>4.6069195410432195</v>
      </c>
      <c r="F42" s="25">
        <v>0.78082668028628288</v>
      </c>
      <c r="G42" s="25">
        <v>4.0935082752388299</v>
      </c>
      <c r="H42" s="25">
        <v>36.555408577894092</v>
      </c>
      <c r="I42" s="25">
        <v>28.323997559732756</v>
      </c>
      <c r="J42" s="25">
        <v>6.1643923228497508</v>
      </c>
      <c r="K42" s="25">
        <v>23.872375159693842</v>
      </c>
      <c r="L42" s="25">
        <v>2.6165250884680926</v>
      </c>
      <c r="M42" s="25">
        <v>22.287293821742143</v>
      </c>
      <c r="N42" s="25">
        <v>22.019794969376246</v>
      </c>
      <c r="O42" s="25">
        <v>0.951991038742527</v>
      </c>
      <c r="P42" s="25">
        <v>1.516282348817972</v>
      </c>
      <c r="Q42" s="25">
        <v>2.8505447222716263</v>
      </c>
      <c r="R42" s="25">
        <v>2.5595446686656871</v>
      </c>
      <c r="S42" s="25">
        <v>5.8027436843184077</v>
      </c>
      <c r="T42" s="25">
        <v>16.310046908766967</v>
      </c>
      <c r="U42" s="25">
        <v>5.2951023901787542</v>
      </c>
      <c r="V42" s="25">
        <v>6.1149038706905152</v>
      </c>
      <c r="W42" s="25">
        <v>0.15842795053563921</v>
      </c>
      <c r="X42" s="25">
        <v>6.3786200199413431E-2</v>
      </c>
      <c r="Y42" s="25">
        <v>3.9122942593283057</v>
      </c>
      <c r="Z42" s="25">
        <v>12.464991613664969</v>
      </c>
      <c r="AA42" s="25">
        <v>7.1965891240332542</v>
      </c>
      <c r="AB42" s="25">
        <v>8.3193813814717483</v>
      </c>
      <c r="AC42" s="25">
        <v>12.611800614114907</v>
      </c>
      <c r="AD42" s="25">
        <v>13.78068441035977</v>
      </c>
      <c r="AE42" s="25">
        <v>14.683612440308503</v>
      </c>
      <c r="AF42" s="25">
        <v>64.432299023918844</v>
      </c>
      <c r="AG42" s="25">
        <v>14.514972550016264</v>
      </c>
      <c r="AH42" s="25">
        <v>65.749304626838622</v>
      </c>
      <c r="AI42" s="25">
        <v>9.1707604277193493</v>
      </c>
      <c r="AJ42" s="25">
        <v>29.363735830143359</v>
      </c>
      <c r="AK42" s="25">
        <v>80.378690411628156</v>
      </c>
      <c r="AL42" s="25">
        <v>266.06433068103144</v>
      </c>
      <c r="AM42" s="25">
        <v>94.115435593740415</v>
      </c>
      <c r="AN42" s="25">
        <v>480.05988990730475</v>
      </c>
      <c r="AO42" s="25">
        <v>14.790079925163909</v>
      </c>
      <c r="AP42" s="25">
        <v>151.11749226844694</v>
      </c>
      <c r="AQ42" s="25">
        <v>22.426805250168904</v>
      </c>
      <c r="AR42" s="25">
        <v>3.6634390120329217</v>
      </c>
      <c r="AS42" s="25">
        <v>2.6247173435143485</v>
      </c>
      <c r="AT42" s="25">
        <v>1.8076843233351139</v>
      </c>
      <c r="AU42" s="25">
        <v>8.5592197567344641</v>
      </c>
      <c r="AV42" s="25">
        <v>134.34873154656916</v>
      </c>
      <c r="AW42" s="25">
        <v>104.3287185956416</v>
      </c>
      <c r="AX42" s="25">
        <v>47.185007596141773</v>
      </c>
      <c r="AY42" s="40">
        <v>114.28495397222106</v>
      </c>
      <c r="AZ42" s="25">
        <v>8.1753187737252304</v>
      </c>
      <c r="BA42" s="25">
        <v>3.5093606022635617</v>
      </c>
      <c r="BB42" s="25">
        <v>15.741988103756668</v>
      </c>
      <c r="BC42" s="25">
        <v>0.98892850526239373</v>
      </c>
      <c r="BD42" s="25">
        <v>13.772883960977339</v>
      </c>
      <c r="BE42" s="25">
        <v>2.0275665806359684</v>
      </c>
      <c r="BF42" s="25">
        <v>0.96708398221640157</v>
      </c>
      <c r="BG42" s="25">
        <v>5.6539211026815748</v>
      </c>
      <c r="BH42" s="25">
        <v>9.7449629974355858</v>
      </c>
      <c r="BI42" s="25">
        <v>2.8835222526933015</v>
      </c>
      <c r="BJ42" s="25">
        <v>3.4121952982324646</v>
      </c>
      <c r="BK42" s="25">
        <v>5.8203609723868146</v>
      </c>
      <c r="BL42" s="25">
        <v>29.50740973456119</v>
      </c>
      <c r="BM42" s="25">
        <v>1.2495467255479826</v>
      </c>
      <c r="BN42" s="25">
        <v>7.0318623976594559</v>
      </c>
      <c r="BO42" s="25">
        <v>10.740795794175268</v>
      </c>
      <c r="BP42" s="25">
        <v>1.4258653238884478</v>
      </c>
      <c r="BQ42" s="25">
        <v>27.065816749540872</v>
      </c>
      <c r="BR42" s="25">
        <v>3.2530216082114078</v>
      </c>
      <c r="BS42" s="25">
        <v>1.0348088976519616</v>
      </c>
      <c r="BT42" s="25">
        <v>6.8796707652408386</v>
      </c>
      <c r="BU42" s="25">
        <v>6.9804331328033218</v>
      </c>
      <c r="BV42" s="25">
        <v>3.1204937570298665</v>
      </c>
      <c r="BW42" s="25">
        <v>9.3914333435010597</v>
      </c>
      <c r="BX42" s="25">
        <v>0</v>
      </c>
      <c r="BY42" s="25">
        <v>2160.2661107767194</v>
      </c>
      <c r="BZ42" s="25">
        <v>43140.492653138856</v>
      </c>
      <c r="CA42" s="25">
        <v>0.20503361189743591</v>
      </c>
      <c r="CB42" s="25">
        <v>0</v>
      </c>
      <c r="CC42" s="25">
        <v>762.43633239786652</v>
      </c>
      <c r="CD42" s="25">
        <v>3022.7646692592871</v>
      </c>
      <c r="CE42" s="25">
        <v>-7273.1647991816653</v>
      </c>
      <c r="CF42" s="25">
        <v>39652.733889226234</v>
      </c>
      <c r="CG42" s="25">
        <v>41813</v>
      </c>
      <c r="CH42"/>
      <c r="CI42">
        <f t="shared" si="0"/>
        <v>0.94833506060857231</v>
      </c>
      <c r="CJ42"/>
      <c r="CK42"/>
      <c r="CL42"/>
      <c r="CM42"/>
      <c r="CN42"/>
      <c r="CO42"/>
      <c r="CP42"/>
      <c r="CQ42"/>
      <c r="CR42"/>
      <c r="CS42"/>
      <c r="CT42"/>
      <c r="CU42"/>
    </row>
    <row r="43" spans="1:99" s="5" customFormat="1" x14ac:dyDescent="0.3">
      <c r="A43" s="35" t="s">
        <v>47</v>
      </c>
      <c r="B43" s="11" t="s">
        <v>121</v>
      </c>
      <c r="C43" s="5">
        <v>38</v>
      </c>
      <c r="D43" s="25">
        <v>45.782288437245711</v>
      </c>
      <c r="E43" s="25">
        <v>29.239596913345242</v>
      </c>
      <c r="F43" s="25">
        <v>8.4320166405944832</v>
      </c>
      <c r="G43" s="25">
        <v>11.028587123657127</v>
      </c>
      <c r="H43" s="25">
        <v>80.655808675524071</v>
      </c>
      <c r="I43" s="25">
        <v>51.780234565585253</v>
      </c>
      <c r="J43" s="25">
        <v>8.1537520245893482</v>
      </c>
      <c r="K43" s="25">
        <v>70.003355856703521</v>
      </c>
      <c r="L43" s="25">
        <v>6.0434286287507843</v>
      </c>
      <c r="M43" s="25">
        <v>135.22112072819303</v>
      </c>
      <c r="N43" s="25">
        <v>76.098550648828109</v>
      </c>
      <c r="O43" s="25">
        <v>1.0050290181196722</v>
      </c>
      <c r="P43" s="25">
        <v>56.971174720237016</v>
      </c>
      <c r="Q43" s="25">
        <v>747.44728718589477</v>
      </c>
      <c r="R43" s="25">
        <v>163.13019854927774</v>
      </c>
      <c r="S43" s="25">
        <v>36.447294084671327</v>
      </c>
      <c r="T43" s="25">
        <v>22.146178253166504</v>
      </c>
      <c r="U43" s="25">
        <v>12.187559668481464</v>
      </c>
      <c r="V43" s="25">
        <v>29.950776492129563</v>
      </c>
      <c r="W43" s="25">
        <v>0.77037961564342716</v>
      </c>
      <c r="X43" s="25">
        <v>0.15650270436539049</v>
      </c>
      <c r="Y43" s="25">
        <v>3.1970506395294347</v>
      </c>
      <c r="Z43" s="25">
        <v>86.057607100965313</v>
      </c>
      <c r="AA43" s="25">
        <v>59.958222590080375</v>
      </c>
      <c r="AB43" s="25">
        <v>36.090306193794547</v>
      </c>
      <c r="AC43" s="25">
        <v>51.91197983661484</v>
      </c>
      <c r="AD43" s="25">
        <v>169.57606088592962</v>
      </c>
      <c r="AE43" s="25">
        <v>102.00533712396278</v>
      </c>
      <c r="AF43" s="25">
        <v>36.054503029592446</v>
      </c>
      <c r="AG43" s="25">
        <v>7.2052213003160466</v>
      </c>
      <c r="AH43" s="25">
        <v>89.485080536444698</v>
      </c>
      <c r="AI43" s="25">
        <v>61.480600967481401</v>
      </c>
      <c r="AJ43" s="25">
        <v>56.137189229721017</v>
      </c>
      <c r="AK43" s="25">
        <v>375.52821609189743</v>
      </c>
      <c r="AL43" s="25">
        <v>252.09890296761094</v>
      </c>
      <c r="AM43" s="25">
        <v>398.46123699916501</v>
      </c>
      <c r="AN43" s="25">
        <v>38.40365429506231</v>
      </c>
      <c r="AO43" s="25">
        <v>1960.1198644993181</v>
      </c>
      <c r="AP43" s="25">
        <v>165.5925563050794</v>
      </c>
      <c r="AQ43" s="25">
        <v>61.710357013717321</v>
      </c>
      <c r="AR43" s="25">
        <v>10.080442881128995</v>
      </c>
      <c r="AS43" s="25">
        <v>7.2222611522943634</v>
      </c>
      <c r="AT43" s="25">
        <v>6.0937967564972286</v>
      </c>
      <c r="AU43" s="25">
        <v>33.800583613346866</v>
      </c>
      <c r="AV43" s="25">
        <v>874.03621709689321</v>
      </c>
      <c r="AW43" s="25">
        <v>39.292437919857846</v>
      </c>
      <c r="AX43" s="25">
        <v>438.45063461684435</v>
      </c>
      <c r="AY43" s="40">
        <v>72.534590593157205</v>
      </c>
      <c r="AZ43" s="25">
        <v>53.474975030195026</v>
      </c>
      <c r="BA43" s="25">
        <v>1.8863702697401237</v>
      </c>
      <c r="BB43" s="25">
        <v>118.97152528898459</v>
      </c>
      <c r="BC43" s="25">
        <v>11.606562876415598</v>
      </c>
      <c r="BD43" s="25">
        <v>53.666761308420881</v>
      </c>
      <c r="BE43" s="25">
        <v>4.2463808734715762</v>
      </c>
      <c r="BF43" s="25">
        <v>30.04267614873508</v>
      </c>
      <c r="BG43" s="25">
        <v>8.160663636983907</v>
      </c>
      <c r="BH43" s="25">
        <v>52.216172275063364</v>
      </c>
      <c r="BI43" s="25">
        <v>124.57994644583015</v>
      </c>
      <c r="BJ43" s="25">
        <v>104.80804677786166</v>
      </c>
      <c r="BK43" s="25">
        <v>167.06610060286647</v>
      </c>
      <c r="BL43" s="25">
        <v>205.39394308036344</v>
      </c>
      <c r="BM43" s="25">
        <v>186.64130578892917</v>
      </c>
      <c r="BN43" s="25">
        <v>301.35842301516743</v>
      </c>
      <c r="BO43" s="25">
        <v>143.94754620854138</v>
      </c>
      <c r="BP43" s="25">
        <v>11.161014046942418</v>
      </c>
      <c r="BQ43" s="25">
        <v>469.840919301241</v>
      </c>
      <c r="BR43" s="25">
        <v>551.23724144244261</v>
      </c>
      <c r="BS43" s="25">
        <v>25.479786843630265</v>
      </c>
      <c r="BT43" s="25">
        <v>1456.9750726247385</v>
      </c>
      <c r="BU43" s="25">
        <v>8046.0911888969458</v>
      </c>
      <c r="BV43" s="25">
        <v>96.158920656638017</v>
      </c>
      <c r="BW43" s="25">
        <v>86.087862256028302</v>
      </c>
      <c r="BX43" s="25">
        <v>0</v>
      </c>
      <c r="BY43" s="25">
        <v>19396.335438467486</v>
      </c>
      <c r="BZ43" s="25">
        <v>3585.1584726113724</v>
      </c>
      <c r="CA43" s="25">
        <v>13.779791673091975</v>
      </c>
      <c r="CB43" s="25">
        <v>0</v>
      </c>
      <c r="CC43" s="25">
        <v>43100.800641060887</v>
      </c>
      <c r="CD43" s="25">
        <v>10150.493355155131</v>
      </c>
      <c r="CE43" s="25">
        <v>-1011.6289519688544</v>
      </c>
      <c r="CF43" s="25">
        <v>55838.603308531652</v>
      </c>
      <c r="CG43" s="25">
        <v>75235</v>
      </c>
      <c r="CH43"/>
      <c r="CI43">
        <f t="shared" si="0"/>
        <v>0.74218918466846084</v>
      </c>
      <c r="CJ43"/>
      <c r="CK43"/>
      <c r="CL43"/>
      <c r="CM43"/>
      <c r="CN43"/>
      <c r="CO43"/>
      <c r="CP43"/>
      <c r="CQ43"/>
      <c r="CR43"/>
      <c r="CS43"/>
      <c r="CT43"/>
      <c r="CU43"/>
    </row>
    <row r="44" spans="1:99" s="5" customFormat="1" x14ac:dyDescent="0.3">
      <c r="A44" s="35" t="s">
        <v>48</v>
      </c>
      <c r="B44" s="11" t="s">
        <v>122</v>
      </c>
      <c r="C44" s="5">
        <v>39</v>
      </c>
      <c r="D44" s="25">
        <v>95.999296681132464</v>
      </c>
      <c r="E44" s="25">
        <v>40.232594579558715</v>
      </c>
      <c r="F44" s="25">
        <v>86.09328184228761</v>
      </c>
      <c r="G44" s="25">
        <v>716.65195262567761</v>
      </c>
      <c r="H44" s="25">
        <v>3124.6300625370091</v>
      </c>
      <c r="I44" s="25">
        <v>1811.8295405689137</v>
      </c>
      <c r="J44" s="25">
        <v>682.14345655019474</v>
      </c>
      <c r="K44" s="25">
        <v>1147.1754610464577</v>
      </c>
      <c r="L44" s="25">
        <v>428.95832119905316</v>
      </c>
      <c r="M44" s="25">
        <v>665.69625867036598</v>
      </c>
      <c r="N44" s="25">
        <v>393.03264327304981</v>
      </c>
      <c r="O44" s="25">
        <v>12.305103637098773</v>
      </c>
      <c r="P44" s="25">
        <v>145.60212215246301</v>
      </c>
      <c r="Q44" s="25">
        <v>260.75603821784591</v>
      </c>
      <c r="R44" s="25">
        <v>168.16769926545578</v>
      </c>
      <c r="S44" s="25">
        <v>627.01736232719929</v>
      </c>
      <c r="T44" s="25">
        <v>2982.1012032257213</v>
      </c>
      <c r="U44" s="25">
        <v>1057.8342209006767</v>
      </c>
      <c r="V44" s="25">
        <v>620.66820095066282</v>
      </c>
      <c r="W44" s="25">
        <v>16.245734676674889</v>
      </c>
      <c r="X44" s="25">
        <v>12.915451439657728</v>
      </c>
      <c r="Y44" s="25">
        <v>778.15252442762608</v>
      </c>
      <c r="Z44" s="25">
        <v>1193.254417593294</v>
      </c>
      <c r="AA44" s="25">
        <v>534.26246660551578</v>
      </c>
      <c r="AB44" s="25">
        <v>157.71895599651921</v>
      </c>
      <c r="AC44" s="25">
        <v>621.45429989604781</v>
      </c>
      <c r="AD44" s="25">
        <v>554.3408438984851</v>
      </c>
      <c r="AE44" s="25">
        <v>2308.8231723313834</v>
      </c>
      <c r="AF44" s="25">
        <v>8729.3708884533844</v>
      </c>
      <c r="AG44" s="25">
        <v>1976.9636269964024</v>
      </c>
      <c r="AH44" s="25">
        <v>777.57051779516905</v>
      </c>
      <c r="AI44" s="25">
        <v>82.550318001962964</v>
      </c>
      <c r="AJ44" s="25">
        <v>458.15064711375845</v>
      </c>
      <c r="AK44" s="25">
        <v>1494.2985041274596</v>
      </c>
      <c r="AL44" s="25">
        <v>217.14626183967025</v>
      </c>
      <c r="AM44" s="25">
        <v>688.96154088669778</v>
      </c>
      <c r="AN44" s="25">
        <v>423.04824263360138</v>
      </c>
      <c r="AO44" s="25">
        <v>717.61152138013824</v>
      </c>
      <c r="AP44" s="25">
        <v>1073.442535639173</v>
      </c>
      <c r="AQ44" s="25">
        <v>1338.9613134551741</v>
      </c>
      <c r="AR44" s="25">
        <v>218.72054697927086</v>
      </c>
      <c r="AS44" s="25">
        <v>156.70510991279417</v>
      </c>
      <c r="AT44" s="25">
        <v>93.043618673964673</v>
      </c>
      <c r="AU44" s="25">
        <v>1187.090911745606</v>
      </c>
      <c r="AV44" s="25">
        <v>1957.5838891590849</v>
      </c>
      <c r="AW44" s="25">
        <v>735.16436650407445</v>
      </c>
      <c r="AX44" s="25">
        <v>4433.1198376557068</v>
      </c>
      <c r="AY44" s="40">
        <v>1319.0597394837819</v>
      </c>
      <c r="AZ44" s="25">
        <v>1781.7765364328345</v>
      </c>
      <c r="BA44" s="25">
        <v>768.3377038181635</v>
      </c>
      <c r="BB44" s="25">
        <v>3303.0994470395349</v>
      </c>
      <c r="BC44" s="25">
        <v>6.9671588698732334</v>
      </c>
      <c r="BD44" s="25">
        <v>292.83002362657419</v>
      </c>
      <c r="BE44" s="25">
        <v>404.22868151253954</v>
      </c>
      <c r="BF44" s="25">
        <v>154.53953860291639</v>
      </c>
      <c r="BG44" s="25">
        <v>393.52931220105557</v>
      </c>
      <c r="BH44" s="25">
        <v>1214.7449309694282</v>
      </c>
      <c r="BI44" s="25">
        <v>293.29376236333752</v>
      </c>
      <c r="BJ44" s="25">
        <v>155.80858758442469</v>
      </c>
      <c r="BK44" s="25">
        <v>871.89488192017279</v>
      </c>
      <c r="BL44" s="25">
        <v>175.41422656771934</v>
      </c>
      <c r="BM44" s="25">
        <v>151.98634605649491</v>
      </c>
      <c r="BN44" s="25">
        <v>956.83750310888684</v>
      </c>
      <c r="BO44" s="25">
        <v>919.48580131640881</v>
      </c>
      <c r="BP44" s="25">
        <v>224.93923811412708</v>
      </c>
      <c r="BQ44" s="25">
        <v>1063.5660838465978</v>
      </c>
      <c r="BR44" s="25">
        <v>152.45371925648601</v>
      </c>
      <c r="BS44" s="25">
        <v>1.5982707974041468</v>
      </c>
      <c r="BT44" s="25">
        <v>991.79393921623057</v>
      </c>
      <c r="BU44" s="25">
        <v>574.06167577908013</v>
      </c>
      <c r="BV44" s="25">
        <v>526.48429562594583</v>
      </c>
      <c r="BW44" s="25">
        <v>569.91556142450429</v>
      </c>
      <c r="BX44" s="25">
        <v>0</v>
      </c>
      <c r="BY44" s="25">
        <v>65272.213851603665</v>
      </c>
      <c r="BZ44" s="25">
        <v>4025.5921183981891</v>
      </c>
      <c r="CA44" s="25">
        <v>0.69952644059125191</v>
      </c>
      <c r="CB44" s="25">
        <v>0</v>
      </c>
      <c r="CC44" s="25">
        <v>770.6196783729273</v>
      </c>
      <c r="CD44" s="25">
        <v>9962.6097184136033</v>
      </c>
      <c r="CE44" s="25">
        <v>-63.734893227631026</v>
      </c>
      <c r="CF44" s="25">
        <v>14695.786148397679</v>
      </c>
      <c r="CG44" s="25">
        <v>79968</v>
      </c>
      <c r="CH44"/>
      <c r="CI44">
        <f t="shared" si="0"/>
        <v>0.18377083518904661</v>
      </c>
      <c r="CJ44"/>
      <c r="CK44"/>
      <c r="CL44"/>
      <c r="CM44"/>
      <c r="CN44"/>
      <c r="CO44"/>
      <c r="CP44"/>
      <c r="CQ44"/>
      <c r="CR44"/>
      <c r="CS44"/>
      <c r="CT44"/>
      <c r="CU44"/>
    </row>
    <row r="45" spans="1:99" s="18" customFormat="1" x14ac:dyDescent="0.3">
      <c r="A45" s="35" t="s">
        <v>49</v>
      </c>
      <c r="B45" s="4" t="s">
        <v>123</v>
      </c>
      <c r="C45" s="18">
        <v>40</v>
      </c>
      <c r="D45" s="46">
        <v>6395.2848420511436</v>
      </c>
      <c r="E45" s="46">
        <v>3669.191102193688</v>
      </c>
      <c r="F45" s="46">
        <v>323.32533505968428</v>
      </c>
      <c r="G45" s="46">
        <v>428.97571920001906</v>
      </c>
      <c r="H45" s="46">
        <v>249.12162279682406</v>
      </c>
      <c r="I45" s="46">
        <v>811.37785061707632</v>
      </c>
      <c r="J45" s="46">
        <v>272.83286268342215</v>
      </c>
      <c r="K45" s="46">
        <v>881.4067680355048</v>
      </c>
      <c r="L45" s="46">
        <v>55.54508054019044</v>
      </c>
      <c r="M45" s="46">
        <v>1747.4393465696521</v>
      </c>
      <c r="N45" s="46">
        <v>343.95120347653966</v>
      </c>
      <c r="O45" s="46">
        <v>27.165011246407275</v>
      </c>
      <c r="P45" s="46">
        <v>709.91225811816378</v>
      </c>
      <c r="Q45" s="46">
        <v>115.15108572556116</v>
      </c>
      <c r="R45" s="46">
        <v>144.75464421456547</v>
      </c>
      <c r="S45" s="46">
        <v>505.05656660149418</v>
      </c>
      <c r="T45" s="46">
        <v>1086.1980523218085</v>
      </c>
      <c r="U45" s="46">
        <v>77.841970404323575</v>
      </c>
      <c r="V45" s="46">
        <v>17.978287610272929</v>
      </c>
      <c r="W45" s="46">
        <v>0.38697918666622177</v>
      </c>
      <c r="X45" s="46">
        <v>1.8961224790417248E-2</v>
      </c>
      <c r="Y45" s="46">
        <v>54.932393285651408</v>
      </c>
      <c r="Z45" s="46">
        <v>1641.2751239942309</v>
      </c>
      <c r="AA45" s="46">
        <v>251.37967919043862</v>
      </c>
      <c r="AB45" s="46">
        <v>80.845610978814676</v>
      </c>
      <c r="AC45" s="46">
        <v>115.83358679282772</v>
      </c>
      <c r="AD45" s="46">
        <v>846.65337572872818</v>
      </c>
      <c r="AE45" s="46">
        <v>2854.4839302405439</v>
      </c>
      <c r="AF45" s="46">
        <v>1959.9920932796974</v>
      </c>
      <c r="AG45" s="46">
        <v>1834.870637334395</v>
      </c>
      <c r="AH45" s="46">
        <v>862.60401116109608</v>
      </c>
      <c r="AI45" s="46">
        <v>117.35017037558748</v>
      </c>
      <c r="AJ45" s="46">
        <v>398.86574666063683</v>
      </c>
      <c r="AK45" s="46">
        <v>431.75039602487624</v>
      </c>
      <c r="AL45" s="46">
        <v>415.45654108400561</v>
      </c>
      <c r="AM45" s="46">
        <v>900.339338092704</v>
      </c>
      <c r="AN45" s="46">
        <v>175.55883179475919</v>
      </c>
      <c r="AO45" s="46">
        <v>267.98770675658233</v>
      </c>
      <c r="AP45" s="46">
        <v>217.26177002052285</v>
      </c>
      <c r="AQ45" s="46">
        <v>56040.996010442221</v>
      </c>
      <c r="AR45" s="46">
        <v>2248.7232711605329</v>
      </c>
      <c r="AS45" s="46">
        <v>2.3733184303615484</v>
      </c>
      <c r="AT45" s="46">
        <v>3224.3241024390813</v>
      </c>
      <c r="AU45" s="46">
        <v>3664.4363186817113</v>
      </c>
      <c r="AV45" s="46">
        <v>473.83276661455142</v>
      </c>
      <c r="AW45" s="46">
        <v>1333.350375603304</v>
      </c>
      <c r="AX45" s="46">
        <v>17447.128176802285</v>
      </c>
      <c r="AY45" s="48">
        <f>'Fluxos Energia'!L20</f>
        <v>6009.3759644244274</v>
      </c>
      <c r="AZ45" s="46">
        <v>53.922481575237569</v>
      </c>
      <c r="BA45" s="46">
        <v>38.803575606969062</v>
      </c>
      <c r="BB45" s="46">
        <v>1181.1446132868057</v>
      </c>
      <c r="BC45" s="46">
        <v>1186.4213504458387</v>
      </c>
      <c r="BD45" s="46">
        <v>1700.4757738361636</v>
      </c>
      <c r="BE45" s="46">
        <v>98.902912421035069</v>
      </c>
      <c r="BF45" s="46">
        <v>335.6281199531112</v>
      </c>
      <c r="BG45" s="46">
        <v>1531.1591204565723</v>
      </c>
      <c r="BH45" s="46">
        <v>595.99822168586786</v>
      </c>
      <c r="BI45" s="46">
        <v>2001.6851401712015</v>
      </c>
      <c r="BJ45" s="46">
        <v>618.68950591094335</v>
      </c>
      <c r="BK45" s="46">
        <v>1104.1971387987751</v>
      </c>
      <c r="BL45" s="46">
        <v>268.65885483073032</v>
      </c>
      <c r="BM45" s="46">
        <v>202.2699884988684</v>
      </c>
      <c r="BN45" s="46">
        <v>164.1814310579839</v>
      </c>
      <c r="BO45" s="46">
        <v>6287.5566551167794</v>
      </c>
      <c r="BP45" s="46">
        <v>89.37397936722536</v>
      </c>
      <c r="BQ45" s="46">
        <v>4731.856904244738</v>
      </c>
      <c r="BR45" s="46">
        <v>1531.872385454642</v>
      </c>
      <c r="BS45" s="46">
        <v>1968.1986246776944</v>
      </c>
      <c r="BT45" s="46">
        <v>1013.6437461149346</v>
      </c>
      <c r="BU45" s="46">
        <v>1538.7878278866106</v>
      </c>
      <c r="BV45" s="46">
        <v>916.34217629072509</v>
      </c>
      <c r="BW45" s="46">
        <v>2497.6159097856694</v>
      </c>
      <c r="BX45" s="46">
        <v>0</v>
      </c>
      <c r="BY45" s="46">
        <v>147409.28471872551</v>
      </c>
      <c r="BZ45" s="46">
        <v>74.173163542265797</v>
      </c>
      <c r="CA45" s="46">
        <v>0</v>
      </c>
      <c r="CB45" s="46">
        <v>0</v>
      </c>
      <c r="CC45" s="46">
        <v>92106.415628982795</v>
      </c>
      <c r="CD45" s="46">
        <v>179.78295665382799</v>
      </c>
      <c r="CE45" s="46">
        <v>-8028.2998607546597</v>
      </c>
      <c r="CF45" s="46">
        <v>84332.071888424252</v>
      </c>
      <c r="CG45" s="46">
        <v>231741.35660714976</v>
      </c>
      <c r="CH45"/>
      <c r="CI45">
        <f t="shared" si="0"/>
        <v>0.36390600764189368</v>
      </c>
      <c r="CJ45"/>
      <c r="CK45"/>
      <c r="CL45"/>
      <c r="CM45"/>
      <c r="CN45"/>
      <c r="CO45"/>
      <c r="CP45"/>
      <c r="CQ45"/>
      <c r="CR45"/>
      <c r="CS45"/>
      <c r="CT45"/>
      <c r="CU45"/>
    </row>
    <row r="46" spans="1:99" s="18" customFormat="1" x14ac:dyDescent="0.3">
      <c r="A46" s="35" t="s">
        <v>50</v>
      </c>
      <c r="B46" s="4" t="s">
        <v>124</v>
      </c>
      <c r="C46" s="18">
        <v>41</v>
      </c>
      <c r="D46" s="46">
        <v>1400.0172235451139</v>
      </c>
      <c r="E46" s="46">
        <v>803.22910957502359</v>
      </c>
      <c r="F46" s="46">
        <v>70.75275793752688</v>
      </c>
      <c r="G46" s="46">
        <v>21.195726764161069</v>
      </c>
      <c r="H46" s="46">
        <v>12.199259806034101</v>
      </c>
      <c r="I46" s="46">
        <v>40.075277110737119</v>
      </c>
      <c r="J46" s="46">
        <v>13.479532257438787</v>
      </c>
      <c r="K46" s="46">
        <v>190.31440517120922</v>
      </c>
      <c r="L46" s="46">
        <v>11.676093085631189</v>
      </c>
      <c r="M46" s="46">
        <v>380.54681347562149</v>
      </c>
      <c r="N46" s="46">
        <v>74.965026320641769</v>
      </c>
      <c r="O46" s="46">
        <v>5.8558789304925387</v>
      </c>
      <c r="P46" s="46">
        <v>154.29860212490846</v>
      </c>
      <c r="Q46" s="46">
        <v>23.836707510015554</v>
      </c>
      <c r="R46" s="46">
        <v>31.317968215000686</v>
      </c>
      <c r="S46" s="46">
        <v>110.40196734449107</v>
      </c>
      <c r="T46" s="46">
        <v>237.12579059888785</v>
      </c>
      <c r="U46" s="46">
        <v>7.7863479085375547</v>
      </c>
      <c r="V46" s="46">
        <v>1.5752700790749781</v>
      </c>
      <c r="W46" s="46">
        <v>3.2926073950023886E-2</v>
      </c>
      <c r="X46" s="46">
        <v>1.8735492585510666E-3</v>
      </c>
      <c r="Y46" s="46">
        <v>5.2719440437416694</v>
      </c>
      <c r="Z46" s="46">
        <v>165.2805081705267</v>
      </c>
      <c r="AA46" s="46">
        <v>25.21065694985635</v>
      </c>
      <c r="AB46" s="46">
        <v>7.9065920444664792</v>
      </c>
      <c r="AC46" s="46">
        <v>11.251018747073257</v>
      </c>
      <c r="AD46" s="46">
        <v>84.821010061106719</v>
      </c>
      <c r="AE46" s="46">
        <v>287.6814772084943</v>
      </c>
      <c r="AF46" s="46">
        <v>197.27343089664228</v>
      </c>
      <c r="AG46" s="46">
        <v>185.02013796801486</v>
      </c>
      <c r="AH46" s="46">
        <v>86.6674232251235</v>
      </c>
      <c r="AI46" s="46">
        <v>11.571197580866773</v>
      </c>
      <c r="AJ46" s="46">
        <v>40.036437247477579</v>
      </c>
      <c r="AK46" s="46">
        <v>43.156590866034414</v>
      </c>
      <c r="AL46" s="46">
        <v>41.649136682680606</v>
      </c>
      <c r="AM46" s="46">
        <v>90.469355239364148</v>
      </c>
      <c r="AN46" s="46">
        <v>17.616358624088001</v>
      </c>
      <c r="AO46" s="46">
        <v>26.709257415213148</v>
      </c>
      <c r="AP46" s="46">
        <v>10.720945718595928</v>
      </c>
      <c r="AQ46" s="46">
        <v>2329.3415319767278</v>
      </c>
      <c r="AR46" s="46">
        <v>8887.7402538823953</v>
      </c>
      <c r="AS46" s="46">
        <v>8.8882234982647274E-2</v>
      </c>
      <c r="AT46" s="46">
        <v>705.61464953902191</v>
      </c>
      <c r="AU46" s="46">
        <v>181.02949201916158</v>
      </c>
      <c r="AV46" s="46">
        <v>99.604798039048049</v>
      </c>
      <c r="AW46" s="46">
        <v>278.12074764016967</v>
      </c>
      <c r="AX46" s="46">
        <v>3669.2503475272042</v>
      </c>
      <c r="AY46" s="48">
        <f>'Fluxos Energia'!L21</f>
        <v>315.88537937853448</v>
      </c>
      <c r="AZ46" s="46">
        <v>11.526444101193297</v>
      </c>
      <c r="BA46" s="46">
        <v>8.0967208861890239</v>
      </c>
      <c r="BB46" s="46">
        <v>115.34938975458087</v>
      </c>
      <c r="BC46" s="46">
        <v>255.11247467713582</v>
      </c>
      <c r="BD46" s="46">
        <v>350.9225077203759</v>
      </c>
      <c r="BE46" s="46">
        <v>20.97852137756318</v>
      </c>
      <c r="BF46" s="46">
        <v>71.731833997546161</v>
      </c>
      <c r="BG46" s="46">
        <v>326.84620129538564</v>
      </c>
      <c r="BH46" s="46">
        <v>123.48327725766521</v>
      </c>
      <c r="BI46" s="46">
        <v>418.54052636651534</v>
      </c>
      <c r="BJ46" s="46">
        <v>127.2719886937218</v>
      </c>
      <c r="BK46" s="46">
        <v>222.23551952040407</v>
      </c>
      <c r="BL46" s="46">
        <v>54.978845367364066</v>
      </c>
      <c r="BM46" s="46">
        <v>40.20660984178518</v>
      </c>
      <c r="BN46" s="46">
        <v>31.779413204633123</v>
      </c>
      <c r="BO46" s="46">
        <v>1363.2727716625741</v>
      </c>
      <c r="BP46" s="46">
        <v>18.58963394214252</v>
      </c>
      <c r="BQ46" s="46">
        <v>473.71504157564732</v>
      </c>
      <c r="BR46" s="46">
        <v>153.72295707852274</v>
      </c>
      <c r="BS46" s="46">
        <v>412.88237624392127</v>
      </c>
      <c r="BT46" s="46">
        <v>101.67510794586833</v>
      </c>
      <c r="BU46" s="46">
        <v>327.24696915959009</v>
      </c>
      <c r="BV46" s="46">
        <v>186.63241979049721</v>
      </c>
      <c r="BW46" s="46">
        <v>533.07785938852112</v>
      </c>
      <c r="BX46" s="46">
        <v>0</v>
      </c>
      <c r="BY46" s="46">
        <v>26830.65487042172</v>
      </c>
      <c r="BZ46" s="46">
        <v>0</v>
      </c>
      <c r="CA46" s="46">
        <v>0</v>
      </c>
      <c r="CB46" s="46">
        <v>0</v>
      </c>
      <c r="CC46" s="46">
        <v>6979.057831786</v>
      </c>
      <c r="CD46" s="46">
        <v>6.1148535336989696</v>
      </c>
      <c r="CE46" s="46">
        <v>668.92538538760505</v>
      </c>
      <c r="CF46" s="46">
        <v>7654.0980707073031</v>
      </c>
      <c r="CG46" s="46">
        <v>34484.752941129023</v>
      </c>
      <c r="CH46"/>
      <c r="CI46">
        <f t="shared" si="0"/>
        <v>0.22195600715986191</v>
      </c>
      <c r="CJ46"/>
      <c r="CK46"/>
      <c r="CL46"/>
      <c r="CM46"/>
      <c r="CN46"/>
      <c r="CO46"/>
      <c r="CP46"/>
      <c r="CQ46"/>
      <c r="CR46"/>
      <c r="CS46"/>
      <c r="CT46"/>
      <c r="CU46"/>
    </row>
    <row r="47" spans="1:99" s="18" customFormat="1" x14ac:dyDescent="0.3">
      <c r="A47" s="35" t="s">
        <v>51</v>
      </c>
      <c r="B47" s="4" t="s">
        <v>125</v>
      </c>
      <c r="C47" s="18">
        <v>42</v>
      </c>
      <c r="D47" s="46">
        <v>2.1140917685023908</v>
      </c>
      <c r="E47" s="46">
        <v>1.2134196489175375</v>
      </c>
      <c r="F47" s="46">
        <v>0.10864495942257006</v>
      </c>
      <c r="G47" s="46">
        <v>0.1519773584299916</v>
      </c>
      <c r="H47" s="46">
        <v>0.19472275347510684</v>
      </c>
      <c r="I47" s="46">
        <v>0.28765797874156102</v>
      </c>
      <c r="J47" s="46">
        <v>9.7766048925944718E-2</v>
      </c>
      <c r="K47" s="46">
        <v>0.45386221373432289</v>
      </c>
      <c r="L47" s="46">
        <v>4.8693555247294087E-2</v>
      </c>
      <c r="M47" s="46">
        <v>0.70205867100052566</v>
      </c>
      <c r="N47" s="46">
        <v>0.12925739537315478</v>
      </c>
      <c r="O47" s="46">
        <v>1.3660813130261081E-2</v>
      </c>
      <c r="P47" s="46">
        <v>0.30567924307621946</v>
      </c>
      <c r="Q47" s="46">
        <v>0.12478766008522055</v>
      </c>
      <c r="R47" s="46">
        <v>6.9926296055521656E-2</v>
      </c>
      <c r="S47" s="46">
        <v>0.17644551127634889</v>
      </c>
      <c r="T47" s="46">
        <v>0.39893559875776191</v>
      </c>
      <c r="U47" s="46">
        <v>3.8227025541392727E-2</v>
      </c>
      <c r="V47" s="46">
        <v>4.9649387249920178E-2</v>
      </c>
      <c r="W47" s="46">
        <v>1.2482045627834981E-3</v>
      </c>
      <c r="X47" s="46">
        <v>1.3554722007665964E-5</v>
      </c>
      <c r="Y47" s="46">
        <v>6.7787742612850976E-2</v>
      </c>
      <c r="Z47" s="46">
        <v>0.59821907206758762</v>
      </c>
      <c r="AA47" s="46">
        <v>0.10981400755719953</v>
      </c>
      <c r="AB47" s="46">
        <v>6.8236554158800256E-2</v>
      </c>
      <c r="AC47" s="46">
        <v>0.10189907168626587</v>
      </c>
      <c r="AD47" s="46">
        <v>0.38972656732607602</v>
      </c>
      <c r="AE47" s="46">
        <v>1.008438596509883</v>
      </c>
      <c r="AF47" s="46">
        <v>0.73898058396320909</v>
      </c>
      <c r="AG47" s="46">
        <v>0.62350639954471254</v>
      </c>
      <c r="AH47" s="46">
        <v>0.35355807304863207</v>
      </c>
      <c r="AI47" s="46">
        <v>8.4922891636711295E-2</v>
      </c>
      <c r="AJ47" s="46">
        <v>0.16114737985577476</v>
      </c>
      <c r="AK47" s="46">
        <v>0.19648170477553736</v>
      </c>
      <c r="AL47" s="46">
        <v>0.16855949222823208</v>
      </c>
      <c r="AM47" s="46">
        <v>0.35746092489849074</v>
      </c>
      <c r="AN47" s="46">
        <v>7.3893667626261456E-2</v>
      </c>
      <c r="AO47" s="46">
        <v>0.1480368016098797</v>
      </c>
      <c r="AP47" s="46">
        <v>8.7934444559198827E-2</v>
      </c>
      <c r="AQ47" s="46">
        <v>16645.383086888502</v>
      </c>
      <c r="AR47" s="46">
        <v>0.20782398995164733</v>
      </c>
      <c r="AS47" s="46">
        <v>2.7647368420133069E-2</v>
      </c>
      <c r="AT47" s="46">
        <v>1.0805067646843851</v>
      </c>
      <c r="AU47" s="46">
        <v>1.3287705438090009</v>
      </c>
      <c r="AV47" s="46">
        <v>0.41526764393622018</v>
      </c>
      <c r="AW47" s="46">
        <v>1.3202834066005704</v>
      </c>
      <c r="AX47" s="46">
        <v>15.351602225585239</v>
      </c>
      <c r="AY47" s="47">
        <v>0.31437856129634317</v>
      </c>
      <c r="AZ47" s="46">
        <v>3.544987174588593E-2</v>
      </c>
      <c r="BA47" s="46">
        <v>3.8255371596953712E-2</v>
      </c>
      <c r="BB47" s="46">
        <v>1.0927636755986576</v>
      </c>
      <c r="BC47" s="46">
        <v>0.68689011918802567</v>
      </c>
      <c r="BD47" s="46">
        <v>1.9254964466497269</v>
      </c>
      <c r="BE47" s="46">
        <v>7.5540548393522602E-2</v>
      </c>
      <c r="BF47" s="46">
        <v>0.22225649225220545</v>
      </c>
      <c r="BG47" s="46">
        <v>1.0349144805183543</v>
      </c>
      <c r="BH47" s="46">
        <v>0.63671621250046229</v>
      </c>
      <c r="BI47" s="46">
        <v>1.9172753678401568</v>
      </c>
      <c r="BJ47" s="46">
        <v>0.72645642258958343</v>
      </c>
      <c r="BK47" s="46">
        <v>1.6103736920188405</v>
      </c>
      <c r="BL47" s="46">
        <v>0.28202501419976095</v>
      </c>
      <c r="BM47" s="46">
        <v>0.3271418800214434</v>
      </c>
      <c r="BN47" s="46">
        <v>0.31819807204010597</v>
      </c>
      <c r="BO47" s="46">
        <v>2.9174939524490915</v>
      </c>
      <c r="BP47" s="46">
        <v>9.1885624623398957E-2</v>
      </c>
      <c r="BQ47" s="46">
        <v>2.2552452249922998</v>
      </c>
      <c r="BR47" s="46">
        <v>0.66347015475166826</v>
      </c>
      <c r="BS47" s="46">
        <v>1.7997554308709072</v>
      </c>
      <c r="BT47" s="46">
        <v>0.44691178520480601</v>
      </c>
      <c r="BU47" s="46">
        <v>1.1222598207278118</v>
      </c>
      <c r="BV47" s="46">
        <v>1.1954726632300301</v>
      </c>
      <c r="BW47" s="46">
        <v>1.7001468066787</v>
      </c>
      <c r="BX47" s="46">
        <v>0</v>
      </c>
      <c r="BY47" s="46">
        <v>16700.571092145357</v>
      </c>
      <c r="BZ47" s="46">
        <v>0</v>
      </c>
      <c r="CA47" s="46">
        <v>0</v>
      </c>
      <c r="CB47" s="46">
        <v>0</v>
      </c>
      <c r="CC47" s="46">
        <v>19.733519849987101</v>
      </c>
      <c r="CD47" s="46">
        <v>24.2059345392449</v>
      </c>
      <c r="CE47" s="46">
        <v>9.2252057330644703</v>
      </c>
      <c r="CF47" s="46">
        <v>53.164660122296482</v>
      </c>
      <c r="CG47" s="46">
        <v>16753.735752267654</v>
      </c>
      <c r="CH47"/>
      <c r="CI47">
        <f t="shared" si="0"/>
        <v>3.1733018180796204E-3</v>
      </c>
      <c r="CJ47"/>
      <c r="CK47"/>
      <c r="CL47"/>
      <c r="CM47"/>
      <c r="CN47"/>
      <c r="CO47"/>
      <c r="CP47"/>
      <c r="CQ47"/>
      <c r="CR47"/>
      <c r="CS47"/>
      <c r="CT47"/>
      <c r="CU47"/>
    </row>
    <row r="48" spans="1:99" s="18" customFormat="1" x14ac:dyDescent="0.3">
      <c r="A48" s="35" t="s">
        <v>52</v>
      </c>
      <c r="B48" s="4" t="s">
        <v>126</v>
      </c>
      <c r="C48" s="18">
        <v>43</v>
      </c>
      <c r="D48" s="46">
        <v>521.81884440368481</v>
      </c>
      <c r="E48" s="46">
        <v>299.38343174810808</v>
      </c>
      <c r="F48" s="46">
        <v>26.375641157672085</v>
      </c>
      <c r="G48" s="46">
        <v>222.35899791484294</v>
      </c>
      <c r="H48" s="46">
        <v>124.64050516210364</v>
      </c>
      <c r="I48" s="46">
        <v>420.04605321631823</v>
      </c>
      <c r="J48" s="46">
        <v>141.3595571129872</v>
      </c>
      <c r="K48" s="46">
        <v>519.34739635040523</v>
      </c>
      <c r="L48" s="46">
        <v>31.757555455318581</v>
      </c>
      <c r="M48" s="46">
        <v>1039.529371796581</v>
      </c>
      <c r="N48" s="46">
        <v>204.81090642455376</v>
      </c>
      <c r="O48" s="46">
        <v>15.978871574331789</v>
      </c>
      <c r="P48" s="46">
        <v>442.64807427367293</v>
      </c>
      <c r="Q48" s="46">
        <v>67.95582985819307</v>
      </c>
      <c r="R48" s="46">
        <v>89.795921323571989</v>
      </c>
      <c r="S48" s="46">
        <v>316.94613878766728</v>
      </c>
      <c r="T48" s="46">
        <v>753.03007667585541</v>
      </c>
      <c r="U48" s="46">
        <v>49.397585644490086</v>
      </c>
      <c r="V48" s="46">
        <v>22.319131437219447</v>
      </c>
      <c r="W48" s="46">
        <v>0.45692501861861456</v>
      </c>
      <c r="X48" s="46">
        <v>2.8617789902563241E-2</v>
      </c>
      <c r="Y48" s="46">
        <v>79.176542560397252</v>
      </c>
      <c r="Z48" s="46">
        <v>2551.5810357386217</v>
      </c>
      <c r="AA48" s="46">
        <v>388.32409738831029</v>
      </c>
      <c r="AB48" s="46">
        <v>120.10695926216833</v>
      </c>
      <c r="AC48" s="46">
        <v>170.33375745636798</v>
      </c>
      <c r="AD48" s="46">
        <v>1305.7145939516126</v>
      </c>
      <c r="AE48" s="46">
        <v>263.63484190803092</v>
      </c>
      <c r="AF48" s="46">
        <v>1804.7351374705336</v>
      </c>
      <c r="AG48" s="46">
        <v>576.36351450617769</v>
      </c>
      <c r="AH48" s="46">
        <v>269.6070084195224</v>
      </c>
      <c r="AI48" s="46">
        <v>35.74702752033749</v>
      </c>
      <c r="AJ48" s="46">
        <v>124.52314955857504</v>
      </c>
      <c r="AK48" s="46">
        <v>133.99114934874666</v>
      </c>
      <c r="AL48" s="46">
        <v>129.49633580856297</v>
      </c>
      <c r="AM48" s="46">
        <v>281.47073729641568</v>
      </c>
      <c r="AN48" s="46">
        <v>54.778669565608368</v>
      </c>
      <c r="AO48" s="46">
        <v>82.837970217174771</v>
      </c>
      <c r="AP48" s="46">
        <v>65.805057212278143</v>
      </c>
      <c r="AQ48" s="46">
        <v>8230.2788707269774</v>
      </c>
      <c r="AR48" s="46">
        <v>496.4710179174823</v>
      </c>
      <c r="AS48" s="46">
        <v>0.10289925566487136</v>
      </c>
      <c r="AT48" s="46">
        <v>698.16099711610798</v>
      </c>
      <c r="AU48" s="46">
        <v>351.25028049389886</v>
      </c>
      <c r="AV48" s="46">
        <v>46.310899070192555</v>
      </c>
      <c r="AW48" s="46">
        <v>129.61330996575714</v>
      </c>
      <c r="AX48" s="46">
        <v>1705.5087227755357</v>
      </c>
      <c r="AY48" s="48">
        <f>'Fluxos Energia'!L22</f>
        <v>0</v>
      </c>
      <c r="AZ48" s="46">
        <v>4.3409965979291956</v>
      </c>
      <c r="BA48" s="46">
        <v>3.081680454868656</v>
      </c>
      <c r="BB48" s="46">
        <v>115.57832172798365</v>
      </c>
      <c r="BC48" s="46">
        <v>117.74710619134743</v>
      </c>
      <c r="BD48" s="46">
        <v>164.10575946455157</v>
      </c>
      <c r="BE48" s="46">
        <v>9.7246253200549191</v>
      </c>
      <c r="BF48" s="46">
        <v>33.171278592186262</v>
      </c>
      <c r="BG48" s="46">
        <v>151.2081806653739</v>
      </c>
      <c r="BH48" s="46">
        <v>57.679251451756187</v>
      </c>
      <c r="BI48" s="46">
        <v>194.90167100174267</v>
      </c>
      <c r="BJ48" s="46">
        <v>59.578899526608964</v>
      </c>
      <c r="BK48" s="46">
        <v>104.77869212299335</v>
      </c>
      <c r="BL48" s="46">
        <v>25.835397529835245</v>
      </c>
      <c r="BM48" s="46">
        <v>19.034478989945264</v>
      </c>
      <c r="BN48" s="46">
        <v>15.181498160332605</v>
      </c>
      <c r="BO48" s="46">
        <v>627.58400535281521</v>
      </c>
      <c r="BP48" s="46">
        <v>8.6712270809647887</v>
      </c>
      <c r="BQ48" s="46">
        <v>449.38657747942591</v>
      </c>
      <c r="BR48" s="46">
        <v>145.78473232147695</v>
      </c>
      <c r="BS48" s="46">
        <v>192.06581076532112</v>
      </c>
      <c r="BT48" s="46">
        <v>96.429983490523171</v>
      </c>
      <c r="BU48" s="46">
        <v>151.56913404909545</v>
      </c>
      <c r="BV48" s="46">
        <v>87.650661730195651</v>
      </c>
      <c r="BW48" s="46">
        <v>246.61920882367775</v>
      </c>
      <c r="BX48" s="46">
        <v>0</v>
      </c>
      <c r="BY48" s="46">
        <v>30040.937561798513</v>
      </c>
      <c r="BZ48" s="46">
        <v>3.4783577584564198</v>
      </c>
      <c r="CA48" s="46">
        <v>0</v>
      </c>
      <c r="CB48" s="46">
        <v>0</v>
      </c>
      <c r="CC48" s="46">
        <v>2661.4744216102399</v>
      </c>
      <c r="CD48" s="46">
        <v>75.878454015630993</v>
      </c>
      <c r="CE48" s="46">
        <v>7377.3859042707199</v>
      </c>
      <c r="CF48" s="46">
        <v>10118.217137655047</v>
      </c>
      <c r="CG48" s="46">
        <v>40159.15469945356</v>
      </c>
      <c r="CH48"/>
      <c r="CI48">
        <f t="shared" si="0"/>
        <v>0.25195294107604121</v>
      </c>
      <c r="CJ48"/>
      <c r="CK48"/>
      <c r="CL48"/>
      <c r="CM48"/>
      <c r="CN48"/>
      <c r="CO48"/>
      <c r="CP48"/>
      <c r="CQ48"/>
      <c r="CR48"/>
      <c r="CS48"/>
      <c r="CT48"/>
      <c r="CU48"/>
    </row>
    <row r="49" spans="1:99" s="5" customFormat="1" x14ac:dyDescent="0.3">
      <c r="A49" s="35" t="s">
        <v>53</v>
      </c>
      <c r="B49" s="11" t="s">
        <v>127</v>
      </c>
      <c r="C49" s="5">
        <v>44</v>
      </c>
      <c r="D49" s="25">
        <v>11.385935985274436</v>
      </c>
      <c r="E49" s="25">
        <v>2.6792019065488377</v>
      </c>
      <c r="F49" s="25">
        <v>1.477176096947511</v>
      </c>
      <c r="G49" s="25">
        <v>27.466778099537997</v>
      </c>
      <c r="H49" s="25">
        <v>76.39341714586493</v>
      </c>
      <c r="I49" s="25">
        <v>276.98821854047941</v>
      </c>
      <c r="J49" s="25">
        <v>58.205986552434929</v>
      </c>
      <c r="K49" s="25">
        <v>185.26808359632767</v>
      </c>
      <c r="L49" s="25">
        <v>57.976760215508698</v>
      </c>
      <c r="M49" s="25">
        <v>355.73583064350282</v>
      </c>
      <c r="N49" s="25">
        <v>498.03067105678667</v>
      </c>
      <c r="O49" s="25">
        <v>1.152869068502594</v>
      </c>
      <c r="P49" s="25">
        <v>68.904850336306779</v>
      </c>
      <c r="Q49" s="25">
        <v>30.051704559662081</v>
      </c>
      <c r="R49" s="25">
        <v>25.257569020744263</v>
      </c>
      <c r="S49" s="25">
        <v>261.20949047728482</v>
      </c>
      <c r="T49" s="25">
        <v>342.45194239240118</v>
      </c>
      <c r="U49" s="25">
        <v>6.4445517898716611</v>
      </c>
      <c r="V49" s="25">
        <v>412.65920008026944</v>
      </c>
      <c r="W49" s="25">
        <v>10.63000086302589</v>
      </c>
      <c r="X49" s="25">
        <v>1.9108335777401728</v>
      </c>
      <c r="Y49" s="25">
        <v>33.482582879987305</v>
      </c>
      <c r="Z49" s="25">
        <v>701.73744945232147</v>
      </c>
      <c r="AA49" s="25">
        <v>472.51164491328899</v>
      </c>
      <c r="AB49" s="25">
        <v>142.9637987561735</v>
      </c>
      <c r="AC49" s="25">
        <v>84.158642888035033</v>
      </c>
      <c r="AD49" s="25">
        <v>535.38413341082946</v>
      </c>
      <c r="AE49" s="25">
        <v>692.40927836909123</v>
      </c>
      <c r="AF49" s="25">
        <v>4649.6417093644268</v>
      </c>
      <c r="AG49" s="25">
        <v>2358.9360126241581</v>
      </c>
      <c r="AH49" s="25">
        <v>175.02493561481899</v>
      </c>
      <c r="AI49" s="25">
        <v>19.434433703053454</v>
      </c>
      <c r="AJ49" s="25">
        <v>59.444772706659933</v>
      </c>
      <c r="AK49" s="25">
        <v>86.920770037207603</v>
      </c>
      <c r="AL49" s="25">
        <v>126.88606689578958</v>
      </c>
      <c r="AM49" s="25">
        <v>311.10131164303669</v>
      </c>
      <c r="AN49" s="25">
        <v>92.757888905697897</v>
      </c>
      <c r="AO49" s="25">
        <v>79.472996583448349</v>
      </c>
      <c r="AP49" s="25">
        <v>29.881987478666833</v>
      </c>
      <c r="AQ49" s="25">
        <v>67.031585055573885</v>
      </c>
      <c r="AR49" s="25">
        <v>10.949670316022512</v>
      </c>
      <c r="AS49" s="25">
        <v>7.845030172422657</v>
      </c>
      <c r="AT49" s="25">
        <v>1.1739003575789004</v>
      </c>
      <c r="AU49" s="25">
        <v>1062.6781449527298</v>
      </c>
      <c r="AV49" s="25">
        <v>277.72858696960748</v>
      </c>
      <c r="AW49" s="25">
        <v>429.16433058271144</v>
      </c>
      <c r="AX49" s="25">
        <v>4258.8786036149886</v>
      </c>
      <c r="AY49" s="40">
        <v>343.79743351162188</v>
      </c>
      <c r="AZ49" s="25">
        <v>9.7945590589226175</v>
      </c>
      <c r="BA49" s="25">
        <v>8.2109751469891457</v>
      </c>
      <c r="BB49" s="25">
        <v>809.59566521293823</v>
      </c>
      <c r="BC49" s="25">
        <v>445.84402458133093</v>
      </c>
      <c r="BD49" s="25">
        <v>1269.9302326013269</v>
      </c>
      <c r="BE49" s="25">
        <v>25.678695660313274</v>
      </c>
      <c r="BF49" s="25">
        <v>57.186367724128694</v>
      </c>
      <c r="BG49" s="25">
        <v>49.700454115368991</v>
      </c>
      <c r="BH49" s="25">
        <v>122.75778744682799</v>
      </c>
      <c r="BI49" s="25">
        <v>472.7688459856891</v>
      </c>
      <c r="BJ49" s="25">
        <v>432.01442194773057</v>
      </c>
      <c r="BK49" s="25">
        <v>606.85135544814943</v>
      </c>
      <c r="BL49" s="25">
        <v>73.331234477903976</v>
      </c>
      <c r="BM49" s="25">
        <v>39.840043899426355</v>
      </c>
      <c r="BN49" s="25">
        <v>52.186026759690435</v>
      </c>
      <c r="BO49" s="25">
        <v>5777.2928626361463</v>
      </c>
      <c r="BP49" s="25">
        <v>31.682272632844551</v>
      </c>
      <c r="BQ49" s="25">
        <v>10413.963511517219</v>
      </c>
      <c r="BR49" s="25">
        <v>1380.3932614420371</v>
      </c>
      <c r="BS49" s="25">
        <v>276.10958537336415</v>
      </c>
      <c r="BT49" s="25">
        <v>1532.3417178410789</v>
      </c>
      <c r="BU49" s="25">
        <v>2210.7472141368899</v>
      </c>
      <c r="BV49" s="25">
        <v>124.7403971501829</v>
      </c>
      <c r="BW49" s="25">
        <v>2031.1036862129154</v>
      </c>
      <c r="BX49" s="25">
        <v>0</v>
      </c>
      <c r="BY49" s="25">
        <v>48077.743972774399</v>
      </c>
      <c r="BZ49" s="25">
        <v>24.483588934090676</v>
      </c>
      <c r="CA49" s="25">
        <v>7.567895966005847E-2</v>
      </c>
      <c r="CB49" s="25">
        <v>0</v>
      </c>
      <c r="CC49" s="25">
        <v>33927.859585955033</v>
      </c>
      <c r="CD49" s="25">
        <v>34.004921992859849</v>
      </c>
      <c r="CE49" s="25">
        <v>155.82622566054073</v>
      </c>
      <c r="CF49" s="25">
        <v>34142.250001502187</v>
      </c>
      <c r="CG49" s="25">
        <v>82220</v>
      </c>
      <c r="CH49"/>
      <c r="CI49">
        <f t="shared" si="0"/>
        <v>0.4152548042021672</v>
      </c>
      <c r="CJ49"/>
      <c r="CK49"/>
      <c r="CL49"/>
      <c r="CM49"/>
      <c r="CN49"/>
      <c r="CO49"/>
      <c r="CP49"/>
      <c r="CQ49"/>
      <c r="CR49"/>
      <c r="CS49"/>
      <c r="CT49"/>
      <c r="CU49"/>
    </row>
    <row r="50" spans="1:99" s="5" customFormat="1" x14ac:dyDescent="0.3">
      <c r="A50" s="35" t="s">
        <v>54</v>
      </c>
      <c r="B50" s="13" t="s">
        <v>128</v>
      </c>
      <c r="C50" s="5">
        <v>45</v>
      </c>
      <c r="D50" s="25">
        <v>104.44437799575309</v>
      </c>
      <c r="E50" s="25">
        <v>188.15897807636571</v>
      </c>
      <c r="F50" s="25">
        <v>12.143414890044884</v>
      </c>
      <c r="G50" s="25">
        <v>6.7017627372241373</v>
      </c>
      <c r="H50" s="25">
        <v>2129.1012085362008</v>
      </c>
      <c r="I50" s="25">
        <v>1976.3194834801707</v>
      </c>
      <c r="J50" s="25">
        <v>297.8028543692983</v>
      </c>
      <c r="K50" s="25">
        <v>11.045395852960475</v>
      </c>
      <c r="L50" s="25">
        <v>8.5788605790336394</v>
      </c>
      <c r="M50" s="25">
        <v>26.166897952772889</v>
      </c>
      <c r="N50" s="25">
        <v>5.5606197568396496</v>
      </c>
      <c r="O50" s="25">
        <v>0.75902274958898563</v>
      </c>
      <c r="P50" s="25">
        <v>25.310311767506914</v>
      </c>
      <c r="Q50" s="25">
        <v>4.4915832145390713</v>
      </c>
      <c r="R50" s="25">
        <v>1.747297147881032</v>
      </c>
      <c r="S50" s="25">
        <v>2.1934295800055317</v>
      </c>
      <c r="T50" s="25">
        <v>36.091911312794949</v>
      </c>
      <c r="U50" s="25">
        <v>20.367000673598167</v>
      </c>
      <c r="V50" s="25">
        <v>33.996864112439361</v>
      </c>
      <c r="W50" s="25">
        <v>0.87185730741528222</v>
      </c>
      <c r="X50" s="25">
        <v>5.5708767566477633E-3</v>
      </c>
      <c r="Y50" s="25">
        <v>30.079174622546024</v>
      </c>
      <c r="Z50" s="25">
        <v>75.628418984406466</v>
      </c>
      <c r="AA50" s="25">
        <v>8.4548561744811295</v>
      </c>
      <c r="AB50" s="25">
        <v>2.7737366601298268</v>
      </c>
      <c r="AC50" s="25">
        <v>5.1263300538650238</v>
      </c>
      <c r="AD50" s="25">
        <v>13.091309114593802</v>
      </c>
      <c r="AE50" s="25">
        <v>29.82842117534112</v>
      </c>
      <c r="AF50" s="25">
        <v>140.4383482720915</v>
      </c>
      <c r="AG50" s="25">
        <v>1994.8901051356327</v>
      </c>
      <c r="AH50" s="25">
        <v>68.820009743395374</v>
      </c>
      <c r="AI50" s="25">
        <v>84.541967435014499</v>
      </c>
      <c r="AJ50" s="25">
        <v>13.950060352383382</v>
      </c>
      <c r="AK50" s="25">
        <v>78.407544094695751</v>
      </c>
      <c r="AL50" s="25">
        <v>276.34445370649644</v>
      </c>
      <c r="AM50" s="25">
        <v>40.157532101152768</v>
      </c>
      <c r="AN50" s="25">
        <v>200.37671608509396</v>
      </c>
      <c r="AO50" s="25">
        <v>21.959668456431778</v>
      </c>
      <c r="AP50" s="25">
        <v>7.8919568344397035</v>
      </c>
      <c r="AQ50" s="25">
        <v>16.786776535950032</v>
      </c>
      <c r="AR50" s="25">
        <v>2.7421351976833641</v>
      </c>
      <c r="AS50" s="25">
        <v>1.9646375408408165</v>
      </c>
      <c r="AT50" s="25">
        <v>1.1312394354986428</v>
      </c>
      <c r="AU50" s="25">
        <v>4766.0306906556561</v>
      </c>
      <c r="AV50" s="25">
        <v>57477.263457093395</v>
      </c>
      <c r="AW50" s="25">
        <v>536.31096736743245</v>
      </c>
      <c r="AX50" s="25">
        <v>1171.2009835576889</v>
      </c>
      <c r="AY50" s="40">
        <v>314.30678974316061</v>
      </c>
      <c r="AZ50" s="25">
        <v>18.552863362263849</v>
      </c>
      <c r="BA50" s="25">
        <v>33.163819075336576</v>
      </c>
      <c r="BB50" s="25">
        <v>1570.886932558853</v>
      </c>
      <c r="BC50" s="25">
        <v>302.024184243224</v>
      </c>
      <c r="BD50" s="25">
        <v>546.24782075340784</v>
      </c>
      <c r="BE50" s="25">
        <v>15.626072307322612</v>
      </c>
      <c r="BF50" s="25">
        <v>234.13783300186475</v>
      </c>
      <c r="BG50" s="25">
        <v>4200.0960474358781</v>
      </c>
      <c r="BH50" s="25">
        <v>902.15740920408973</v>
      </c>
      <c r="BI50" s="25">
        <v>1220.1516136015259</v>
      </c>
      <c r="BJ50" s="25">
        <v>1941.8476114544337</v>
      </c>
      <c r="BK50" s="25">
        <v>323.17734658713493</v>
      </c>
      <c r="BL50" s="25">
        <v>688.46328546029667</v>
      </c>
      <c r="BM50" s="25">
        <v>17.059034159374335</v>
      </c>
      <c r="BN50" s="25">
        <v>213.38180308225006</v>
      </c>
      <c r="BO50" s="25">
        <v>3273.4101162213587</v>
      </c>
      <c r="BP50" s="25">
        <v>14.270600698343774</v>
      </c>
      <c r="BQ50" s="25">
        <v>15438.557869050681</v>
      </c>
      <c r="BR50" s="25">
        <v>1371.6160086401294</v>
      </c>
      <c r="BS50" s="25">
        <v>457.95439779208516</v>
      </c>
      <c r="BT50" s="25">
        <v>3510.4327797310111</v>
      </c>
      <c r="BU50" s="25">
        <v>33.634583103201265</v>
      </c>
      <c r="BV50" s="25">
        <v>149.18486688961508</v>
      </c>
      <c r="BW50" s="25">
        <v>352.21458555372539</v>
      </c>
      <c r="BX50" s="25">
        <v>0</v>
      </c>
      <c r="BY50" s="25">
        <v>109100.60647306612</v>
      </c>
      <c r="BZ50" s="25">
        <v>3991.5566844752116</v>
      </c>
      <c r="CA50" s="25">
        <v>0</v>
      </c>
      <c r="CB50" s="25">
        <v>0</v>
      </c>
      <c r="CC50" s="25">
        <v>963.46863162834723</v>
      </c>
      <c r="CD50" s="25">
        <v>438017.36821087886</v>
      </c>
      <c r="CE50" s="25">
        <v>0</v>
      </c>
      <c r="CF50" s="25">
        <v>442972.39352698246</v>
      </c>
      <c r="CG50" s="25">
        <v>552073</v>
      </c>
      <c r="CH50"/>
      <c r="CI50">
        <f t="shared" si="0"/>
        <v>0.80238010829542916</v>
      </c>
      <c r="CJ50"/>
      <c r="CK50"/>
      <c r="CL50"/>
      <c r="CM50"/>
      <c r="CN50"/>
      <c r="CO50"/>
      <c r="CP50"/>
      <c r="CQ50"/>
      <c r="CR50"/>
      <c r="CS50"/>
      <c r="CT50"/>
      <c r="CU50"/>
    </row>
    <row r="51" spans="1:99" s="5" customFormat="1" x14ac:dyDescent="0.3">
      <c r="A51" s="35" t="s">
        <v>55</v>
      </c>
      <c r="B51" s="11" t="s">
        <v>129</v>
      </c>
      <c r="C51" s="5">
        <v>46</v>
      </c>
      <c r="D51" s="25">
        <v>213.37480103832794</v>
      </c>
      <c r="E51" s="25">
        <v>44.765363093675312</v>
      </c>
      <c r="F51" s="25">
        <v>20.017807714492882</v>
      </c>
      <c r="G51" s="25">
        <v>61.762281315343984</v>
      </c>
      <c r="H51" s="25">
        <v>200.03361236079127</v>
      </c>
      <c r="I51" s="25">
        <v>1188.7545472264649</v>
      </c>
      <c r="J51" s="25">
        <v>87.962170525103176</v>
      </c>
      <c r="K51" s="25">
        <v>26.83165522550852</v>
      </c>
      <c r="L51" s="25">
        <v>21.104617555213629</v>
      </c>
      <c r="M51" s="25">
        <v>45.302600211638676</v>
      </c>
      <c r="N51" s="25">
        <v>41.953652935806936</v>
      </c>
      <c r="O51" s="25">
        <v>0.55653701350820239</v>
      </c>
      <c r="P51" s="25">
        <v>5.0787063910581844</v>
      </c>
      <c r="Q51" s="25">
        <v>1.7204557394325104</v>
      </c>
      <c r="R51" s="25">
        <v>5.1833937244737598</v>
      </c>
      <c r="S51" s="25">
        <v>2.1249755801720234</v>
      </c>
      <c r="T51" s="25">
        <v>11.237133882404294</v>
      </c>
      <c r="U51" s="25">
        <v>1.3627497741262395</v>
      </c>
      <c r="V51" s="25">
        <v>8.0836759866511194</v>
      </c>
      <c r="W51" s="25">
        <v>0.20730790379976882</v>
      </c>
      <c r="X51" s="25">
        <v>1.3322615398619008E-3</v>
      </c>
      <c r="Y51" s="25">
        <v>9.5977519962707216</v>
      </c>
      <c r="Z51" s="25">
        <v>8.2785612285069607</v>
      </c>
      <c r="AA51" s="25">
        <v>18.52958757181959</v>
      </c>
      <c r="AB51" s="25">
        <v>2.8651066338464566</v>
      </c>
      <c r="AC51" s="25">
        <v>53.26247082751614</v>
      </c>
      <c r="AD51" s="25">
        <v>242.92391132263256</v>
      </c>
      <c r="AE51" s="25">
        <v>322.63818096142745</v>
      </c>
      <c r="AF51" s="25">
        <v>22.299600349084447</v>
      </c>
      <c r="AG51" s="25">
        <v>59.935414824624345</v>
      </c>
      <c r="AH51" s="25">
        <v>8.9730046844383899</v>
      </c>
      <c r="AI51" s="25">
        <v>564.6815077901415</v>
      </c>
      <c r="AJ51" s="25">
        <v>34.453139461017706</v>
      </c>
      <c r="AK51" s="25">
        <v>2581.1766351062402</v>
      </c>
      <c r="AL51" s="25">
        <v>14341.55838378254</v>
      </c>
      <c r="AM51" s="25">
        <v>3300.3373134390467</v>
      </c>
      <c r="AN51" s="25">
        <v>983.16666526052234</v>
      </c>
      <c r="AO51" s="25">
        <v>52.330694355244297</v>
      </c>
      <c r="AP51" s="25">
        <v>301.31336943600428</v>
      </c>
      <c r="AQ51" s="25">
        <v>307.70658297023147</v>
      </c>
      <c r="AR51" s="25">
        <v>50.264149875025154</v>
      </c>
      <c r="AS51" s="25">
        <v>36.012387677438824</v>
      </c>
      <c r="AT51" s="25">
        <v>20.778222294571197</v>
      </c>
      <c r="AU51" s="25">
        <v>785.35759982255843</v>
      </c>
      <c r="AV51" s="25">
        <v>473.88532155061534</v>
      </c>
      <c r="AW51" s="25">
        <v>6440.170059070414</v>
      </c>
      <c r="AX51" s="25">
        <v>3989.5370378023049</v>
      </c>
      <c r="AY51" s="40">
        <v>10881.125533085664</v>
      </c>
      <c r="AZ51" s="25">
        <v>16.998841306626257</v>
      </c>
      <c r="BA51" s="25">
        <v>37.881388843951967</v>
      </c>
      <c r="BB51" s="25">
        <v>468.52787033164481</v>
      </c>
      <c r="BC51" s="25">
        <v>0.85423412175968472</v>
      </c>
      <c r="BD51" s="25">
        <v>127.65474750974724</v>
      </c>
      <c r="BE51" s="25">
        <v>7.9318225706842913</v>
      </c>
      <c r="BF51" s="25">
        <v>63.957248925881871</v>
      </c>
      <c r="BG51" s="25">
        <v>42.991332419774345</v>
      </c>
      <c r="BH51" s="25">
        <v>17.659687764729792</v>
      </c>
      <c r="BI51" s="25">
        <v>105.19948954504332</v>
      </c>
      <c r="BJ51" s="25">
        <v>25.894499030955213</v>
      </c>
      <c r="BK51" s="25">
        <v>4.5107129366356569</v>
      </c>
      <c r="BL51" s="25">
        <v>104.63291894372357</v>
      </c>
      <c r="BM51" s="25">
        <v>24.997551249211742</v>
      </c>
      <c r="BN51" s="25">
        <v>985.30411581027749</v>
      </c>
      <c r="BO51" s="25">
        <v>69.08566996402034</v>
      </c>
      <c r="BP51" s="25">
        <v>169.90306121994516</v>
      </c>
      <c r="BQ51" s="25">
        <v>2105.9906583047068</v>
      </c>
      <c r="BR51" s="25">
        <v>386.81705052489747</v>
      </c>
      <c r="BS51" s="25">
        <v>10.290896307426587</v>
      </c>
      <c r="BT51" s="25">
        <v>1115.0396035565848</v>
      </c>
      <c r="BU51" s="25">
        <v>756.98635480200608</v>
      </c>
      <c r="BV51" s="25">
        <v>48.775690198333443</v>
      </c>
      <c r="BW51" s="25">
        <v>56.266082128551538</v>
      </c>
      <c r="BX51" s="25">
        <v>0</v>
      </c>
      <c r="BY51" s="25">
        <v>54634.729098956406</v>
      </c>
      <c r="BZ51" s="25">
        <v>13664.824970330388</v>
      </c>
      <c r="CA51" s="25">
        <v>0.20101334499748616</v>
      </c>
      <c r="CB51" s="25">
        <v>0</v>
      </c>
      <c r="CC51" s="25">
        <v>83335.689843752582</v>
      </c>
      <c r="CD51" s="25">
        <v>23505.118287990615</v>
      </c>
      <c r="CE51" s="25">
        <v>-47.563214374699541</v>
      </c>
      <c r="CF51" s="25">
        <v>120458.2709010439</v>
      </c>
      <c r="CG51" s="25">
        <v>175093</v>
      </c>
      <c r="CH51"/>
      <c r="CI51">
        <f t="shared" si="0"/>
        <v>0.68796737106020167</v>
      </c>
      <c r="CJ51"/>
      <c r="CK51"/>
      <c r="CL51"/>
      <c r="CM51"/>
      <c r="CN51"/>
      <c r="CO51"/>
      <c r="CP51"/>
      <c r="CQ51"/>
      <c r="CR51"/>
      <c r="CS51"/>
      <c r="CT51"/>
      <c r="CU51"/>
    </row>
    <row r="52" spans="1:99" s="5" customFormat="1" x14ac:dyDescent="0.3">
      <c r="A52" s="35" t="s">
        <v>56</v>
      </c>
      <c r="B52" s="11" t="s">
        <v>130</v>
      </c>
      <c r="C52" s="5">
        <v>47</v>
      </c>
      <c r="D52" s="25">
        <v>20065.541706563621</v>
      </c>
      <c r="E52" s="25">
        <v>10578.299785838793</v>
      </c>
      <c r="F52" s="25">
        <v>921.82921251614709</v>
      </c>
      <c r="G52" s="25">
        <v>706.51262849657394</v>
      </c>
      <c r="H52" s="25">
        <v>5517.4566938904163</v>
      </c>
      <c r="I52" s="25">
        <v>2970.1372374260145</v>
      </c>
      <c r="J52" s="25">
        <v>754.48005385188662</v>
      </c>
      <c r="K52" s="25">
        <v>33868.094291948582</v>
      </c>
      <c r="L52" s="25">
        <v>822.1010947530882</v>
      </c>
      <c r="M52" s="25">
        <v>33523.526065624763</v>
      </c>
      <c r="N52" s="25">
        <v>6301.9199192604456</v>
      </c>
      <c r="O52" s="25">
        <v>2229.3668409412026</v>
      </c>
      <c r="P52" s="25">
        <v>5179.4487849168536</v>
      </c>
      <c r="Q52" s="25">
        <v>6931.9009539894305</v>
      </c>
      <c r="R52" s="25">
        <v>5598.3531478971108</v>
      </c>
      <c r="S52" s="25">
        <v>2431.9729433450375</v>
      </c>
      <c r="T52" s="25">
        <v>7897.9729107214971</v>
      </c>
      <c r="U52" s="25">
        <v>1623.316593676898</v>
      </c>
      <c r="V52" s="25">
        <v>22262.355117920535</v>
      </c>
      <c r="W52" s="25">
        <v>567.16528087012659</v>
      </c>
      <c r="X52" s="25">
        <v>67.456585823462035</v>
      </c>
      <c r="Y52" s="25">
        <v>2076.0696515024588</v>
      </c>
      <c r="Z52" s="25">
        <v>10203.639387131579</v>
      </c>
      <c r="AA52" s="25">
        <v>6324.7889013458134</v>
      </c>
      <c r="AB52" s="25">
        <v>4149.2998470587772</v>
      </c>
      <c r="AC52" s="25">
        <v>4998.2658447644781</v>
      </c>
      <c r="AD52" s="25">
        <v>9399.1905089403172</v>
      </c>
      <c r="AE52" s="25">
        <v>6500.766194258531</v>
      </c>
      <c r="AF52" s="25">
        <v>7645.9370009666663</v>
      </c>
      <c r="AG52" s="25">
        <v>4695.2800829161752</v>
      </c>
      <c r="AH52" s="25">
        <v>7185.1642708040781</v>
      </c>
      <c r="AI52" s="25">
        <v>11261.649944928764</v>
      </c>
      <c r="AJ52" s="25">
        <v>7021.0688273661181</v>
      </c>
      <c r="AK52" s="25">
        <v>12401.701450999752</v>
      </c>
      <c r="AL52" s="25">
        <v>5613.1896610773765</v>
      </c>
      <c r="AM52" s="25">
        <v>5033.881228588315</v>
      </c>
      <c r="AN52" s="25">
        <v>1692.0256145105111</v>
      </c>
      <c r="AO52" s="25">
        <v>6771.1089491394687</v>
      </c>
      <c r="AP52" s="25">
        <v>6343.2247555907634</v>
      </c>
      <c r="AQ52" s="25">
        <v>3470.2671279758006</v>
      </c>
      <c r="AR52" s="25">
        <v>566.2875932681585</v>
      </c>
      <c r="AS52" s="25">
        <v>405.72392841422777</v>
      </c>
      <c r="AT52" s="25">
        <v>241.06616049123929</v>
      </c>
      <c r="AU52" s="25">
        <v>1369.5878911629823</v>
      </c>
      <c r="AV52" s="25">
        <v>32538.159260872741</v>
      </c>
      <c r="AW52" s="25">
        <v>1957.5111608912059</v>
      </c>
      <c r="AX52" s="25">
        <v>23303.721000672413</v>
      </c>
      <c r="AY52" s="40">
        <v>11823.040499430528</v>
      </c>
      <c r="AZ52" s="25">
        <v>459.20876514324829</v>
      </c>
      <c r="BA52" s="25">
        <v>1240.7376323839374</v>
      </c>
      <c r="BB52" s="25">
        <v>1360.3615475100489</v>
      </c>
      <c r="BC52" s="25">
        <v>1200.16428329731</v>
      </c>
      <c r="BD52" s="25">
        <v>24860.589492552768</v>
      </c>
      <c r="BE52" s="25">
        <v>1464.6658423432182</v>
      </c>
      <c r="BF52" s="25">
        <v>1272.1645866824017</v>
      </c>
      <c r="BG52" s="25">
        <v>4607.3854476909264</v>
      </c>
      <c r="BH52" s="25">
        <v>3117.9396059135042</v>
      </c>
      <c r="BI52" s="25">
        <v>3851.8159122881866</v>
      </c>
      <c r="BJ52" s="25">
        <v>2039.0853134722138</v>
      </c>
      <c r="BK52" s="25">
        <v>2754.8220399539814</v>
      </c>
      <c r="BL52" s="25">
        <v>1662.6058618047957</v>
      </c>
      <c r="BM52" s="25">
        <v>3375.4601037459565</v>
      </c>
      <c r="BN52" s="25">
        <v>1110.7929290398056</v>
      </c>
      <c r="BO52" s="25">
        <v>6017.6210691162396</v>
      </c>
      <c r="BP52" s="25">
        <v>460.41962990087433</v>
      </c>
      <c r="BQ52" s="25">
        <v>7320.3861655476358</v>
      </c>
      <c r="BR52" s="25">
        <v>5232.9747963414893</v>
      </c>
      <c r="BS52" s="25">
        <v>1673.3487107260698</v>
      </c>
      <c r="BT52" s="25">
        <v>7300.7418781253546</v>
      </c>
      <c r="BU52" s="25">
        <v>19050.647809622886</v>
      </c>
      <c r="BV52" s="25">
        <v>758.17377742172118</v>
      </c>
      <c r="BW52" s="25">
        <v>4810.0605338152945</v>
      </c>
      <c r="BX52" s="25">
        <v>0</v>
      </c>
      <c r="BY52" s="25">
        <v>472812.99832978169</v>
      </c>
      <c r="BZ52" s="25">
        <v>83853.490913122063</v>
      </c>
      <c r="CA52" s="25">
        <v>2765.5801388253753</v>
      </c>
      <c r="CB52" s="25">
        <v>2.4717411121239743</v>
      </c>
      <c r="CC52" s="25">
        <v>503799.2473376143</v>
      </c>
      <c r="CD52" s="25">
        <v>55581.557027372633</v>
      </c>
      <c r="CE52" s="25">
        <v>1763.6545121717481</v>
      </c>
      <c r="CF52" s="25">
        <v>647766.00167021831</v>
      </c>
      <c r="CG52" s="25">
        <v>1120579</v>
      </c>
      <c r="CH52"/>
      <c r="CI52">
        <f t="shared" si="0"/>
        <v>0.57806366322251113</v>
      </c>
      <c r="CJ52"/>
      <c r="CK52"/>
      <c r="CL52"/>
      <c r="CM52"/>
      <c r="CN52"/>
      <c r="CO52"/>
      <c r="CP52"/>
      <c r="CQ52"/>
      <c r="CR52"/>
      <c r="CS52"/>
      <c r="CT52"/>
      <c r="CU52"/>
    </row>
    <row r="53" spans="1:99" s="5" customFormat="1" x14ac:dyDescent="0.3">
      <c r="A53" s="36" t="s">
        <v>57</v>
      </c>
      <c r="B53" s="37" t="s">
        <v>131</v>
      </c>
      <c r="C53" s="65">
        <v>48</v>
      </c>
      <c r="D53" s="40">
        <v>7307.3660232477596</v>
      </c>
      <c r="E53" s="40">
        <v>2201.7665120681136</v>
      </c>
      <c r="F53" s="40">
        <v>759.10340752990169</v>
      </c>
      <c r="G53" s="40">
        <v>912.95436208083402</v>
      </c>
      <c r="H53" s="40">
        <v>6475.7006601466092</v>
      </c>
      <c r="I53" s="40">
        <v>3552.9980438873413</v>
      </c>
      <c r="J53" s="40">
        <v>781.7960738524331</v>
      </c>
      <c r="K53" s="40">
        <v>13074.053973132557</v>
      </c>
      <c r="L53" s="40">
        <v>3165.556141587002</v>
      </c>
      <c r="M53" s="40">
        <v>19108.959591359398</v>
      </c>
      <c r="N53" s="40">
        <v>3878.9551326853975</v>
      </c>
      <c r="O53" s="40">
        <v>300.63614987092728</v>
      </c>
      <c r="P53" s="40">
        <v>1315.00911060158</v>
      </c>
      <c r="Q53" s="40">
        <v>1051.8336654525804</v>
      </c>
      <c r="R53" s="40">
        <v>1211.3050703596639</v>
      </c>
      <c r="S53" s="40">
        <v>1569.2350687456862</v>
      </c>
      <c r="T53" s="40">
        <v>4157.8348546183315</v>
      </c>
      <c r="U53" s="40">
        <v>362.96299434351118</v>
      </c>
      <c r="V53" s="40">
        <v>5179.9924896021985</v>
      </c>
      <c r="W53" s="40">
        <v>131.32714249839793</v>
      </c>
      <c r="X53" s="40">
        <v>1.2085581841205741</v>
      </c>
      <c r="Y53" s="40">
        <v>2459.0715608331079</v>
      </c>
      <c r="Z53" s="40">
        <v>7156.4766755123464</v>
      </c>
      <c r="AA53" s="40">
        <v>2644.5351018205947</v>
      </c>
      <c r="AB53" s="40">
        <v>1989.3038032327186</v>
      </c>
      <c r="AC53" s="40">
        <v>3369.966023381889</v>
      </c>
      <c r="AD53" s="40">
        <v>3931.0659008956814</v>
      </c>
      <c r="AE53" s="40">
        <v>3424.3341707904519</v>
      </c>
      <c r="AF53" s="40">
        <v>7094.8221607334444</v>
      </c>
      <c r="AG53" s="40">
        <v>1499.330712084917</v>
      </c>
      <c r="AH53" s="40">
        <v>3232.6086077441591</v>
      </c>
      <c r="AI53" s="40">
        <v>2218.7861598598147</v>
      </c>
      <c r="AJ53" s="40">
        <v>1900.3046112759368</v>
      </c>
      <c r="AK53" s="40">
        <v>2935.6551544705976</v>
      </c>
      <c r="AL53" s="40">
        <v>5758.2056320100082</v>
      </c>
      <c r="AM53" s="40">
        <v>2546.4417560488491</v>
      </c>
      <c r="AN53" s="40">
        <v>772.23847171810689</v>
      </c>
      <c r="AO53" s="40">
        <v>1818.4498348962331</v>
      </c>
      <c r="AP53" s="40">
        <v>694.19440831480495</v>
      </c>
      <c r="AQ53" s="40">
        <v>3289.3868614696476</v>
      </c>
      <c r="AR53" s="40">
        <v>537.32433217993366</v>
      </c>
      <c r="AS53" s="40">
        <v>384.97283266695285</v>
      </c>
      <c r="AT53" s="40">
        <v>639.87315691344418</v>
      </c>
      <c r="AU53" s="40">
        <v>502.70007673407656</v>
      </c>
      <c r="AV53" s="40">
        <v>5229.3343750739723</v>
      </c>
      <c r="AW53" s="40">
        <v>1827.7701448998821</v>
      </c>
      <c r="AX53" s="40">
        <v>45681.213222787577</v>
      </c>
      <c r="AY53" s="40">
        <v>42845.105908360987</v>
      </c>
      <c r="AZ53" s="40">
        <v>286.10225480011775</v>
      </c>
      <c r="BA53" s="40">
        <v>351.73585615243695</v>
      </c>
      <c r="BB53" s="40">
        <v>5689.8904157816396</v>
      </c>
      <c r="BC53" s="40">
        <v>159.70357458075645</v>
      </c>
      <c r="BD53" s="40">
        <v>2928.6506095261602</v>
      </c>
      <c r="BE53" s="40">
        <v>432.91400896660303</v>
      </c>
      <c r="BF53" s="40">
        <v>501.40469538133152</v>
      </c>
      <c r="BG53" s="40">
        <v>642.82359557461996</v>
      </c>
      <c r="BH53" s="40">
        <v>779.7681183094694</v>
      </c>
      <c r="BI53" s="40">
        <v>2072.0931144338556</v>
      </c>
      <c r="BJ53" s="40">
        <v>359.99090184204476</v>
      </c>
      <c r="BK53" s="40">
        <v>1279.8994913363929</v>
      </c>
      <c r="BL53" s="40">
        <v>1038.5243666643423</v>
      </c>
      <c r="BM53" s="40">
        <v>445.46072578398775</v>
      </c>
      <c r="BN53" s="40">
        <v>596.29321067965964</v>
      </c>
      <c r="BO53" s="40">
        <v>897.37588982598277</v>
      </c>
      <c r="BP53" s="40">
        <v>146.71538069477421</v>
      </c>
      <c r="BQ53" s="40">
        <v>4091.6499007281814</v>
      </c>
      <c r="BR53" s="40">
        <v>2338.8551006309112</v>
      </c>
      <c r="BS53" s="40">
        <v>1558.6124707310425</v>
      </c>
      <c r="BT53" s="40">
        <v>1497.2123866294062</v>
      </c>
      <c r="BU53" s="40">
        <v>615.04952014553612</v>
      </c>
      <c r="BV53" s="40">
        <v>325.60879577067749</v>
      </c>
      <c r="BW53" s="40">
        <v>2457.6103397295406</v>
      </c>
      <c r="BX53" s="40">
        <v>0</v>
      </c>
      <c r="BY53" s="40">
        <v>264377.97140726389</v>
      </c>
      <c r="BZ53" s="40">
        <v>16374.593619082512</v>
      </c>
      <c r="CA53" s="40">
        <v>89.02712311319813</v>
      </c>
      <c r="CB53" s="40">
        <v>0</v>
      </c>
      <c r="CC53" s="40">
        <v>113227.29825149941</v>
      </c>
      <c r="CD53" s="40">
        <v>4736.7297729722841</v>
      </c>
      <c r="CE53" s="40">
        <v>7.4247544151011349</v>
      </c>
      <c r="CF53" s="40">
        <v>134435.07352108249</v>
      </c>
      <c r="CG53" s="40">
        <v>398813</v>
      </c>
      <c r="CH53"/>
      <c r="CI53">
        <f t="shared" si="0"/>
        <v>0.3370879924202132</v>
      </c>
      <c r="CJ53"/>
      <c r="CK53"/>
      <c r="CL53"/>
      <c r="CM53"/>
      <c r="CN53"/>
      <c r="CO53"/>
      <c r="CP53"/>
      <c r="CQ53"/>
      <c r="CR53"/>
      <c r="CS53"/>
      <c r="CT53"/>
      <c r="CU53"/>
    </row>
    <row r="54" spans="1:99" s="5" customFormat="1" x14ac:dyDescent="0.3">
      <c r="A54" s="35" t="s">
        <v>58</v>
      </c>
      <c r="B54" s="11" t="s">
        <v>132</v>
      </c>
      <c r="C54" s="5">
        <v>49</v>
      </c>
      <c r="D54" s="25">
        <v>39.738558740146246</v>
      </c>
      <c r="E54" s="25">
        <v>30.188918246216822</v>
      </c>
      <c r="F54" s="25">
        <v>2.6028833823347202</v>
      </c>
      <c r="G54" s="25">
        <v>2.5855371349157599</v>
      </c>
      <c r="H54" s="25">
        <v>6014.8755587431851</v>
      </c>
      <c r="I54" s="25">
        <v>6.5371674912135287</v>
      </c>
      <c r="J54" s="25">
        <v>12.379639175879493</v>
      </c>
      <c r="K54" s="25">
        <v>1215.6784063633283</v>
      </c>
      <c r="L54" s="25">
        <v>99.638254040825615</v>
      </c>
      <c r="M54" s="25">
        <v>529.87292202419474</v>
      </c>
      <c r="N54" s="25">
        <v>15.88119763356746</v>
      </c>
      <c r="O54" s="25">
        <v>4.1122728787308764</v>
      </c>
      <c r="P54" s="25">
        <v>17.862456136156563</v>
      </c>
      <c r="Q54" s="25">
        <v>18.671242358527557</v>
      </c>
      <c r="R54" s="25">
        <v>10.956892188280534</v>
      </c>
      <c r="S54" s="25">
        <v>168.8246464021579</v>
      </c>
      <c r="T54" s="25">
        <v>1369.3082061469966</v>
      </c>
      <c r="U54" s="25">
        <v>15.165712719845541</v>
      </c>
      <c r="V54" s="25">
        <v>101.21961418139165</v>
      </c>
      <c r="W54" s="25">
        <v>2.5958000121991187</v>
      </c>
      <c r="X54" s="25">
        <v>1.6586294373946282E-2</v>
      </c>
      <c r="Y54" s="25">
        <v>38.12868923004001</v>
      </c>
      <c r="Z54" s="25">
        <v>681.41859492518847</v>
      </c>
      <c r="AA54" s="25">
        <v>22.967492923394623</v>
      </c>
      <c r="AB54" s="25">
        <v>44.625488462328235</v>
      </c>
      <c r="AC54" s="25">
        <v>7.3439862481081155</v>
      </c>
      <c r="AD54" s="25">
        <v>61.018072297882867</v>
      </c>
      <c r="AE54" s="25">
        <v>117.53425250062286</v>
      </c>
      <c r="AF54" s="25">
        <v>364.35022320822014</v>
      </c>
      <c r="AG54" s="25">
        <v>29.901182597955984</v>
      </c>
      <c r="AH54" s="25">
        <v>46.359125724543944</v>
      </c>
      <c r="AI54" s="25">
        <v>47.513142873108485</v>
      </c>
      <c r="AJ54" s="25">
        <v>46.656802865813631</v>
      </c>
      <c r="AK54" s="25">
        <v>252.53357961632307</v>
      </c>
      <c r="AL54" s="25">
        <v>200.58448276321442</v>
      </c>
      <c r="AM54" s="25">
        <v>87.17513606303028</v>
      </c>
      <c r="AN54" s="25">
        <v>92.291004147773691</v>
      </c>
      <c r="AO54" s="25">
        <v>11.271709712572363</v>
      </c>
      <c r="AP54" s="25">
        <v>19.772229527510056</v>
      </c>
      <c r="AQ54" s="25">
        <v>10.425441832857267</v>
      </c>
      <c r="AR54" s="25">
        <v>1.7030053947555313</v>
      </c>
      <c r="AS54" s="25">
        <v>1.2201398142650921</v>
      </c>
      <c r="AT54" s="25">
        <v>1.9369097344608115</v>
      </c>
      <c r="AU54" s="25">
        <v>3.9900222023776273</v>
      </c>
      <c r="AV54" s="25">
        <v>85.468364875685026</v>
      </c>
      <c r="AW54" s="25">
        <v>17.570055112240993</v>
      </c>
      <c r="AX54" s="25">
        <v>974.42611412135864</v>
      </c>
      <c r="AY54" s="40">
        <v>662.32474817511718</v>
      </c>
      <c r="AZ54" s="25">
        <v>942.87093059620565</v>
      </c>
      <c r="BA54" s="25">
        <v>4.0695481146660315</v>
      </c>
      <c r="BB54" s="25">
        <v>56.843633095432182</v>
      </c>
      <c r="BC54" s="25">
        <v>4.3362899842979017</v>
      </c>
      <c r="BD54" s="25">
        <v>66.858184593534176</v>
      </c>
      <c r="BE54" s="25">
        <v>1.4128613280297491</v>
      </c>
      <c r="BF54" s="25">
        <v>3.4855759526679879</v>
      </c>
      <c r="BG54" s="25">
        <v>6.1442029474498181</v>
      </c>
      <c r="BH54" s="25">
        <v>19.801372660073508</v>
      </c>
      <c r="BI54" s="25">
        <v>14.746732686413331</v>
      </c>
      <c r="BJ54" s="25">
        <v>9.2220012855881137</v>
      </c>
      <c r="BK54" s="25">
        <v>15.018517159942935</v>
      </c>
      <c r="BL54" s="25">
        <v>5.1919710583971082</v>
      </c>
      <c r="BM54" s="25">
        <v>4.4003647920266644</v>
      </c>
      <c r="BN54" s="25">
        <v>3.7254654495693149</v>
      </c>
      <c r="BO54" s="25">
        <v>239.95377005778735</v>
      </c>
      <c r="BP54" s="25">
        <v>1.6846209135302099</v>
      </c>
      <c r="BQ54" s="25">
        <v>14.07295316425826</v>
      </c>
      <c r="BR54" s="25">
        <v>5.5129645052011389</v>
      </c>
      <c r="BS54" s="25">
        <v>12.051006748532979</v>
      </c>
      <c r="BT54" s="25">
        <v>7.2066724344558706</v>
      </c>
      <c r="BU54" s="25">
        <v>19.466725314694735</v>
      </c>
      <c r="BV54" s="25">
        <v>9.8233458443424642</v>
      </c>
      <c r="BW54" s="25">
        <v>13.563344936561172</v>
      </c>
      <c r="BX54" s="25">
        <v>0</v>
      </c>
      <c r="BY54" s="25">
        <v>15090.685524868877</v>
      </c>
      <c r="BZ54" s="25">
        <v>5851.6851012527004</v>
      </c>
      <c r="CA54" s="25">
        <v>2.0410605773876287</v>
      </c>
      <c r="CB54" s="25">
        <v>0</v>
      </c>
      <c r="CC54" s="25">
        <v>1989.5854759988795</v>
      </c>
      <c r="CD54" s="25">
        <v>108.00283731465244</v>
      </c>
      <c r="CE54" s="25">
        <v>0</v>
      </c>
      <c r="CF54" s="25">
        <v>7951.3144751436203</v>
      </c>
      <c r="CG54" s="25">
        <v>23042</v>
      </c>
      <c r="CH54"/>
      <c r="CI54">
        <f t="shared" si="0"/>
        <v>0.34507918041591962</v>
      </c>
      <c r="CJ54"/>
      <c r="CK54"/>
      <c r="CL54"/>
      <c r="CM54"/>
      <c r="CN54"/>
      <c r="CO54"/>
      <c r="CP54"/>
      <c r="CQ54"/>
      <c r="CR54"/>
      <c r="CS54"/>
      <c r="CT54"/>
      <c r="CU54"/>
    </row>
    <row r="55" spans="1:99" s="5" customFormat="1" x14ac:dyDescent="0.3">
      <c r="A55" s="35" t="s">
        <v>59</v>
      </c>
      <c r="B55" s="11" t="s">
        <v>133</v>
      </c>
      <c r="C55" s="5">
        <v>50</v>
      </c>
      <c r="D55" s="25">
        <v>0.79905326692108847</v>
      </c>
      <c r="E55" s="25">
        <v>1.4439554785159681E-2</v>
      </c>
      <c r="F55" s="25">
        <v>1.5836669790570173</v>
      </c>
      <c r="G55" s="25">
        <v>3.1838363064399311</v>
      </c>
      <c r="H55" s="25">
        <v>2233.721365296376</v>
      </c>
      <c r="I55" s="25">
        <v>14.193181798831777</v>
      </c>
      <c r="J55" s="25">
        <v>26.652112690132729</v>
      </c>
      <c r="K55" s="25">
        <v>281.00853600982867</v>
      </c>
      <c r="L55" s="25">
        <v>6.5657007927906239</v>
      </c>
      <c r="M55" s="25">
        <v>241.49937327503272</v>
      </c>
      <c r="N55" s="25">
        <v>40.851482869586718</v>
      </c>
      <c r="O55" s="25">
        <v>19.611217216316742</v>
      </c>
      <c r="P55" s="25">
        <v>27.322520590872287</v>
      </c>
      <c r="Q55" s="25">
        <v>31.392047492944254</v>
      </c>
      <c r="R55" s="25">
        <v>44.045633143730328</v>
      </c>
      <c r="S55" s="25">
        <v>47.832557330721329</v>
      </c>
      <c r="T55" s="25">
        <v>96.658070521193025</v>
      </c>
      <c r="U55" s="25">
        <v>14.98810947867139</v>
      </c>
      <c r="V55" s="25">
        <v>39.344344055720526</v>
      </c>
      <c r="W55" s="25">
        <v>1.0089946460058863</v>
      </c>
      <c r="X55" s="25">
        <v>6.44713850902995E-3</v>
      </c>
      <c r="Y55" s="25">
        <v>5.9729268799432429</v>
      </c>
      <c r="Z55" s="25">
        <v>264.93539712872956</v>
      </c>
      <c r="AA55" s="25">
        <v>280.40282687550774</v>
      </c>
      <c r="AB55" s="25">
        <v>11.368271568480099</v>
      </c>
      <c r="AC55" s="25">
        <v>127.40858922296806</v>
      </c>
      <c r="AD55" s="25">
        <v>43.297397548671846</v>
      </c>
      <c r="AE55" s="25">
        <v>102.16068047384822</v>
      </c>
      <c r="AF55" s="25">
        <v>93.104242004305348</v>
      </c>
      <c r="AG55" s="25">
        <v>12.549693807093385</v>
      </c>
      <c r="AH55" s="25">
        <v>48.356506890068552</v>
      </c>
      <c r="AI55" s="25">
        <v>234.43860203246516</v>
      </c>
      <c r="AJ55" s="25">
        <v>144.25546938827034</v>
      </c>
      <c r="AK55" s="25">
        <v>177.37014319415687</v>
      </c>
      <c r="AL55" s="25">
        <v>220.18353642741127</v>
      </c>
      <c r="AM55" s="25">
        <v>91.31017008409313</v>
      </c>
      <c r="AN55" s="25">
        <v>47.099513457103818</v>
      </c>
      <c r="AO55" s="25">
        <v>33.44472077240443</v>
      </c>
      <c r="AP55" s="25">
        <v>72.917505390122955</v>
      </c>
      <c r="AQ55" s="25">
        <v>321.08406570378929</v>
      </c>
      <c r="AR55" s="25">
        <v>52.449373832795224</v>
      </c>
      <c r="AS55" s="25">
        <v>37.578019097146665</v>
      </c>
      <c r="AT55" s="25">
        <v>117.87551411520981</v>
      </c>
      <c r="AU55" s="25">
        <v>44.588147844944181</v>
      </c>
      <c r="AV55" s="25">
        <v>926.79588030933155</v>
      </c>
      <c r="AW55" s="25">
        <v>195.094440121877</v>
      </c>
      <c r="AX55" s="25">
        <v>3175.7569603532124</v>
      </c>
      <c r="AY55" s="40">
        <v>202.62404661747215</v>
      </c>
      <c r="AZ55" s="25">
        <v>85.475450371379267</v>
      </c>
      <c r="BA55" s="25">
        <v>12.776601096574467</v>
      </c>
      <c r="BB55" s="25">
        <v>716.74798812707093</v>
      </c>
      <c r="BC55" s="25">
        <v>67.135472436385641</v>
      </c>
      <c r="BD55" s="25">
        <v>64.579261167507681</v>
      </c>
      <c r="BE55" s="25">
        <v>12.95193854753712</v>
      </c>
      <c r="BF55" s="25">
        <v>142.7618131583499</v>
      </c>
      <c r="BG55" s="25">
        <v>154.00668186818808</v>
      </c>
      <c r="BH55" s="25">
        <v>661.76746376484198</v>
      </c>
      <c r="BI55" s="25">
        <v>1955.7044157217938</v>
      </c>
      <c r="BJ55" s="25">
        <v>61.593475700029707</v>
      </c>
      <c r="BK55" s="25">
        <v>848.28966343902027</v>
      </c>
      <c r="BL55" s="25">
        <v>251.59133410202563</v>
      </c>
      <c r="BM55" s="25">
        <v>548.838226182639</v>
      </c>
      <c r="BN55" s="25">
        <v>84.822661739423751</v>
      </c>
      <c r="BO55" s="25">
        <v>305.04012607751815</v>
      </c>
      <c r="BP55" s="25">
        <v>22.538514957049436</v>
      </c>
      <c r="BQ55" s="25">
        <v>1037.9844848969544</v>
      </c>
      <c r="BR55" s="25">
        <v>307.43786699756174</v>
      </c>
      <c r="BS55" s="25">
        <v>1902.2029143282734</v>
      </c>
      <c r="BT55" s="25">
        <v>343.80313866984761</v>
      </c>
      <c r="BU55" s="25">
        <v>6.1739410674261332</v>
      </c>
      <c r="BV55" s="25">
        <v>90.362573023187764</v>
      </c>
      <c r="BW55" s="25">
        <v>6697.2625784778875</v>
      </c>
      <c r="BX55" s="25">
        <v>0</v>
      </c>
      <c r="BY55" s="25">
        <v>26638.553917514364</v>
      </c>
      <c r="BZ55" s="25">
        <v>7922.3153352442387</v>
      </c>
      <c r="CA55" s="25">
        <v>0</v>
      </c>
      <c r="CB55" s="25">
        <v>0</v>
      </c>
      <c r="CC55" s="25">
        <v>10246.13074725425</v>
      </c>
      <c r="CD55" s="25">
        <v>0</v>
      </c>
      <c r="CE55" s="25">
        <v>0</v>
      </c>
      <c r="CF55" s="25">
        <v>18168.446082498489</v>
      </c>
      <c r="CG55" s="25">
        <v>44807</v>
      </c>
      <c r="CH55"/>
      <c r="CI55">
        <f t="shared" si="0"/>
        <v>0.40548231487264241</v>
      </c>
      <c r="CJ55"/>
      <c r="CK55"/>
      <c r="CL55"/>
      <c r="CM55"/>
      <c r="CN55"/>
      <c r="CO55"/>
      <c r="CP55"/>
      <c r="CQ55"/>
      <c r="CR55"/>
      <c r="CS55"/>
      <c r="CT55"/>
      <c r="CU55"/>
    </row>
    <row r="56" spans="1:99" s="5" customFormat="1" x14ac:dyDescent="0.3">
      <c r="A56" s="35" t="s">
        <v>60</v>
      </c>
      <c r="B56" s="11" t="s">
        <v>134</v>
      </c>
      <c r="C56" s="5">
        <v>51</v>
      </c>
      <c r="D56" s="25">
        <v>1107.5530893104053</v>
      </c>
      <c r="E56" s="25">
        <v>52.734320300833829</v>
      </c>
      <c r="F56" s="25">
        <v>257.12418087482206</v>
      </c>
      <c r="G56" s="25">
        <v>27.332603392649428</v>
      </c>
      <c r="H56" s="25">
        <v>4686.5244651753528</v>
      </c>
      <c r="I56" s="25">
        <v>2866.9374720018664</v>
      </c>
      <c r="J56" s="25">
        <v>452.77896691470039</v>
      </c>
      <c r="K56" s="25">
        <v>3106.4543221425342</v>
      </c>
      <c r="L56" s="25">
        <v>1445.7661406731338</v>
      </c>
      <c r="M56" s="25">
        <v>3759.9643714657623</v>
      </c>
      <c r="N56" s="25">
        <v>1966.434338465094</v>
      </c>
      <c r="O56" s="25">
        <v>30.597631579185716</v>
      </c>
      <c r="P56" s="25">
        <v>174.62685915767094</v>
      </c>
      <c r="Q56" s="25">
        <v>117.35982557940046</v>
      </c>
      <c r="R56" s="25">
        <v>178.81607674240067</v>
      </c>
      <c r="S56" s="25">
        <v>283.69214735234266</v>
      </c>
      <c r="T56" s="25">
        <v>1642.0242484833598</v>
      </c>
      <c r="U56" s="25">
        <v>168.0324596306701</v>
      </c>
      <c r="V56" s="25">
        <v>785.99973305102799</v>
      </c>
      <c r="W56" s="25">
        <v>20.157141806389667</v>
      </c>
      <c r="X56" s="25">
        <v>0.12879739816894351</v>
      </c>
      <c r="Y56" s="25">
        <v>888.97562803098106</v>
      </c>
      <c r="Z56" s="25">
        <v>1113.0502184619572</v>
      </c>
      <c r="AA56" s="25">
        <v>890.70270508442729</v>
      </c>
      <c r="AB56" s="25">
        <v>427.10706328202031</v>
      </c>
      <c r="AC56" s="25">
        <v>680.8296416773336</v>
      </c>
      <c r="AD56" s="25">
        <v>289.22322789928495</v>
      </c>
      <c r="AE56" s="25">
        <v>340.4563316440142</v>
      </c>
      <c r="AF56" s="25">
        <v>3106.143447158548</v>
      </c>
      <c r="AG56" s="25">
        <v>156.05659709763083</v>
      </c>
      <c r="AH56" s="25">
        <v>882.07570623616118</v>
      </c>
      <c r="AI56" s="25">
        <v>721.49553988904836</v>
      </c>
      <c r="AJ56" s="25">
        <v>872.11436804355446</v>
      </c>
      <c r="AK56" s="25">
        <v>355.37907464917532</v>
      </c>
      <c r="AL56" s="25">
        <v>3921.2234692979123</v>
      </c>
      <c r="AM56" s="25">
        <v>725.8449677609218</v>
      </c>
      <c r="AN56" s="25">
        <v>363.13483923989639</v>
      </c>
      <c r="AO56" s="25">
        <v>382.29547029925698</v>
      </c>
      <c r="AP56" s="25">
        <v>230.35013783318922</v>
      </c>
      <c r="AQ56" s="25">
        <v>533.24293120405105</v>
      </c>
      <c r="AR56" s="25">
        <v>87.105717255425631</v>
      </c>
      <c r="AS56" s="25">
        <v>62.407995888186534</v>
      </c>
      <c r="AT56" s="25">
        <v>91.493001976555561</v>
      </c>
      <c r="AU56" s="25">
        <v>26.775828013869667</v>
      </c>
      <c r="AV56" s="25">
        <v>631.94792252939851</v>
      </c>
      <c r="AW56" s="25">
        <v>761.13506529545714</v>
      </c>
      <c r="AX56" s="25">
        <v>16732.046905600353</v>
      </c>
      <c r="AY56" s="40">
        <v>8818.9588852887646</v>
      </c>
      <c r="AZ56" s="25">
        <v>2554.2717158953233</v>
      </c>
      <c r="BA56" s="25">
        <v>5204.6672426241585</v>
      </c>
      <c r="BB56" s="25">
        <v>5321.281311320422</v>
      </c>
      <c r="BC56" s="25">
        <v>72.467839472057094</v>
      </c>
      <c r="BD56" s="25">
        <v>328.64455285321708</v>
      </c>
      <c r="BE56" s="25">
        <v>57.145727050278083</v>
      </c>
      <c r="BF56" s="25">
        <v>87.252761869702184</v>
      </c>
      <c r="BG56" s="25">
        <v>571.79887165813284</v>
      </c>
      <c r="BH56" s="25">
        <v>184.265875497129</v>
      </c>
      <c r="BI56" s="25">
        <v>4048.7975784176729</v>
      </c>
      <c r="BJ56" s="25">
        <v>236.48941730981929</v>
      </c>
      <c r="BK56" s="25">
        <v>685.69265925087916</v>
      </c>
      <c r="BL56" s="25">
        <v>220.72559103183312</v>
      </c>
      <c r="BM56" s="25">
        <v>295.91744032336356</v>
      </c>
      <c r="BN56" s="25">
        <v>239.99222233599662</v>
      </c>
      <c r="BO56" s="25">
        <v>830.20474620239497</v>
      </c>
      <c r="BP56" s="25">
        <v>78.821922895319474</v>
      </c>
      <c r="BQ56" s="25">
        <v>3809.818074670743</v>
      </c>
      <c r="BR56" s="25">
        <v>316.69512482140237</v>
      </c>
      <c r="BS56" s="25">
        <v>504.49716694563062</v>
      </c>
      <c r="BT56" s="25">
        <v>409.62304004189883</v>
      </c>
      <c r="BU56" s="25">
        <v>347.65630013322732</v>
      </c>
      <c r="BV56" s="25">
        <v>80.772732225547003</v>
      </c>
      <c r="BW56" s="25">
        <v>1440.9069236435296</v>
      </c>
      <c r="BX56" s="25">
        <v>0</v>
      </c>
      <c r="BY56" s="25">
        <v>95151.018716624792</v>
      </c>
      <c r="BZ56" s="25">
        <v>11538.986655413724</v>
      </c>
      <c r="CA56" s="25">
        <v>0.43480693774667994</v>
      </c>
      <c r="CB56" s="25">
        <v>0</v>
      </c>
      <c r="CC56" s="25">
        <v>32126.448709308461</v>
      </c>
      <c r="CD56" s="25">
        <v>27.164585408448154</v>
      </c>
      <c r="CE56" s="25">
        <v>-5.3473668458267343E-2</v>
      </c>
      <c r="CF56" s="25">
        <v>43692.981283399931</v>
      </c>
      <c r="CG56" s="25">
        <v>138844</v>
      </c>
      <c r="CH56"/>
      <c r="CI56">
        <f t="shared" si="0"/>
        <v>0.31469117342773134</v>
      </c>
      <c r="CJ56"/>
      <c r="CK56"/>
      <c r="CL56"/>
      <c r="CM56"/>
      <c r="CN56"/>
      <c r="CO56"/>
      <c r="CP56"/>
      <c r="CQ56"/>
      <c r="CR56"/>
      <c r="CS56"/>
      <c r="CT56"/>
      <c r="CU56"/>
    </row>
    <row r="57" spans="1:99" s="5" customFormat="1" x14ac:dyDescent="0.3">
      <c r="A57" s="35" t="s">
        <v>61</v>
      </c>
      <c r="B57" s="13" t="s">
        <v>135</v>
      </c>
      <c r="C57" s="5">
        <v>52</v>
      </c>
      <c r="D57" s="25">
        <v>4.1299403891300894</v>
      </c>
      <c r="E57" s="25">
        <v>1.6539141168804776</v>
      </c>
      <c r="F57" s="25">
        <v>1.8855479741863035</v>
      </c>
      <c r="G57" s="25">
        <v>7.1801427190256737</v>
      </c>
      <c r="H57" s="25">
        <v>210.79458798825763</v>
      </c>
      <c r="I57" s="25">
        <v>67.189308294123691</v>
      </c>
      <c r="J57" s="25">
        <v>10.722197356910591</v>
      </c>
      <c r="K57" s="25">
        <v>227.90752147712357</v>
      </c>
      <c r="L57" s="25">
        <v>17.923758997004594</v>
      </c>
      <c r="M57" s="25">
        <v>219.73660869357889</v>
      </c>
      <c r="N57" s="25">
        <v>37.954434703365123</v>
      </c>
      <c r="O57" s="25">
        <v>18.431230210578658</v>
      </c>
      <c r="P57" s="25">
        <v>19.077938535895267</v>
      </c>
      <c r="Q57" s="25">
        <v>16.25863062844563</v>
      </c>
      <c r="R57" s="25">
        <v>20.680217006945465</v>
      </c>
      <c r="S57" s="25">
        <v>6.5217089329862228</v>
      </c>
      <c r="T57" s="25">
        <v>63.922052311575101</v>
      </c>
      <c r="U57" s="25">
        <v>6.4289490904216215</v>
      </c>
      <c r="V57" s="25">
        <v>24.168982174261171</v>
      </c>
      <c r="W57" s="25">
        <v>0.61981904130119891</v>
      </c>
      <c r="X57" s="25">
        <v>3.9604364855863397E-3</v>
      </c>
      <c r="Y57" s="25">
        <v>11.931859118285539</v>
      </c>
      <c r="Z57" s="25">
        <v>99.185218472284745</v>
      </c>
      <c r="AA57" s="25">
        <v>109.70875104985157</v>
      </c>
      <c r="AB57" s="25">
        <v>28.097571139949583</v>
      </c>
      <c r="AC57" s="25">
        <v>149.94686271690583</v>
      </c>
      <c r="AD57" s="25">
        <v>79.003465364983967</v>
      </c>
      <c r="AE57" s="25">
        <v>57.578128736208946</v>
      </c>
      <c r="AF57" s="25">
        <v>146.301262182264</v>
      </c>
      <c r="AG57" s="25">
        <v>33.303140250125658</v>
      </c>
      <c r="AH57" s="25">
        <v>115.729047456459</v>
      </c>
      <c r="AI57" s="25">
        <v>112.15544866816481</v>
      </c>
      <c r="AJ57" s="25">
        <v>84.579515697068715</v>
      </c>
      <c r="AK57" s="25">
        <v>210.10910413450665</v>
      </c>
      <c r="AL57" s="25">
        <v>92.81491084604329</v>
      </c>
      <c r="AM57" s="25">
        <v>69.413079918143765</v>
      </c>
      <c r="AN57" s="25">
        <v>44.510514192529314</v>
      </c>
      <c r="AO57" s="25">
        <v>82.030390631206998</v>
      </c>
      <c r="AP57" s="25">
        <v>53.462758137576323</v>
      </c>
      <c r="AQ57" s="25">
        <v>111.47479007738856</v>
      </c>
      <c r="AR57" s="25">
        <v>18.20950823232435</v>
      </c>
      <c r="AS57" s="25">
        <v>13.046433123975129</v>
      </c>
      <c r="AT57" s="25">
        <v>33.053968069323808</v>
      </c>
      <c r="AU57" s="25">
        <v>9.7735635946774817</v>
      </c>
      <c r="AV57" s="25">
        <v>701.0105264509159</v>
      </c>
      <c r="AW57" s="25">
        <v>259.87589815154803</v>
      </c>
      <c r="AX57" s="25">
        <v>2207.8944152886243</v>
      </c>
      <c r="AY57" s="40">
        <v>143.84622313269489</v>
      </c>
      <c r="AZ57" s="25">
        <v>3.2071102550848822</v>
      </c>
      <c r="BA57" s="25">
        <v>48.46961589671853</v>
      </c>
      <c r="BB57" s="25">
        <v>154.51379073081534</v>
      </c>
      <c r="BC57" s="25">
        <v>1.4376490191730635</v>
      </c>
      <c r="BD57" s="25">
        <v>31.326821418496454</v>
      </c>
      <c r="BE57" s="25">
        <v>41.951638028711251</v>
      </c>
      <c r="BF57" s="25">
        <v>100.1945395103802</v>
      </c>
      <c r="BG57" s="25">
        <v>64.727150329350081</v>
      </c>
      <c r="BH57" s="25">
        <v>375.71861868480795</v>
      </c>
      <c r="BI57" s="25">
        <v>679.87963362726805</v>
      </c>
      <c r="BJ57" s="25">
        <v>43.252992669439386</v>
      </c>
      <c r="BK57" s="25">
        <v>239.44119742959046</v>
      </c>
      <c r="BL57" s="25">
        <v>184.68858197646082</v>
      </c>
      <c r="BM57" s="25">
        <v>108.1845177176971</v>
      </c>
      <c r="BN57" s="25">
        <v>103.5002900171001</v>
      </c>
      <c r="BO57" s="25">
        <v>118.54613348883626</v>
      </c>
      <c r="BP57" s="25">
        <v>29.531699344222481</v>
      </c>
      <c r="BQ57" s="25">
        <v>1383.4049461425404</v>
      </c>
      <c r="BR57" s="25">
        <v>155.66127396500133</v>
      </c>
      <c r="BS57" s="25">
        <v>255.27052038774477</v>
      </c>
      <c r="BT57" s="25">
        <v>224.24028635002691</v>
      </c>
      <c r="BU57" s="25">
        <v>4.831271841991799</v>
      </c>
      <c r="BV57" s="25">
        <v>96.513917184275584</v>
      </c>
      <c r="BW57" s="25">
        <v>4241.445451017602</v>
      </c>
      <c r="BX57" s="25">
        <v>0</v>
      </c>
      <c r="BY57" s="25">
        <v>14751.177452945849</v>
      </c>
      <c r="BZ57" s="25">
        <v>6880.209336048214</v>
      </c>
      <c r="CA57" s="25">
        <v>0.24925654779688283</v>
      </c>
      <c r="CB57" s="25">
        <v>0</v>
      </c>
      <c r="CC57" s="25">
        <v>6148.9937125620991</v>
      </c>
      <c r="CD57" s="25">
        <v>6.3702419016962235</v>
      </c>
      <c r="CE57" s="25">
        <v>0</v>
      </c>
      <c r="CF57" s="25">
        <v>13035.822547059804</v>
      </c>
      <c r="CG57" s="25">
        <v>27787</v>
      </c>
      <c r="CH57"/>
      <c r="CI57">
        <f t="shared" si="0"/>
        <v>0.46913385925288098</v>
      </c>
      <c r="CJ57"/>
      <c r="CK57"/>
      <c r="CL57"/>
      <c r="CM57"/>
      <c r="CN57"/>
      <c r="CO57"/>
      <c r="CP57"/>
      <c r="CQ57"/>
      <c r="CR57"/>
      <c r="CS57"/>
      <c r="CT57"/>
      <c r="CU57"/>
    </row>
    <row r="58" spans="1:99" s="5" customFormat="1" x14ac:dyDescent="0.3">
      <c r="A58" s="35" t="s">
        <v>62</v>
      </c>
      <c r="B58" s="11" t="s">
        <v>136</v>
      </c>
      <c r="C58" s="5">
        <v>53</v>
      </c>
      <c r="D58" s="25">
        <v>5.7119932735848611</v>
      </c>
      <c r="E58" s="25">
        <v>1.4331555606058743</v>
      </c>
      <c r="F58" s="25">
        <v>2.3233255211820136</v>
      </c>
      <c r="G58" s="25">
        <v>2.347896864613694</v>
      </c>
      <c r="H58" s="25">
        <v>283.53170987077993</v>
      </c>
      <c r="I58" s="25">
        <v>12.248523266194535</v>
      </c>
      <c r="J58" s="25">
        <v>7.5612080659865466</v>
      </c>
      <c r="K58" s="25">
        <v>11.132710380226914</v>
      </c>
      <c r="L58" s="25">
        <v>2.699068888044085</v>
      </c>
      <c r="M58" s="25">
        <v>142.84797368956083</v>
      </c>
      <c r="N58" s="25">
        <v>4.3215952222837561</v>
      </c>
      <c r="O58" s="25">
        <v>0.62829077831660807</v>
      </c>
      <c r="P58" s="25">
        <v>10.940055490937596</v>
      </c>
      <c r="Q58" s="25">
        <v>5.0451783118353903</v>
      </c>
      <c r="R58" s="25">
        <v>1.5443919100336991</v>
      </c>
      <c r="S58" s="25">
        <v>1.3941140877125768</v>
      </c>
      <c r="T58" s="25">
        <v>10.376542611336134</v>
      </c>
      <c r="U58" s="25">
        <v>13.041173943425179</v>
      </c>
      <c r="V58" s="25">
        <v>6.3176786733876149</v>
      </c>
      <c r="W58" s="25">
        <v>0.16201830554363614</v>
      </c>
      <c r="X58" s="25">
        <v>1.0352428141943415E-3</v>
      </c>
      <c r="Y58" s="25">
        <v>3.477555211943594</v>
      </c>
      <c r="Z58" s="25">
        <v>101.34716896151355</v>
      </c>
      <c r="AA58" s="25">
        <v>120.55989439740378</v>
      </c>
      <c r="AB58" s="25">
        <v>2.8213971837212117</v>
      </c>
      <c r="AC58" s="25">
        <v>277.56402506414582</v>
      </c>
      <c r="AD58" s="25">
        <v>19.001141502228066</v>
      </c>
      <c r="AE58" s="25">
        <v>3.8044545382215311</v>
      </c>
      <c r="AF58" s="25">
        <v>34.642971176702112</v>
      </c>
      <c r="AG58" s="25">
        <v>59.37071991650479</v>
      </c>
      <c r="AH58" s="25">
        <v>29.351325738963634</v>
      </c>
      <c r="AI58" s="25">
        <v>6.3299634959740887</v>
      </c>
      <c r="AJ58" s="25">
        <v>2.7023425081903838</v>
      </c>
      <c r="AK58" s="25">
        <v>96.737355014011698</v>
      </c>
      <c r="AL58" s="25">
        <v>401.0511018513044</v>
      </c>
      <c r="AM58" s="25">
        <v>17.727465690797683</v>
      </c>
      <c r="AN58" s="25">
        <v>3.8891572364784723</v>
      </c>
      <c r="AO58" s="25">
        <v>3.4957758393728264</v>
      </c>
      <c r="AP58" s="25">
        <v>91.2304217083514</v>
      </c>
      <c r="AQ58" s="25">
        <v>196.26756790793888</v>
      </c>
      <c r="AR58" s="25">
        <v>32.060485523917798</v>
      </c>
      <c r="AS58" s="25">
        <v>22.97014147627948</v>
      </c>
      <c r="AT58" s="25">
        <v>56.486009004530274</v>
      </c>
      <c r="AU58" s="25">
        <v>12.381419761657984</v>
      </c>
      <c r="AV58" s="25">
        <v>28.155344045088931</v>
      </c>
      <c r="AW58" s="25">
        <v>166.75301266337561</v>
      </c>
      <c r="AX58" s="25">
        <v>845.30466811454164</v>
      </c>
      <c r="AY58" s="40">
        <v>43.108678152778765</v>
      </c>
      <c r="AZ58" s="25">
        <v>6.6604751236730477</v>
      </c>
      <c r="BA58" s="25">
        <v>789.18576729284098</v>
      </c>
      <c r="BB58" s="25">
        <v>60.95671091984584</v>
      </c>
      <c r="BC58" s="25">
        <v>246.79012356927458</v>
      </c>
      <c r="BD58" s="25">
        <v>43.246198133561975</v>
      </c>
      <c r="BE58" s="25">
        <v>4.916015595987993</v>
      </c>
      <c r="BF58" s="25">
        <v>676.29798457555387</v>
      </c>
      <c r="BG58" s="25">
        <v>82.536731008727145</v>
      </c>
      <c r="BH58" s="25">
        <v>45.198176938507501</v>
      </c>
      <c r="BI58" s="25">
        <v>2652.6170622015643</v>
      </c>
      <c r="BJ58" s="25">
        <v>76.064863973035742</v>
      </c>
      <c r="BK58" s="25">
        <v>1420.0686317556774</v>
      </c>
      <c r="BL58" s="25">
        <v>10.699210170689003</v>
      </c>
      <c r="BM58" s="25">
        <v>244.56918146234131</v>
      </c>
      <c r="BN58" s="25">
        <v>16.8016652905619</v>
      </c>
      <c r="BO58" s="25">
        <v>1589.0943610225627</v>
      </c>
      <c r="BP58" s="25">
        <v>6.7428345471960593</v>
      </c>
      <c r="BQ58" s="25">
        <v>10034.803579670324</v>
      </c>
      <c r="BR58" s="25">
        <v>1761.0156824189401</v>
      </c>
      <c r="BS58" s="25">
        <v>264.58281386664521</v>
      </c>
      <c r="BT58" s="25">
        <v>4477.6520204477038</v>
      </c>
      <c r="BU58" s="25">
        <v>4109.6975460689673</v>
      </c>
      <c r="BV58" s="25">
        <v>62.948878005696599</v>
      </c>
      <c r="BW58" s="25">
        <v>8593.9851075231836</v>
      </c>
      <c r="BX58" s="25">
        <v>0</v>
      </c>
      <c r="BY58" s="25">
        <v>40481.332825227408</v>
      </c>
      <c r="BZ58" s="25">
        <v>5122.7291598456031</v>
      </c>
      <c r="CA58" s="25">
        <v>0.21106401224736046</v>
      </c>
      <c r="CB58" s="25">
        <v>0</v>
      </c>
      <c r="CC58" s="25">
        <v>231328.33279449592</v>
      </c>
      <c r="CD58" s="25">
        <v>5.3941564490169629</v>
      </c>
      <c r="CE58" s="25">
        <v>0</v>
      </c>
      <c r="CF58" s="25">
        <v>236456.66717480277</v>
      </c>
      <c r="CG58" s="25">
        <v>276938</v>
      </c>
      <c r="CH58"/>
      <c r="CI58">
        <f t="shared" si="0"/>
        <v>0.85382528643524103</v>
      </c>
      <c r="CJ58"/>
      <c r="CK58"/>
      <c r="CL58"/>
      <c r="CM58"/>
      <c r="CN58"/>
      <c r="CO58"/>
      <c r="CP58"/>
      <c r="CQ58"/>
      <c r="CR58"/>
      <c r="CS58"/>
      <c r="CT58"/>
      <c r="CU58"/>
    </row>
    <row r="59" spans="1:99" s="5" customFormat="1" x14ac:dyDescent="0.3">
      <c r="A59" s="35" t="s">
        <v>63</v>
      </c>
      <c r="B59" s="11" t="s">
        <v>137</v>
      </c>
      <c r="C59" s="5">
        <v>54</v>
      </c>
      <c r="D59" s="25">
        <v>2.0258132149867252</v>
      </c>
      <c r="E59" s="25">
        <v>0.91149838588941379</v>
      </c>
      <c r="F59" s="25">
        <v>0.1822430209748187</v>
      </c>
      <c r="G59" s="25">
        <v>8.6837528400186562E-2</v>
      </c>
      <c r="H59" s="25">
        <v>1.1233094123965901</v>
      </c>
      <c r="I59" s="25">
        <v>0.96245542282347751</v>
      </c>
      <c r="J59" s="25">
        <v>0.24641011305250751</v>
      </c>
      <c r="K59" s="25">
        <v>5.8841823162726774</v>
      </c>
      <c r="L59" s="25">
        <v>0.69258435348848013</v>
      </c>
      <c r="M59" s="25">
        <v>6.4348791007019921</v>
      </c>
      <c r="N59" s="25">
        <v>10.596533914261132</v>
      </c>
      <c r="O59" s="25">
        <v>0.233236784716363</v>
      </c>
      <c r="P59" s="25">
        <v>1.2834554785248247</v>
      </c>
      <c r="Q59" s="25">
        <v>1.4841893026128259</v>
      </c>
      <c r="R59" s="25">
        <v>0.81508008565592727</v>
      </c>
      <c r="S59" s="25">
        <v>1.1191412446894213</v>
      </c>
      <c r="T59" s="25">
        <v>6.5122798659269021</v>
      </c>
      <c r="U59" s="25">
        <v>45.700343912602541</v>
      </c>
      <c r="V59" s="25">
        <v>2.2185371103076563</v>
      </c>
      <c r="W59" s="25">
        <v>5.6895360991163262E-2</v>
      </c>
      <c r="X59" s="25">
        <v>3.8196834771031475E-4</v>
      </c>
      <c r="Y59" s="25">
        <v>0.78824225214414634</v>
      </c>
      <c r="Z59" s="25">
        <v>121.28068740323424</v>
      </c>
      <c r="AA59" s="25">
        <v>1.5730779879621539</v>
      </c>
      <c r="AB59" s="25">
        <v>0.60857889989279024</v>
      </c>
      <c r="AC59" s="25">
        <v>1.21478178808615</v>
      </c>
      <c r="AD59" s="25">
        <v>2.3424463338117487</v>
      </c>
      <c r="AE59" s="25">
        <v>1.1009232019463009</v>
      </c>
      <c r="AF59" s="25">
        <v>1.7264799436406693</v>
      </c>
      <c r="AG59" s="25">
        <v>0.52027498405020067</v>
      </c>
      <c r="AH59" s="25">
        <v>1.7508633322688381</v>
      </c>
      <c r="AI59" s="25">
        <v>9.7763993432559619</v>
      </c>
      <c r="AJ59" s="25">
        <v>1.1422225232476197</v>
      </c>
      <c r="AK59" s="25">
        <v>2.1106986045670366</v>
      </c>
      <c r="AL59" s="25">
        <v>1.6438696962854227</v>
      </c>
      <c r="AM59" s="25">
        <v>3.7261301883896647</v>
      </c>
      <c r="AN59" s="25">
        <v>0.41958233630724334</v>
      </c>
      <c r="AO59" s="25">
        <v>1.9487136635978644</v>
      </c>
      <c r="AP59" s="25">
        <v>13.555992238427523</v>
      </c>
      <c r="AQ59" s="25">
        <v>60.779443523597919</v>
      </c>
      <c r="AR59" s="25">
        <v>9.9283773167969773</v>
      </c>
      <c r="AS59" s="25">
        <v>7.1133118500833632</v>
      </c>
      <c r="AT59" s="25">
        <v>18.017854697654155</v>
      </c>
      <c r="AU59" s="25">
        <v>5.1970877260274131</v>
      </c>
      <c r="AV59" s="25">
        <v>5.462842999503466</v>
      </c>
      <c r="AW59" s="25">
        <v>8.6483781874724102</v>
      </c>
      <c r="AX59" s="25">
        <v>546.41530252215944</v>
      </c>
      <c r="AY59" s="40">
        <v>4.7530342397125187</v>
      </c>
      <c r="AZ59" s="25">
        <v>0.14129981457110569</v>
      </c>
      <c r="BA59" s="25">
        <v>1.7442844113978919</v>
      </c>
      <c r="BB59" s="25">
        <v>5.8243706003479288</v>
      </c>
      <c r="BC59" s="25">
        <v>49.678506678278808</v>
      </c>
      <c r="BD59" s="25">
        <v>11.823150216683201</v>
      </c>
      <c r="BE59" s="25">
        <v>66.255003652261479</v>
      </c>
      <c r="BF59" s="25">
        <v>11.912114357984734</v>
      </c>
      <c r="BG59" s="25">
        <v>116.15928233582866</v>
      </c>
      <c r="BH59" s="25">
        <v>27.293283348842138</v>
      </c>
      <c r="BI59" s="25">
        <v>1117.0738257166572</v>
      </c>
      <c r="BJ59" s="25">
        <v>50.80409460818364</v>
      </c>
      <c r="BK59" s="25">
        <v>261.00112658909984</v>
      </c>
      <c r="BL59" s="25">
        <v>105.7901066333506</v>
      </c>
      <c r="BM59" s="25">
        <v>1522.6839540381463</v>
      </c>
      <c r="BN59" s="25">
        <v>19.496104513616036</v>
      </c>
      <c r="BO59" s="25">
        <v>65.060908493551835</v>
      </c>
      <c r="BP59" s="25">
        <v>0.41834075070169691</v>
      </c>
      <c r="BQ59" s="25">
        <v>861.45928642045214</v>
      </c>
      <c r="BR59" s="25">
        <v>2152.4843865835683</v>
      </c>
      <c r="BS59" s="25">
        <v>1193.0430377192133</v>
      </c>
      <c r="BT59" s="25">
        <v>29.877389256922896</v>
      </c>
      <c r="BU59" s="25">
        <v>116.80605127803531</v>
      </c>
      <c r="BV59" s="25">
        <v>18.994663529403145</v>
      </c>
      <c r="BW59" s="25">
        <v>125.85249391933657</v>
      </c>
      <c r="BX59" s="25">
        <v>0</v>
      </c>
      <c r="BY59" s="25">
        <v>8853.7929511481816</v>
      </c>
      <c r="BZ59" s="25">
        <v>788.70625769899766</v>
      </c>
      <c r="CA59" s="25">
        <v>0.18694241084766214</v>
      </c>
      <c r="CB59" s="25">
        <v>0</v>
      </c>
      <c r="CC59" s="25">
        <v>8410.8482348965717</v>
      </c>
      <c r="CD59" s="25">
        <v>25.38590928757036</v>
      </c>
      <c r="CE59" s="25">
        <v>-175.92029543528432</v>
      </c>
      <c r="CF59" s="25">
        <v>9049.2070488587051</v>
      </c>
      <c r="CG59" s="25">
        <v>17903</v>
      </c>
      <c r="CH59"/>
      <c r="CI59">
        <f t="shared" si="0"/>
        <v>0.50545757967149108</v>
      </c>
      <c r="CJ59"/>
      <c r="CK59"/>
      <c r="CL59"/>
      <c r="CM59"/>
      <c r="CN59"/>
      <c r="CO59"/>
      <c r="CP59"/>
      <c r="CQ59"/>
      <c r="CR59"/>
      <c r="CS59"/>
      <c r="CT59"/>
      <c r="CU59"/>
    </row>
    <row r="60" spans="1:99" s="5" customFormat="1" x14ac:dyDescent="0.3">
      <c r="A60" s="35" t="s">
        <v>64</v>
      </c>
      <c r="B60" s="11" t="s">
        <v>138</v>
      </c>
      <c r="C60" s="5">
        <v>55</v>
      </c>
      <c r="D60" s="25">
        <v>1.4623936840894449</v>
      </c>
      <c r="E60" s="25">
        <v>0.74959420751684103</v>
      </c>
      <c r="F60" s="25">
        <v>6.8320076448985578E-2</v>
      </c>
      <c r="G60" s="25">
        <v>5.2242622594728699E-2</v>
      </c>
      <c r="H60" s="25">
        <v>0.44620480116524386</v>
      </c>
      <c r="I60" s="25">
        <v>0.21020320123129194</v>
      </c>
      <c r="J60" s="25">
        <v>5.4978499854368784E-2</v>
      </c>
      <c r="K60" s="25">
        <v>2.4564688066523765</v>
      </c>
      <c r="L60" s="25">
        <v>8.2689809930710387E-2</v>
      </c>
      <c r="M60" s="25">
        <v>2.3987122170862167</v>
      </c>
      <c r="N60" s="25">
        <v>0.45741897910085544</v>
      </c>
      <c r="O60" s="25">
        <v>0.17031789499433475</v>
      </c>
      <c r="P60" s="25">
        <v>0.44932796357389115</v>
      </c>
      <c r="Q60" s="25">
        <v>0.59337073298647591</v>
      </c>
      <c r="R60" s="25">
        <v>0.43556960979208392</v>
      </c>
      <c r="S60" s="25">
        <v>0.18500157520996946</v>
      </c>
      <c r="T60" s="25">
        <v>0.59992882725414964</v>
      </c>
      <c r="U60" s="25">
        <v>0.12323921035776123</v>
      </c>
      <c r="V60" s="25">
        <v>1.5341917133547167</v>
      </c>
      <c r="W60" s="25">
        <v>3.934469520013345E-2</v>
      </c>
      <c r="X60" s="25">
        <v>2.5139945048761577E-4</v>
      </c>
      <c r="Y60" s="25">
        <v>0.17409640432525381</v>
      </c>
      <c r="Z60" s="25">
        <v>0.78391528750776462</v>
      </c>
      <c r="AA60" s="25">
        <v>0.48273775138454528</v>
      </c>
      <c r="AB60" s="25">
        <v>0.33535901626304171</v>
      </c>
      <c r="AC60" s="25">
        <v>0.39313732829697673</v>
      </c>
      <c r="AD60" s="25">
        <v>0.78057684119533766</v>
      </c>
      <c r="AE60" s="25">
        <v>0.50300547888907288</v>
      </c>
      <c r="AF60" s="25">
        <v>0.57894524481941168</v>
      </c>
      <c r="AG60" s="25">
        <v>0.34079801136237703</v>
      </c>
      <c r="AH60" s="25">
        <v>0.58084694911215107</v>
      </c>
      <c r="AI60" s="25">
        <v>0.86508674310725708</v>
      </c>
      <c r="AJ60" s="25">
        <v>0.53800500638230953</v>
      </c>
      <c r="AK60" s="25">
        <v>0.95309495601876537</v>
      </c>
      <c r="AL60" s="25">
        <v>0.42722378206188683</v>
      </c>
      <c r="AM60" s="25">
        <v>0.41364234608035422</v>
      </c>
      <c r="AN60" s="25">
        <v>0.13424463392557376</v>
      </c>
      <c r="AO60" s="25">
        <v>0.54666389318098263</v>
      </c>
      <c r="AP60" s="25">
        <v>0.47352151811536686</v>
      </c>
      <c r="AQ60" s="25">
        <v>0.44168181465374001</v>
      </c>
      <c r="AR60" s="25">
        <v>7.2149125685024573E-2</v>
      </c>
      <c r="AS60" s="25">
        <v>5.1692156163340747E-2</v>
      </c>
      <c r="AT60" s="25">
        <v>2.9764373500110811E-2</v>
      </c>
      <c r="AU60" s="25">
        <v>0.15822930078479941</v>
      </c>
      <c r="AV60" s="25">
        <v>2.5908657861780524</v>
      </c>
      <c r="AW60" s="25">
        <v>0.92628260906895366</v>
      </c>
      <c r="AX60" s="25">
        <v>10.199374782515363</v>
      </c>
      <c r="AY60" s="40">
        <v>2.0504121453923929</v>
      </c>
      <c r="AZ60" s="25">
        <v>3.5482508774162633E-2</v>
      </c>
      <c r="BA60" s="25">
        <v>9.960429344692634E-2</v>
      </c>
      <c r="BB60" s="25">
        <v>0.69255754942542536</v>
      </c>
      <c r="BC60" s="25">
        <v>4.1351881908847616</v>
      </c>
      <c r="BD60" s="25">
        <v>2.9238603519814714</v>
      </c>
      <c r="BE60" s="25">
        <v>9.6079550360328785</v>
      </c>
      <c r="BF60" s="25">
        <v>5381.713715310616</v>
      </c>
      <c r="BG60" s="25">
        <v>4752.774157203743</v>
      </c>
      <c r="BH60" s="25">
        <v>1.5258283561737078</v>
      </c>
      <c r="BI60" s="25">
        <v>3.262742418281535</v>
      </c>
      <c r="BJ60" s="25">
        <v>0.61568536858566381</v>
      </c>
      <c r="BK60" s="25">
        <v>1.301696306945773</v>
      </c>
      <c r="BL60" s="25">
        <v>0.29090175905228749</v>
      </c>
      <c r="BM60" s="25">
        <v>30979.524346272967</v>
      </c>
      <c r="BN60" s="25">
        <v>0.30813851130669717</v>
      </c>
      <c r="BO60" s="25">
        <v>33.35351992575854</v>
      </c>
      <c r="BP60" s="25">
        <v>2.9272783452186357</v>
      </c>
      <c r="BQ60" s="25">
        <v>1.0633686017038397</v>
      </c>
      <c r="BR60" s="25">
        <v>0.49285669538811927</v>
      </c>
      <c r="BS60" s="25">
        <v>1.1412072610311279</v>
      </c>
      <c r="BT60" s="25">
        <v>0.56259615802322094</v>
      </c>
      <c r="BU60" s="25">
        <v>1.8677590433415223</v>
      </c>
      <c r="BV60" s="25">
        <v>122.96938165559818</v>
      </c>
      <c r="BW60" s="25">
        <v>1.1216462773531788</v>
      </c>
      <c r="BX60" s="25">
        <v>0</v>
      </c>
      <c r="BY60" s="25">
        <v>41342.706597215445</v>
      </c>
      <c r="BZ60" s="25">
        <v>601.25605731477049</v>
      </c>
      <c r="CA60" s="25">
        <v>0.15478027564806435</v>
      </c>
      <c r="CB60" s="25">
        <v>0</v>
      </c>
      <c r="CC60" s="25">
        <v>1925.9268504660065</v>
      </c>
      <c r="CD60" s="25">
        <v>3.9557147292791064</v>
      </c>
      <c r="CE60" s="25">
        <v>0</v>
      </c>
      <c r="CF60" s="25">
        <v>2531.2934027857045</v>
      </c>
      <c r="CG60" s="25">
        <v>43874</v>
      </c>
      <c r="CH60"/>
      <c r="CI60">
        <f t="shared" si="0"/>
        <v>5.7694611906498258E-2</v>
      </c>
      <c r="CJ60"/>
      <c r="CK60"/>
      <c r="CL60"/>
      <c r="CM60"/>
      <c r="CN60"/>
      <c r="CO60"/>
      <c r="CP60"/>
      <c r="CQ60"/>
      <c r="CR60"/>
      <c r="CS60"/>
      <c r="CT60"/>
      <c r="CU60"/>
    </row>
    <row r="61" spans="1:99" s="5" customFormat="1" x14ac:dyDescent="0.3">
      <c r="A61" s="35" t="s">
        <v>65</v>
      </c>
      <c r="B61" s="11" t="s">
        <v>139</v>
      </c>
      <c r="C61" s="5">
        <v>56</v>
      </c>
      <c r="D61" s="25">
        <v>16.095394153161944</v>
      </c>
      <c r="E61" s="25">
        <v>8.1882034910178749</v>
      </c>
      <c r="F61" s="25">
        <v>6.7764694878306342</v>
      </c>
      <c r="G61" s="25">
        <v>23.844407690864713</v>
      </c>
      <c r="H61" s="25">
        <v>652.40866885198704</v>
      </c>
      <c r="I61" s="25">
        <v>96.569418871452896</v>
      </c>
      <c r="J61" s="25">
        <v>21.508600951986914</v>
      </c>
      <c r="K61" s="25">
        <v>649.00720235094684</v>
      </c>
      <c r="L61" s="25">
        <v>121.70130252143487</v>
      </c>
      <c r="M61" s="25">
        <v>1204.8444794955258</v>
      </c>
      <c r="N61" s="25">
        <v>308.95515704815602</v>
      </c>
      <c r="O61" s="25">
        <v>13.943432718020063</v>
      </c>
      <c r="P61" s="25">
        <v>168.84066419224717</v>
      </c>
      <c r="Q61" s="25">
        <v>424.00173967069503</v>
      </c>
      <c r="R61" s="25">
        <v>140.25247036372838</v>
      </c>
      <c r="S61" s="25">
        <v>89.021644706421668</v>
      </c>
      <c r="T61" s="25">
        <v>337.68279629567581</v>
      </c>
      <c r="U61" s="25">
        <v>241.63111814568936</v>
      </c>
      <c r="V61" s="25">
        <v>193.08726778347003</v>
      </c>
      <c r="W61" s="25">
        <v>4.9517668697058719</v>
      </c>
      <c r="X61" s="25">
        <v>3.1640135058985414E-2</v>
      </c>
      <c r="Y61" s="25">
        <v>122.25364147509148</v>
      </c>
      <c r="Z61" s="25">
        <v>248.15978265308127</v>
      </c>
      <c r="AA61" s="25">
        <v>227.37705321043117</v>
      </c>
      <c r="AB61" s="25">
        <v>27.927794598186544</v>
      </c>
      <c r="AC61" s="25">
        <v>214.84180673116987</v>
      </c>
      <c r="AD61" s="25">
        <v>300.51242398043337</v>
      </c>
      <c r="AE61" s="25">
        <v>332.19137837964087</v>
      </c>
      <c r="AF61" s="25">
        <v>174.76699851017469</v>
      </c>
      <c r="AG61" s="25">
        <v>62.175480092054336</v>
      </c>
      <c r="AH61" s="25">
        <v>298.17345964792634</v>
      </c>
      <c r="AI61" s="25">
        <v>718.89968021904997</v>
      </c>
      <c r="AJ61" s="25">
        <v>350.56179704849018</v>
      </c>
      <c r="AK61" s="25">
        <v>359.04944895342072</v>
      </c>
      <c r="AL61" s="25">
        <v>1101.7208063331718</v>
      </c>
      <c r="AM61" s="25">
        <v>1104.5691831587555</v>
      </c>
      <c r="AN61" s="25">
        <v>123.1056115251104</v>
      </c>
      <c r="AO61" s="25">
        <v>380.86497118253624</v>
      </c>
      <c r="AP61" s="25">
        <v>108.3633217234439</v>
      </c>
      <c r="AQ61" s="25">
        <v>306.81574180255535</v>
      </c>
      <c r="AR61" s="25">
        <v>50.118630160969374</v>
      </c>
      <c r="AS61" s="25">
        <v>35.908128232679161</v>
      </c>
      <c r="AT61" s="25">
        <v>20.6759210629581</v>
      </c>
      <c r="AU61" s="25">
        <v>153.34863179159547</v>
      </c>
      <c r="AV61" s="25">
        <v>897.56288759480742</v>
      </c>
      <c r="AW61" s="25">
        <v>933.65266393600314</v>
      </c>
      <c r="AX61" s="25">
        <v>5911.7444429114339</v>
      </c>
      <c r="AY61" s="40">
        <v>828.5013731770631</v>
      </c>
      <c r="AZ61" s="25">
        <v>29.106145415253007</v>
      </c>
      <c r="BA61" s="25">
        <v>53.795880817354956</v>
      </c>
      <c r="BB61" s="25">
        <v>707.67379578570581</v>
      </c>
      <c r="BC61" s="25">
        <v>209.13638542857552</v>
      </c>
      <c r="BD61" s="25">
        <v>680.30335063822633</v>
      </c>
      <c r="BE61" s="25">
        <v>85.316471310573164</v>
      </c>
      <c r="BF61" s="25">
        <v>268.18291236428001</v>
      </c>
      <c r="BG61" s="25">
        <v>17663.068469250476</v>
      </c>
      <c r="BH61" s="25">
        <v>1509.9743635627997</v>
      </c>
      <c r="BI61" s="25">
        <v>7005.6622339306641</v>
      </c>
      <c r="BJ61" s="25">
        <v>516.45216878376425</v>
      </c>
      <c r="BK61" s="25">
        <v>2346.2453974211521</v>
      </c>
      <c r="BL61" s="25">
        <v>307.50402440826031</v>
      </c>
      <c r="BM61" s="25">
        <v>2111.8393730889734</v>
      </c>
      <c r="BN61" s="25">
        <v>107.61295726615778</v>
      </c>
      <c r="BO61" s="25">
        <v>1663.4056929905148</v>
      </c>
      <c r="BP61" s="25">
        <v>236.40062885837148</v>
      </c>
      <c r="BQ61" s="25">
        <v>4486.4823165761836</v>
      </c>
      <c r="BR61" s="25">
        <v>834.69827706691672</v>
      </c>
      <c r="BS61" s="25">
        <v>1159.8556294594989</v>
      </c>
      <c r="BT61" s="25">
        <v>376.67354478307169</v>
      </c>
      <c r="BU61" s="25">
        <v>1044.0377959837992</v>
      </c>
      <c r="BV61" s="25">
        <v>214.00008386922875</v>
      </c>
      <c r="BW61" s="25">
        <v>1459.6282737187817</v>
      </c>
      <c r="BX61" s="25">
        <v>0</v>
      </c>
      <c r="BY61" s="25">
        <v>65194.243078665888</v>
      </c>
      <c r="BZ61" s="25">
        <v>1877.6632270372982</v>
      </c>
      <c r="CA61" s="25">
        <v>1.2080902034348919</v>
      </c>
      <c r="CB61" s="25">
        <v>0</v>
      </c>
      <c r="CC61" s="25">
        <v>99402.1889032771</v>
      </c>
      <c r="CD61" s="25">
        <v>403.69670081928729</v>
      </c>
      <c r="CE61" s="25">
        <v>0</v>
      </c>
      <c r="CF61" s="25">
        <v>101684.75692133712</v>
      </c>
      <c r="CG61" s="25">
        <v>166879</v>
      </c>
      <c r="CH61"/>
      <c r="CI61">
        <f t="shared" si="0"/>
        <v>0.6093322522386706</v>
      </c>
      <c r="CJ61"/>
      <c r="CK61"/>
      <c r="CL61"/>
      <c r="CM61"/>
      <c r="CN61"/>
      <c r="CO61"/>
      <c r="CP61"/>
      <c r="CQ61"/>
      <c r="CR61"/>
      <c r="CS61"/>
      <c r="CT61"/>
      <c r="CU61"/>
    </row>
    <row r="62" spans="1:99" s="5" customFormat="1" x14ac:dyDescent="0.3">
      <c r="A62" s="35" t="s">
        <v>66</v>
      </c>
      <c r="B62" s="11" t="s">
        <v>140</v>
      </c>
      <c r="C62" s="5">
        <v>57</v>
      </c>
      <c r="D62" s="25">
        <v>38.728256353026197</v>
      </c>
      <c r="E62" s="25">
        <v>19.623890088850146</v>
      </c>
      <c r="F62" s="25">
        <v>1.7845164544971936</v>
      </c>
      <c r="G62" s="25">
        <v>1.6246711609089481</v>
      </c>
      <c r="H62" s="25">
        <v>62.83360492559887</v>
      </c>
      <c r="I62" s="25">
        <v>325.52937927100385</v>
      </c>
      <c r="J62" s="25">
        <v>32.157036189811031</v>
      </c>
      <c r="K62" s="25">
        <v>572.69611490078648</v>
      </c>
      <c r="L62" s="25">
        <v>13.936163515011824</v>
      </c>
      <c r="M62" s="25">
        <v>988.09711363429676</v>
      </c>
      <c r="N62" s="25">
        <v>80.711040888771251</v>
      </c>
      <c r="O62" s="25">
        <v>34.102023776982904</v>
      </c>
      <c r="P62" s="25">
        <v>43.84524496183181</v>
      </c>
      <c r="Q62" s="25">
        <v>54.641887062058103</v>
      </c>
      <c r="R62" s="25">
        <v>18.522191257457813</v>
      </c>
      <c r="S62" s="25">
        <v>16.423592180781757</v>
      </c>
      <c r="T62" s="25">
        <v>231.89467735719307</v>
      </c>
      <c r="U62" s="25">
        <v>4.3449913433617811</v>
      </c>
      <c r="V62" s="25">
        <v>67.015268949577163</v>
      </c>
      <c r="W62" s="25">
        <v>1.7186218043184394</v>
      </c>
      <c r="X62" s="25">
        <v>1.0981418841954195E-2</v>
      </c>
      <c r="Y62" s="25">
        <v>3.8632430637546182</v>
      </c>
      <c r="Z62" s="25">
        <v>398.49709219225417</v>
      </c>
      <c r="AA62" s="25">
        <v>256.29127837608087</v>
      </c>
      <c r="AB62" s="25">
        <v>28.507674842669076</v>
      </c>
      <c r="AC62" s="25">
        <v>445.72369258532217</v>
      </c>
      <c r="AD62" s="25">
        <v>165.08976778260086</v>
      </c>
      <c r="AE62" s="25">
        <v>90.365383280495251</v>
      </c>
      <c r="AF62" s="25">
        <v>212.02172640770348</v>
      </c>
      <c r="AG62" s="25">
        <v>37.230247315691351</v>
      </c>
      <c r="AH62" s="25">
        <v>117.79315570050633</v>
      </c>
      <c r="AI62" s="25">
        <v>216.72525779514413</v>
      </c>
      <c r="AJ62" s="25">
        <v>353.89937825485384</v>
      </c>
      <c r="AK62" s="25">
        <v>201.36635389025892</v>
      </c>
      <c r="AL62" s="25">
        <v>898.8604704715973</v>
      </c>
      <c r="AM62" s="25">
        <v>148.09881454280236</v>
      </c>
      <c r="AN62" s="25">
        <v>56.925881015558012</v>
      </c>
      <c r="AO62" s="25">
        <v>139.64198790949871</v>
      </c>
      <c r="AP62" s="25">
        <v>104.28166841144629</v>
      </c>
      <c r="AQ62" s="25">
        <v>1178.9423337780784</v>
      </c>
      <c r="AR62" s="25">
        <v>192.58130127416271</v>
      </c>
      <c r="AS62" s="25">
        <v>137.97731580369876</v>
      </c>
      <c r="AT62" s="25">
        <v>79.463750393803863</v>
      </c>
      <c r="AU62" s="25">
        <v>386.97546061087439</v>
      </c>
      <c r="AV62" s="25">
        <v>450.07065072931778</v>
      </c>
      <c r="AW62" s="25">
        <v>448.45671081407789</v>
      </c>
      <c r="AX62" s="25">
        <v>9249.1320622787753</v>
      </c>
      <c r="AY62" s="40">
        <v>950.631560981608</v>
      </c>
      <c r="AZ62" s="25">
        <v>1.3063107684784032</v>
      </c>
      <c r="BA62" s="25">
        <v>728.46924818059244</v>
      </c>
      <c r="BB62" s="25">
        <v>1386.1741189130844</v>
      </c>
      <c r="BC62" s="25">
        <v>77.741748066025139</v>
      </c>
      <c r="BD62" s="25">
        <v>144.72223065325733</v>
      </c>
      <c r="BE62" s="25">
        <v>432.95244089647503</v>
      </c>
      <c r="BF62" s="25">
        <v>1134.1664620907934</v>
      </c>
      <c r="BG62" s="25">
        <v>3003.669536936146</v>
      </c>
      <c r="BH62" s="25">
        <v>10878.656025888309</v>
      </c>
      <c r="BI62" s="25">
        <v>15800.579762554977</v>
      </c>
      <c r="BJ62" s="25">
        <v>374.86157953550168</v>
      </c>
      <c r="BK62" s="25">
        <v>2785.733315785762</v>
      </c>
      <c r="BL62" s="25">
        <v>60.919595416456183</v>
      </c>
      <c r="BM62" s="25">
        <v>8243.9433594445964</v>
      </c>
      <c r="BN62" s="25">
        <v>406.71786948488955</v>
      </c>
      <c r="BO62" s="25">
        <v>1063.1863023875724</v>
      </c>
      <c r="BP62" s="25">
        <v>189.14503965930257</v>
      </c>
      <c r="BQ62" s="25">
        <v>11300.844400055425</v>
      </c>
      <c r="BR62" s="25">
        <v>1406.7020513370592</v>
      </c>
      <c r="BS62" s="25">
        <v>442.48724077401943</v>
      </c>
      <c r="BT62" s="25">
        <v>2218.1458266342102</v>
      </c>
      <c r="BU62" s="25">
        <v>24.347565770161836</v>
      </c>
      <c r="BV62" s="25">
        <v>173.94851766525323</v>
      </c>
      <c r="BW62" s="25">
        <v>1533.2824737564472</v>
      </c>
      <c r="BX62" s="25">
        <v>0</v>
      </c>
      <c r="BY62" s="25">
        <v>83372.358510652411</v>
      </c>
      <c r="BZ62" s="25">
        <v>7680.9940767048547</v>
      </c>
      <c r="CA62" s="25">
        <v>2.1347617238733032</v>
      </c>
      <c r="CB62" s="25">
        <v>0</v>
      </c>
      <c r="CC62" s="25">
        <v>2709.5850052853557</v>
      </c>
      <c r="CD62" s="25">
        <v>73604.041317383584</v>
      </c>
      <c r="CE62" s="25">
        <v>40.886328261854104</v>
      </c>
      <c r="CF62" s="25">
        <v>84037.641489359507</v>
      </c>
      <c r="CG62" s="25">
        <v>167410</v>
      </c>
      <c r="CH62"/>
      <c r="CI62">
        <f t="shared" si="0"/>
        <v>0.50198698697425193</v>
      </c>
      <c r="CJ62"/>
      <c r="CK62"/>
      <c r="CL62"/>
      <c r="CM62"/>
      <c r="CN62"/>
      <c r="CO62"/>
      <c r="CP62"/>
      <c r="CQ62"/>
      <c r="CR62"/>
      <c r="CS62"/>
      <c r="CT62"/>
      <c r="CU62"/>
    </row>
    <row r="63" spans="1:99" s="5" customFormat="1" x14ac:dyDescent="0.3">
      <c r="A63" s="35" t="s">
        <v>67</v>
      </c>
      <c r="B63" s="13" t="s">
        <v>141</v>
      </c>
      <c r="C63" s="5">
        <v>58</v>
      </c>
      <c r="D63" s="25">
        <v>6602.3352820543769</v>
      </c>
      <c r="E63" s="25">
        <v>2359.416172989927</v>
      </c>
      <c r="F63" s="25">
        <v>582.05123161848223</v>
      </c>
      <c r="G63" s="25">
        <v>641.68060783197473</v>
      </c>
      <c r="H63" s="25">
        <v>4232.4863364409757</v>
      </c>
      <c r="I63" s="25">
        <v>1860.5817647822951</v>
      </c>
      <c r="J63" s="25">
        <v>575.34196988331621</v>
      </c>
      <c r="K63" s="25">
        <v>5796.4200030124593</v>
      </c>
      <c r="L63" s="25">
        <v>1719.6327803524207</v>
      </c>
      <c r="M63" s="25">
        <v>5838.5102103517693</v>
      </c>
      <c r="N63" s="25">
        <v>1514.6829725899984</v>
      </c>
      <c r="O63" s="25">
        <v>313.08935110493485</v>
      </c>
      <c r="P63" s="25">
        <v>884.74338212528244</v>
      </c>
      <c r="Q63" s="25">
        <v>1115.5440813563603</v>
      </c>
      <c r="R63" s="25">
        <v>819.5313960375089</v>
      </c>
      <c r="S63" s="25">
        <v>581.7556366009253</v>
      </c>
      <c r="T63" s="25">
        <v>2603.3534922175927</v>
      </c>
      <c r="U63" s="25">
        <v>408.75910421460236</v>
      </c>
      <c r="V63" s="25">
        <v>3201.7427415923166</v>
      </c>
      <c r="W63" s="25">
        <v>82.109420342087134</v>
      </c>
      <c r="X63" s="25">
        <v>0.52465174908223344</v>
      </c>
      <c r="Y63" s="25">
        <v>1273.2515914686749</v>
      </c>
      <c r="Z63" s="25">
        <v>4101.6545644029175</v>
      </c>
      <c r="AA63" s="25">
        <v>1476.4253339379834</v>
      </c>
      <c r="AB63" s="25">
        <v>895.66042481235115</v>
      </c>
      <c r="AC63" s="25">
        <v>1229.2177816781229</v>
      </c>
      <c r="AD63" s="25">
        <v>1995.4977187302229</v>
      </c>
      <c r="AE63" s="25">
        <v>1991.9790980381915</v>
      </c>
      <c r="AF63" s="25">
        <v>3017.80946863692</v>
      </c>
      <c r="AG63" s="25">
        <v>1251.9992517617609</v>
      </c>
      <c r="AH63" s="25">
        <v>1622.2480053415395</v>
      </c>
      <c r="AI63" s="25">
        <v>1922.9433090079483</v>
      </c>
      <c r="AJ63" s="25">
        <v>1439.5881967115095</v>
      </c>
      <c r="AK63" s="25">
        <v>2268.0871422695545</v>
      </c>
      <c r="AL63" s="25">
        <v>3572.3719476650072</v>
      </c>
      <c r="AM63" s="25">
        <v>1433.9013754787461</v>
      </c>
      <c r="AN63" s="25">
        <v>812.70921780385788</v>
      </c>
      <c r="AO63" s="25">
        <v>1041.6387753436397</v>
      </c>
      <c r="AP63" s="25">
        <v>758.13782670701926</v>
      </c>
      <c r="AQ63" s="25">
        <v>5797.2326472892601</v>
      </c>
      <c r="AR63" s="25">
        <v>946.98321963403237</v>
      </c>
      <c r="AS63" s="25">
        <v>678.4781382811143</v>
      </c>
      <c r="AT63" s="25">
        <v>390.66810553707404</v>
      </c>
      <c r="AU63" s="25">
        <v>1504.0576525349597</v>
      </c>
      <c r="AV63" s="25">
        <v>8139.5713778785139</v>
      </c>
      <c r="AW63" s="25">
        <v>2995.6862972509057</v>
      </c>
      <c r="AX63" s="25">
        <v>30959.876911436764</v>
      </c>
      <c r="AY63" s="40">
        <v>9636.0336623211424</v>
      </c>
      <c r="AZ63" s="25">
        <v>656.23570569576134</v>
      </c>
      <c r="BA63" s="25">
        <v>1554.5954009003133</v>
      </c>
      <c r="BB63" s="25">
        <v>3712.8598792394764</v>
      </c>
      <c r="BC63" s="25">
        <v>692.29050557282415</v>
      </c>
      <c r="BD63" s="25">
        <v>3512.5449256361298</v>
      </c>
      <c r="BE63" s="25">
        <v>442.37578934724803</v>
      </c>
      <c r="BF63" s="25">
        <v>1055.7912479525148</v>
      </c>
      <c r="BG63" s="25">
        <v>7280.4945532615111</v>
      </c>
      <c r="BH63" s="25">
        <v>3145.4131626801791</v>
      </c>
      <c r="BI63" s="25">
        <v>83013.598112740801</v>
      </c>
      <c r="BJ63" s="25">
        <v>22883.602366002386</v>
      </c>
      <c r="BK63" s="25">
        <v>4905.4915526766945</v>
      </c>
      <c r="BL63" s="25">
        <v>1337.8200810580283</v>
      </c>
      <c r="BM63" s="25">
        <v>1032.8942421431939</v>
      </c>
      <c r="BN63" s="25">
        <v>1398.2646266221736</v>
      </c>
      <c r="BO63" s="25">
        <v>5741.1878909335273</v>
      </c>
      <c r="BP63" s="25">
        <v>1069.0797960578209</v>
      </c>
      <c r="BQ63" s="25">
        <v>55942.129987645218</v>
      </c>
      <c r="BR63" s="25">
        <v>788.84308051837559</v>
      </c>
      <c r="BS63" s="25">
        <v>2530.70833702459</v>
      </c>
      <c r="BT63" s="25">
        <v>426.36690677848236</v>
      </c>
      <c r="BU63" s="25">
        <v>5587.23100290404</v>
      </c>
      <c r="BV63" s="25">
        <v>1035.141164827857</v>
      </c>
      <c r="BW63" s="25">
        <v>2639.5184822086894</v>
      </c>
      <c r="BX63" s="25">
        <v>0</v>
      </c>
      <c r="BY63" s="25">
        <v>347272.48043163639</v>
      </c>
      <c r="BZ63" s="25">
        <v>6672.8521437571972</v>
      </c>
      <c r="CA63" s="25">
        <v>2246.9377218986174</v>
      </c>
      <c r="CB63" s="25">
        <v>305.59708295350953</v>
      </c>
      <c r="CC63" s="25">
        <v>291803.17950075812</v>
      </c>
      <c r="CD63" s="25">
        <v>707.64795215834283</v>
      </c>
      <c r="CE63" s="25">
        <v>0.30516711532505897</v>
      </c>
      <c r="CF63" s="25">
        <v>301736.51956864109</v>
      </c>
      <c r="CG63" s="25">
        <v>649009</v>
      </c>
      <c r="CH63"/>
      <c r="CI63">
        <f t="shared" si="0"/>
        <v>0.46491885254078308</v>
      </c>
      <c r="CJ63"/>
      <c r="CK63"/>
      <c r="CL63"/>
      <c r="CM63"/>
      <c r="CN63"/>
      <c r="CO63"/>
      <c r="CP63"/>
      <c r="CQ63"/>
      <c r="CR63"/>
      <c r="CS63"/>
      <c r="CT63"/>
      <c r="CU63"/>
    </row>
    <row r="64" spans="1:99" s="5" customFormat="1" x14ac:dyDescent="0.3">
      <c r="A64" s="35" t="s">
        <v>68</v>
      </c>
      <c r="B64" s="11" t="s">
        <v>142</v>
      </c>
      <c r="C64" s="5">
        <v>59</v>
      </c>
      <c r="D64" s="25">
        <v>5.7983309880035012</v>
      </c>
      <c r="E64" s="25">
        <v>5.0735396145030638</v>
      </c>
      <c r="F64" s="25">
        <v>6.5231223615039395</v>
      </c>
      <c r="G64" s="25">
        <v>18.84457571101138</v>
      </c>
      <c r="H64" s="25">
        <v>387.76338482273417</v>
      </c>
      <c r="I64" s="25">
        <v>37.689151422022761</v>
      </c>
      <c r="J64" s="25">
        <v>15.945410217009631</v>
      </c>
      <c r="K64" s="25">
        <v>575.48435055934749</v>
      </c>
      <c r="L64" s="25">
        <v>107.26912327806478</v>
      </c>
      <c r="M64" s="25">
        <v>441.39794646176659</v>
      </c>
      <c r="N64" s="25">
        <v>55.808935759533703</v>
      </c>
      <c r="O64" s="25">
        <v>16.670201590510068</v>
      </c>
      <c r="P64" s="25">
        <v>251.50260660465185</v>
      </c>
      <c r="Q64" s="25">
        <v>306.58675099068518</v>
      </c>
      <c r="R64" s="25">
        <v>78.277468338047271</v>
      </c>
      <c r="S64" s="25">
        <v>34.065194554520573</v>
      </c>
      <c r="T64" s="25">
        <v>142.05910920608576</v>
      </c>
      <c r="U64" s="25">
        <v>42.037899663025385</v>
      </c>
      <c r="V64" s="25">
        <v>154.02916653595349</v>
      </c>
      <c r="W64" s="25">
        <v>3.9501129855773858</v>
      </c>
      <c r="X64" s="25">
        <v>2.5239901564538786E-2</v>
      </c>
      <c r="Y64" s="25">
        <v>173.94992964010504</v>
      </c>
      <c r="Z64" s="25">
        <v>152.20618843509192</v>
      </c>
      <c r="AA64" s="25">
        <v>87.699756193552957</v>
      </c>
      <c r="AB64" s="25">
        <v>144.95827470008754</v>
      </c>
      <c r="AC64" s="25">
        <v>223.23574303813481</v>
      </c>
      <c r="AD64" s="25">
        <v>365.29485224422064</v>
      </c>
      <c r="AE64" s="25">
        <v>150.75660568809104</v>
      </c>
      <c r="AF64" s="25">
        <v>268.17280819516191</v>
      </c>
      <c r="AG64" s="25">
        <v>10.147079229006128</v>
      </c>
      <c r="AH64" s="25">
        <v>218.16220342363175</v>
      </c>
      <c r="AI64" s="25">
        <v>160.17889354359673</v>
      </c>
      <c r="AJ64" s="25">
        <v>93.498087181556457</v>
      </c>
      <c r="AK64" s="25">
        <v>180.47305200160898</v>
      </c>
      <c r="AL64" s="25">
        <v>100.74600091656083</v>
      </c>
      <c r="AM64" s="25">
        <v>187.72096573661335</v>
      </c>
      <c r="AN64" s="25">
        <v>51.460187518531079</v>
      </c>
      <c r="AO64" s="25">
        <v>202.94158458012254</v>
      </c>
      <c r="AP64" s="25">
        <v>49.285813398029759</v>
      </c>
      <c r="AQ64" s="25">
        <v>811.49347584892712</v>
      </c>
      <c r="AR64" s="25">
        <v>132.55819650963286</v>
      </c>
      <c r="AS64" s="25">
        <v>94.973001122992287</v>
      </c>
      <c r="AT64" s="25">
        <v>54.685509130608025</v>
      </c>
      <c r="AU64" s="25">
        <v>268.89759956866237</v>
      </c>
      <c r="AV64" s="25">
        <v>914.68671335755243</v>
      </c>
      <c r="AW64" s="25">
        <v>3108.6302009433775</v>
      </c>
      <c r="AX64" s="25">
        <v>33878.198380157461</v>
      </c>
      <c r="AY64" s="40">
        <v>1079.9391465156523</v>
      </c>
      <c r="AZ64" s="25">
        <v>62.33205812103764</v>
      </c>
      <c r="BA64" s="25">
        <v>89.87413031405427</v>
      </c>
      <c r="BB64" s="25">
        <v>2450.5196338049795</v>
      </c>
      <c r="BC64" s="25">
        <v>1042.2499950936294</v>
      </c>
      <c r="BD64" s="25">
        <v>4818.4130510309096</v>
      </c>
      <c r="BE64" s="25">
        <v>151.48139706159148</v>
      </c>
      <c r="BF64" s="25">
        <v>393.56171581073767</v>
      </c>
      <c r="BG64" s="25">
        <v>1869.9617436311291</v>
      </c>
      <c r="BH64" s="25">
        <v>1554.6774961584388</v>
      </c>
      <c r="BI64" s="25">
        <v>4437.8975799431801</v>
      </c>
      <c r="BJ64" s="25">
        <v>1844.594045558614</v>
      </c>
      <c r="BK64" s="25">
        <v>4400.9332198946577</v>
      </c>
      <c r="BL64" s="25">
        <v>687.82701345191549</v>
      </c>
      <c r="BM64" s="25">
        <v>919.76025297205558</v>
      </c>
      <c r="BN64" s="25">
        <v>932.80649769506329</v>
      </c>
      <c r="BO64" s="25">
        <v>2970.195048604794</v>
      </c>
      <c r="BP64" s="25">
        <v>220.33657754413304</v>
      </c>
      <c r="BQ64" s="25">
        <v>2312.8092728398969</v>
      </c>
      <c r="BR64" s="25">
        <v>513.15229243830993</v>
      </c>
      <c r="BS64" s="25">
        <v>4061.7308570964528</v>
      </c>
      <c r="BT64" s="25">
        <v>367.46922636472192</v>
      </c>
      <c r="BU64" s="25">
        <v>2169.3005808868102</v>
      </c>
      <c r="BV64" s="25">
        <v>3154.2920574739046</v>
      </c>
      <c r="BW64" s="25">
        <v>3091.9599993528677</v>
      </c>
      <c r="BX64" s="25">
        <v>0</v>
      </c>
      <c r="BY64" s="25">
        <v>90369.887613528597</v>
      </c>
      <c r="BZ64" s="25">
        <v>3047.2543167395993</v>
      </c>
      <c r="CA64" s="25">
        <v>0</v>
      </c>
      <c r="CB64" s="25">
        <v>0</v>
      </c>
      <c r="CC64" s="25">
        <v>546334.85807424737</v>
      </c>
      <c r="CD64" s="25">
        <v>0</v>
      </c>
      <c r="CE64" s="25">
        <v>0</v>
      </c>
      <c r="CF64" s="25">
        <v>549382.11239098699</v>
      </c>
      <c r="CG64" s="25">
        <v>639752</v>
      </c>
      <c r="CH64"/>
      <c r="CI64">
        <f t="shared" si="0"/>
        <v>0.85874231325730443</v>
      </c>
      <c r="CJ64"/>
      <c r="CK64"/>
      <c r="CL64"/>
      <c r="CM64"/>
      <c r="CN64"/>
      <c r="CO64"/>
      <c r="CP64"/>
      <c r="CQ64"/>
      <c r="CR64"/>
      <c r="CS64"/>
      <c r="CT64"/>
      <c r="CU64"/>
    </row>
    <row r="65" spans="1:99" s="5" customFormat="1" x14ac:dyDescent="0.3">
      <c r="A65" s="35" t="s">
        <v>69</v>
      </c>
      <c r="B65" s="11" t="s">
        <v>143</v>
      </c>
      <c r="C65" s="5">
        <v>60</v>
      </c>
      <c r="D65" s="25">
        <v>23.272916355466521</v>
      </c>
      <c r="E65" s="25">
        <v>9.8925019398190379</v>
      </c>
      <c r="F65" s="25">
        <v>33.75296003180771</v>
      </c>
      <c r="G65" s="25">
        <v>517.28380854943907</v>
      </c>
      <c r="H65" s="25">
        <v>10436.079361689524</v>
      </c>
      <c r="I65" s="25">
        <v>2747.4792190050885</v>
      </c>
      <c r="J65" s="25">
        <v>302.08222788788345</v>
      </c>
      <c r="K65" s="25">
        <v>4121.9710954896464</v>
      </c>
      <c r="L65" s="25">
        <v>536.00213099611119</v>
      </c>
      <c r="M65" s="25">
        <v>7390.5518425056971</v>
      </c>
      <c r="N65" s="25">
        <v>2064.1462020933764</v>
      </c>
      <c r="O65" s="25">
        <v>742.38887776228273</v>
      </c>
      <c r="P65" s="25">
        <v>371.02640888108976</v>
      </c>
      <c r="Q65" s="25">
        <v>373.04490533874758</v>
      </c>
      <c r="R65" s="25">
        <v>253.95314627965797</v>
      </c>
      <c r="S65" s="25">
        <v>305.81976744430563</v>
      </c>
      <c r="T65" s="25">
        <v>2410.6918564129737</v>
      </c>
      <c r="U65" s="25">
        <v>85.225416994027881</v>
      </c>
      <c r="V65" s="25">
        <v>6216.4726316737288</v>
      </c>
      <c r="W65" s="25">
        <v>159.42285360045116</v>
      </c>
      <c r="X65" s="25">
        <v>1.0186587438650456</v>
      </c>
      <c r="Y65" s="25">
        <v>660.1723984385161</v>
      </c>
      <c r="Z65" s="25">
        <v>3720.7685424709784</v>
      </c>
      <c r="AA65" s="25">
        <v>5223.1735154292974</v>
      </c>
      <c r="AB65" s="25">
        <v>1777.1204292248131</v>
      </c>
      <c r="AC65" s="25">
        <v>5256.8238125519611</v>
      </c>
      <c r="AD65" s="25">
        <v>1812.4679928897315</v>
      </c>
      <c r="AE65" s="25">
        <v>2141.341301527993</v>
      </c>
      <c r="AF65" s="25">
        <v>1388.783376760673</v>
      </c>
      <c r="AG65" s="25">
        <v>590.29317007141174</v>
      </c>
      <c r="AH65" s="25">
        <v>853.83422585465985</v>
      </c>
      <c r="AI65" s="25">
        <v>2979.6333944393905</v>
      </c>
      <c r="AJ65" s="25">
        <v>1734.8444428229632</v>
      </c>
      <c r="AK65" s="25">
        <v>1710.6961873718815</v>
      </c>
      <c r="AL65" s="25">
        <v>2390.9339876713798</v>
      </c>
      <c r="AM65" s="25">
        <v>1188.3368383155353</v>
      </c>
      <c r="AN65" s="25">
        <v>242.00158072399486</v>
      </c>
      <c r="AO65" s="25">
        <v>466.76289230098701</v>
      </c>
      <c r="AP65" s="25">
        <v>738.40724027323449</v>
      </c>
      <c r="AQ65" s="25">
        <v>991.56319941165179</v>
      </c>
      <c r="AR65" s="25">
        <v>161.9727494442601</v>
      </c>
      <c r="AS65" s="25">
        <v>116.04743063735026</v>
      </c>
      <c r="AT65" s="25">
        <v>66.820177868066438</v>
      </c>
      <c r="AU65" s="25">
        <v>1440.4557319132934</v>
      </c>
      <c r="AV65" s="25">
        <v>3953.3066227006584</v>
      </c>
      <c r="AW65" s="25">
        <v>7186.3214217680079</v>
      </c>
      <c r="AX65" s="25">
        <v>27986.876183019751</v>
      </c>
      <c r="AY65" s="40">
        <v>2468.8984850465076</v>
      </c>
      <c r="AZ65" s="25">
        <v>129.40306220419515</v>
      </c>
      <c r="BA65" s="25">
        <v>501.47123014316753</v>
      </c>
      <c r="BB65" s="25">
        <v>2268.5182184061769</v>
      </c>
      <c r="BC65" s="25">
        <v>275.05984668023166</v>
      </c>
      <c r="BD65" s="25">
        <v>1285.3570635588956</v>
      </c>
      <c r="BE65" s="25">
        <v>404.16716929115779</v>
      </c>
      <c r="BF65" s="25">
        <v>2879.7173761172357</v>
      </c>
      <c r="BG65" s="25">
        <v>3346.7482573272928</v>
      </c>
      <c r="BH65" s="25">
        <v>3250.5904801306674</v>
      </c>
      <c r="BI65" s="25">
        <v>16159.323787216927</v>
      </c>
      <c r="BJ65" s="25">
        <v>2774.4413646386806</v>
      </c>
      <c r="BK65" s="25">
        <v>16667.53661750826</v>
      </c>
      <c r="BL65" s="25">
        <v>4649.5690869474884</v>
      </c>
      <c r="BM65" s="25">
        <v>454.01877533068551</v>
      </c>
      <c r="BN65" s="25">
        <v>954.16807430047584</v>
      </c>
      <c r="BO65" s="25">
        <v>4426.9768774596114</v>
      </c>
      <c r="BP65" s="25">
        <v>1461.5696646316403</v>
      </c>
      <c r="BQ65" s="25">
        <v>5306.5420043233789</v>
      </c>
      <c r="BR65" s="25">
        <v>236.70659129242065</v>
      </c>
      <c r="BS65" s="25">
        <v>2501.7124421804237</v>
      </c>
      <c r="BT65" s="25">
        <v>306.63607693679575</v>
      </c>
      <c r="BU65" s="25">
        <v>3383.9809251620154</v>
      </c>
      <c r="BV65" s="25">
        <v>1153.5022710254257</v>
      </c>
      <c r="BW65" s="25">
        <v>3450.1949589799742</v>
      </c>
      <c r="BX65" s="25">
        <v>0</v>
      </c>
      <c r="BY65" s="25">
        <v>196578.14834241717</v>
      </c>
      <c r="BZ65" s="25">
        <v>13956.507962754715</v>
      </c>
      <c r="CA65" s="25">
        <v>0.21307414569733535</v>
      </c>
      <c r="CB65" s="25">
        <v>0</v>
      </c>
      <c r="CC65" s="25">
        <v>18072.685091320462</v>
      </c>
      <c r="CD65" s="25">
        <v>5.4455293675790299</v>
      </c>
      <c r="CE65" s="25">
        <v>0</v>
      </c>
      <c r="CF65" s="25">
        <v>32034.851657588457</v>
      </c>
      <c r="CG65" s="25">
        <v>228613</v>
      </c>
      <c r="CH65"/>
      <c r="CI65">
        <f t="shared" si="0"/>
        <v>0.14012699040556947</v>
      </c>
      <c r="CJ65"/>
      <c r="CK65"/>
      <c r="CL65"/>
      <c r="CM65"/>
      <c r="CN65"/>
      <c r="CO65"/>
      <c r="CP65"/>
      <c r="CQ65"/>
      <c r="CR65"/>
      <c r="CS65"/>
      <c r="CT65"/>
      <c r="CU65"/>
    </row>
    <row r="66" spans="1:99" s="5" customFormat="1" x14ac:dyDescent="0.3">
      <c r="A66" s="35" t="s">
        <v>70</v>
      </c>
      <c r="B66" s="11" t="s">
        <v>144</v>
      </c>
      <c r="C66" s="5">
        <v>61</v>
      </c>
      <c r="D66" s="25">
        <v>718.3966543563281</v>
      </c>
      <c r="E66" s="25">
        <v>23.732097147130816</v>
      </c>
      <c r="F66" s="25">
        <v>0.33195957003182014</v>
      </c>
      <c r="G66" s="25">
        <v>36.083974207080644</v>
      </c>
      <c r="H66" s="25">
        <v>1572.31505554708</v>
      </c>
      <c r="I66" s="25">
        <v>395.45980305987706</v>
      </c>
      <c r="J66" s="25">
        <v>95.707760847209641</v>
      </c>
      <c r="K66" s="25">
        <v>785.13914623763173</v>
      </c>
      <c r="L66" s="25">
        <v>185.91799650692712</v>
      </c>
      <c r="M66" s="25">
        <v>809.50784483494692</v>
      </c>
      <c r="N66" s="25">
        <v>160.01503692457311</v>
      </c>
      <c r="O66" s="25">
        <v>71.356507289358348</v>
      </c>
      <c r="P66" s="25">
        <v>43.626953711115618</v>
      </c>
      <c r="Q66" s="25">
        <v>103.42656028365677</v>
      </c>
      <c r="R66" s="25">
        <v>76.930976899851828</v>
      </c>
      <c r="S66" s="25">
        <v>43.674958739737306</v>
      </c>
      <c r="T66" s="25">
        <v>366.53851753609621</v>
      </c>
      <c r="U66" s="25">
        <v>24.554571734664631</v>
      </c>
      <c r="V66" s="25">
        <v>127.17244912977122</v>
      </c>
      <c r="W66" s="25">
        <v>3.2615066084491526</v>
      </c>
      <c r="X66" s="25">
        <v>2.6308599745689679E-2</v>
      </c>
      <c r="Y66" s="25">
        <v>180.63405196627349</v>
      </c>
      <c r="Z66" s="25">
        <v>557.88364504603817</v>
      </c>
      <c r="AA66" s="25">
        <v>416.34629959775185</v>
      </c>
      <c r="AB66" s="25">
        <v>288.72097384254465</v>
      </c>
      <c r="AC66" s="25">
        <v>651.88767553795071</v>
      </c>
      <c r="AD66" s="25">
        <v>635.73941383452689</v>
      </c>
      <c r="AE66" s="25">
        <v>341.38675864871368</v>
      </c>
      <c r="AF66" s="25">
        <v>312.49243234572816</v>
      </c>
      <c r="AG66" s="25">
        <v>200.18865828079646</v>
      </c>
      <c r="AH66" s="25">
        <v>313.12335878154499</v>
      </c>
      <c r="AI66" s="25">
        <v>432.6866836297246</v>
      </c>
      <c r="AJ66" s="25">
        <v>253.36048053837018</v>
      </c>
      <c r="AK66" s="25">
        <v>1193.2459282038503</v>
      </c>
      <c r="AL66" s="25">
        <v>1225.4392350205328</v>
      </c>
      <c r="AM66" s="25">
        <v>514.61505318396314</v>
      </c>
      <c r="AN66" s="25">
        <v>118.63723635374754</v>
      </c>
      <c r="AO66" s="25">
        <v>180.22440117634508</v>
      </c>
      <c r="AP66" s="25">
        <v>194.58671601245075</v>
      </c>
      <c r="AQ66" s="25">
        <v>1657.3160657788428</v>
      </c>
      <c r="AR66" s="25">
        <v>270.72408499188293</v>
      </c>
      <c r="AS66" s="25">
        <v>193.96370428204139</v>
      </c>
      <c r="AT66" s="25">
        <v>111.5059362215317</v>
      </c>
      <c r="AU66" s="25">
        <v>347.12119381373867</v>
      </c>
      <c r="AV66" s="25">
        <v>1978.6182890752661</v>
      </c>
      <c r="AW66" s="25">
        <v>72.417731323085363</v>
      </c>
      <c r="AX66" s="25">
        <v>1216.3394588959059</v>
      </c>
      <c r="AY66" s="40">
        <v>230.32232767025084</v>
      </c>
      <c r="AZ66" s="25">
        <v>9.9749793051058013</v>
      </c>
      <c r="BA66" s="25">
        <v>0.42553047046471698</v>
      </c>
      <c r="BB66" s="25">
        <v>3339.4436618741329</v>
      </c>
      <c r="BC66" s="25">
        <v>8.8081516522185481</v>
      </c>
      <c r="BD66" s="25">
        <v>28.710019434497475</v>
      </c>
      <c r="BE66" s="25">
        <v>0.89709438329907432</v>
      </c>
      <c r="BF66" s="25">
        <v>1.6923970123296401</v>
      </c>
      <c r="BG66" s="25">
        <v>18.043698371978458</v>
      </c>
      <c r="BH66" s="25">
        <v>248.45837650777761</v>
      </c>
      <c r="BI66" s="25">
        <v>419.52983912533017</v>
      </c>
      <c r="BJ66" s="25">
        <v>18.453922505345368</v>
      </c>
      <c r="BK66" s="25">
        <v>18.507951661913012</v>
      </c>
      <c r="BL66" s="25">
        <v>1722.7997235805485</v>
      </c>
      <c r="BM66" s="25">
        <v>3.9041187447384753</v>
      </c>
      <c r="BN66" s="25">
        <v>55.633660928466611</v>
      </c>
      <c r="BO66" s="25">
        <v>32.969002002624336</v>
      </c>
      <c r="BP66" s="25">
        <v>1.2010057204687821</v>
      </c>
      <c r="BQ66" s="25">
        <v>4719.4629756159902</v>
      </c>
      <c r="BR66" s="25">
        <v>1341.3790137445703</v>
      </c>
      <c r="BS66" s="25">
        <v>88.102104276410259</v>
      </c>
      <c r="BT66" s="25">
        <v>1368.9886549960875</v>
      </c>
      <c r="BU66" s="25">
        <v>11.424638252980708</v>
      </c>
      <c r="BV66" s="25">
        <v>12.845555337072048</v>
      </c>
      <c r="BW66" s="25">
        <v>13.109328671003013</v>
      </c>
      <c r="BX66" s="25">
        <v>0</v>
      </c>
      <c r="BY66" s="25">
        <v>33217.469838000012</v>
      </c>
      <c r="BZ66" s="25">
        <v>22160.160248651791</v>
      </c>
      <c r="CA66" s="25">
        <v>0.10653707284866767</v>
      </c>
      <c r="CB66" s="25">
        <v>0</v>
      </c>
      <c r="CC66" s="25">
        <v>879.51022555371264</v>
      </c>
      <c r="CD66" s="25">
        <v>6641.1850712291762</v>
      </c>
      <c r="CE66" s="25">
        <v>-7.4319204837301536</v>
      </c>
      <c r="CF66" s="25">
        <v>29673.530162023799</v>
      </c>
      <c r="CG66" s="25">
        <v>62891</v>
      </c>
      <c r="CH66"/>
      <c r="CI66">
        <f t="shared" si="0"/>
        <v>0.4718247469753033</v>
      </c>
      <c r="CJ66"/>
      <c r="CK66"/>
      <c r="CL66"/>
      <c r="CM66"/>
      <c r="CN66"/>
      <c r="CO66"/>
      <c r="CP66"/>
      <c r="CQ66"/>
      <c r="CR66"/>
      <c r="CS66"/>
      <c r="CT66"/>
      <c r="CU66"/>
    </row>
    <row r="67" spans="1:99" s="5" customFormat="1" x14ac:dyDescent="0.3">
      <c r="A67" s="35" t="s">
        <v>71</v>
      </c>
      <c r="B67" s="11" t="s">
        <v>145</v>
      </c>
      <c r="C67" s="5">
        <v>62</v>
      </c>
      <c r="D67" s="25">
        <v>15.093023184318485</v>
      </c>
      <c r="E67" s="25">
        <v>428.77741954459185</v>
      </c>
      <c r="F67" s="25">
        <v>101.73546722970767</v>
      </c>
      <c r="G67" s="25">
        <v>37.898929599101791</v>
      </c>
      <c r="H67" s="25">
        <v>834.77219379227222</v>
      </c>
      <c r="I67" s="25">
        <v>14.263895014824083</v>
      </c>
      <c r="J67" s="25">
        <v>0.78761504891165535</v>
      </c>
      <c r="K67" s="25">
        <v>2443.9041178230427</v>
      </c>
      <c r="L67" s="25">
        <v>155.23811105094239</v>
      </c>
      <c r="M67" s="25">
        <v>3877.0480771093448</v>
      </c>
      <c r="N67" s="25">
        <v>4985.176169238769</v>
      </c>
      <c r="O67" s="25">
        <v>222.05138442213556</v>
      </c>
      <c r="P67" s="25">
        <v>90.986076279737233</v>
      </c>
      <c r="Q67" s="25">
        <v>365.73815920927439</v>
      </c>
      <c r="R67" s="25">
        <v>824.21355379777629</v>
      </c>
      <c r="S67" s="25">
        <v>42.449862701070629</v>
      </c>
      <c r="T67" s="25">
        <v>554.92690090155236</v>
      </c>
      <c r="U67" s="25">
        <v>56.514711171160712</v>
      </c>
      <c r="V67" s="25">
        <v>231.93107242626769</v>
      </c>
      <c r="W67" s="25">
        <v>5.9479250686982095</v>
      </c>
      <c r="X67" s="25">
        <v>3.8005252962467283E-2</v>
      </c>
      <c r="Y67" s="25">
        <v>111.54259413927437</v>
      </c>
      <c r="Z67" s="25">
        <v>125.30336328007401</v>
      </c>
      <c r="AA67" s="25">
        <v>534.77932478733828</v>
      </c>
      <c r="AB67" s="25">
        <v>1323.7033577635452</v>
      </c>
      <c r="AC67" s="25">
        <v>2089.7675878003752</v>
      </c>
      <c r="AD67" s="25">
        <v>566.29794415223716</v>
      </c>
      <c r="AE67" s="25">
        <v>266.87945465512837</v>
      </c>
      <c r="AF67" s="25">
        <v>255.85801582811462</v>
      </c>
      <c r="AG67" s="25">
        <v>20.275698743758635</v>
      </c>
      <c r="AH67" s="25">
        <v>531.94417590765761</v>
      </c>
      <c r="AI67" s="25">
        <v>1413.1369619458917</v>
      </c>
      <c r="AJ67" s="25">
        <v>660.99929857141183</v>
      </c>
      <c r="AK67" s="25">
        <v>459.43719935996006</v>
      </c>
      <c r="AL67" s="25">
        <v>4549.4881312101597</v>
      </c>
      <c r="AM67" s="25">
        <v>171.09015186719751</v>
      </c>
      <c r="AN67" s="25">
        <v>259.89892560666954</v>
      </c>
      <c r="AO67" s="25">
        <v>434.68065973430538</v>
      </c>
      <c r="AP67" s="25">
        <v>147.30747115458632</v>
      </c>
      <c r="AQ67" s="25">
        <v>2755.3710581761834</v>
      </c>
      <c r="AR67" s="25">
        <v>450.09236556655981</v>
      </c>
      <c r="AS67" s="25">
        <v>322.47438382504538</v>
      </c>
      <c r="AT67" s="25">
        <v>185.68093724040995</v>
      </c>
      <c r="AU67" s="25">
        <v>213.2669769921242</v>
      </c>
      <c r="AV67" s="25">
        <v>1442.8978255846428</v>
      </c>
      <c r="AW67" s="25">
        <v>2669.0785921410261</v>
      </c>
      <c r="AX67" s="25">
        <v>18997.389371972502</v>
      </c>
      <c r="AY67" s="40">
        <v>763.5779322768077</v>
      </c>
      <c r="AZ67" s="25">
        <v>45.332452878567167</v>
      </c>
      <c r="BA67" s="25">
        <v>193.83665800532469</v>
      </c>
      <c r="BB67" s="25">
        <v>1315.4889290565861</v>
      </c>
      <c r="BC67" s="25">
        <v>335.5221588104647</v>
      </c>
      <c r="BD67" s="25">
        <v>862.49022131088282</v>
      </c>
      <c r="BE67" s="25">
        <v>676.34861945086641</v>
      </c>
      <c r="BF67" s="25">
        <v>1996.1941752903199</v>
      </c>
      <c r="BG67" s="25">
        <v>3016.4241151376455</v>
      </c>
      <c r="BH67" s="25">
        <v>2121.0139750365483</v>
      </c>
      <c r="BI67" s="25">
        <v>9538.6922657731247</v>
      </c>
      <c r="BJ67" s="25">
        <v>928.41987003530789</v>
      </c>
      <c r="BK67" s="25">
        <v>4481.0501076940909</v>
      </c>
      <c r="BL67" s="25">
        <v>407.29628857809814</v>
      </c>
      <c r="BM67" s="25">
        <v>2054.5567801959974</v>
      </c>
      <c r="BN67" s="25">
        <v>1044.2708441913148</v>
      </c>
      <c r="BO67" s="25">
        <v>1742.8634265246103</v>
      </c>
      <c r="BP67" s="25">
        <v>189.44255996050995</v>
      </c>
      <c r="BQ67" s="25">
        <v>4030.7572238501957</v>
      </c>
      <c r="BR67" s="25">
        <v>654.50592633963868</v>
      </c>
      <c r="BS67" s="25">
        <v>2758.0428235483923</v>
      </c>
      <c r="BT67" s="25">
        <v>1108.7243533550179</v>
      </c>
      <c r="BU67" s="25">
        <v>45.433719695587143</v>
      </c>
      <c r="BV67" s="25">
        <v>1489.645856424544</v>
      </c>
      <c r="BW67" s="25">
        <v>1673.124902137891</v>
      </c>
      <c r="BX67" s="25">
        <v>0</v>
      </c>
      <c r="BY67" s="25">
        <v>99721.190683430963</v>
      </c>
      <c r="BZ67" s="25">
        <v>3441.3441972555283</v>
      </c>
      <c r="CA67" s="25">
        <v>0.10452693939869281</v>
      </c>
      <c r="CB67" s="25">
        <v>0</v>
      </c>
      <c r="CC67" s="25">
        <v>1654.689200611997</v>
      </c>
      <c r="CD67" s="25">
        <v>2.6713917652274488</v>
      </c>
      <c r="CE67" s="25">
        <v>0</v>
      </c>
      <c r="CF67" s="25">
        <v>5098.8093165721521</v>
      </c>
      <c r="CG67" s="25">
        <v>104820</v>
      </c>
      <c r="CH67"/>
      <c r="CI67">
        <f t="shared" si="0"/>
        <v>4.8643477547912158E-2</v>
      </c>
      <c r="CJ67"/>
      <c r="CK67"/>
      <c r="CL67"/>
      <c r="CM67"/>
      <c r="CN67"/>
      <c r="CO67"/>
      <c r="CP67"/>
      <c r="CQ67"/>
      <c r="CR67"/>
      <c r="CS67"/>
      <c r="CT67"/>
      <c r="CU67"/>
    </row>
    <row r="68" spans="1:99" s="5" customFormat="1" x14ac:dyDescent="0.3">
      <c r="A68" s="35" t="s">
        <v>72</v>
      </c>
      <c r="B68" s="13" t="s">
        <v>146</v>
      </c>
      <c r="C68" s="5">
        <v>63</v>
      </c>
      <c r="D68" s="25">
        <v>205.60424964953293</v>
      </c>
      <c r="E68" s="25">
        <v>28.023518298222324</v>
      </c>
      <c r="F68" s="25">
        <v>38.508606855517549</v>
      </c>
      <c r="G68" s="25">
        <v>116.86728051323043</v>
      </c>
      <c r="H68" s="25">
        <v>6131.8541762540463</v>
      </c>
      <c r="I68" s="25">
        <v>894.53871931067351</v>
      </c>
      <c r="J68" s="25">
        <v>127.17831177848983</v>
      </c>
      <c r="K68" s="25">
        <v>217.42906554111181</v>
      </c>
      <c r="L68" s="25">
        <v>150.92641103544005</v>
      </c>
      <c r="M68" s="25">
        <v>631.16842581109574</v>
      </c>
      <c r="N68" s="25">
        <v>190.81122677137262</v>
      </c>
      <c r="O68" s="25">
        <v>21.270996659198861</v>
      </c>
      <c r="P68" s="25">
        <v>32.99846305752947</v>
      </c>
      <c r="Q68" s="25">
        <v>55.841001149375131</v>
      </c>
      <c r="R68" s="25">
        <v>40.169062916981353</v>
      </c>
      <c r="S68" s="25">
        <v>86.284969345043024</v>
      </c>
      <c r="T68" s="25">
        <v>473.18735490788873</v>
      </c>
      <c r="U68" s="25">
        <v>90.593479798092531</v>
      </c>
      <c r="V68" s="25">
        <v>252.78269318409866</v>
      </c>
      <c r="W68" s="25">
        <v>6.4931625431138027</v>
      </c>
      <c r="X68" s="25">
        <v>0.45064599733962518</v>
      </c>
      <c r="Y68" s="25">
        <v>58.966029032117767</v>
      </c>
      <c r="Z68" s="25">
        <v>260.72578316504865</v>
      </c>
      <c r="AA68" s="25">
        <v>223.08808232749669</v>
      </c>
      <c r="AB68" s="25">
        <v>49.535794382551529</v>
      </c>
      <c r="AC68" s="25">
        <v>117.3086033485307</v>
      </c>
      <c r="AD68" s="25">
        <v>354.35758435694197</v>
      </c>
      <c r="AE68" s="25">
        <v>229.81965227726525</v>
      </c>
      <c r="AF68" s="25">
        <v>528.0464150104973</v>
      </c>
      <c r="AG68" s="25">
        <v>166.89182734224278</v>
      </c>
      <c r="AH68" s="25">
        <v>339.00118283371751</v>
      </c>
      <c r="AI68" s="25">
        <v>239.28106688759601</v>
      </c>
      <c r="AJ68" s="25">
        <v>112.42012627046684</v>
      </c>
      <c r="AK68" s="25">
        <v>334.31928605873645</v>
      </c>
      <c r="AL68" s="25">
        <v>928.69795763416107</v>
      </c>
      <c r="AM68" s="25">
        <v>325.97179431016639</v>
      </c>
      <c r="AN68" s="25">
        <v>256.3214193516996</v>
      </c>
      <c r="AO68" s="25">
        <v>129.95185615157328</v>
      </c>
      <c r="AP68" s="25">
        <v>210.2934120767498</v>
      </c>
      <c r="AQ68" s="25">
        <v>343.07950048435032</v>
      </c>
      <c r="AR68" s="25">
        <v>56.042348086724061</v>
      </c>
      <c r="AS68" s="25">
        <v>40.152251071013843</v>
      </c>
      <c r="AT68" s="25">
        <v>23.141367766589816</v>
      </c>
      <c r="AU68" s="25">
        <v>727.32046238757903</v>
      </c>
      <c r="AV68" s="25">
        <v>1408.9252559048648</v>
      </c>
      <c r="AW68" s="25">
        <v>417.98522368287553</v>
      </c>
      <c r="AX68" s="25">
        <v>4507.9893468683085</v>
      </c>
      <c r="AY68" s="40">
        <v>1890.69138399657</v>
      </c>
      <c r="AZ68" s="25">
        <v>500.2843845143708</v>
      </c>
      <c r="BA68" s="25">
        <v>1122.7658630557933</v>
      </c>
      <c r="BB68" s="25">
        <v>1079.689850763288</v>
      </c>
      <c r="BC68" s="25">
        <v>75.054183781357338</v>
      </c>
      <c r="BD68" s="25">
        <v>688.59315334436087</v>
      </c>
      <c r="BE68" s="25">
        <v>282.64602669145324</v>
      </c>
      <c r="BF68" s="25">
        <v>555.51643129469835</v>
      </c>
      <c r="BG68" s="25">
        <v>1872.7530622378949</v>
      </c>
      <c r="BH68" s="25">
        <v>1377.181951787745</v>
      </c>
      <c r="BI68" s="25">
        <v>695.51883977965838</v>
      </c>
      <c r="BJ68" s="25">
        <v>164.20389522258773</v>
      </c>
      <c r="BK68" s="25">
        <v>409.66228818732378</v>
      </c>
      <c r="BL68" s="25">
        <v>378.28087832692717</v>
      </c>
      <c r="BM68" s="25">
        <v>142.84219032052388</v>
      </c>
      <c r="BN68" s="25">
        <v>789.20854804280123</v>
      </c>
      <c r="BO68" s="25">
        <v>528.48832551482633</v>
      </c>
      <c r="BP68" s="25">
        <v>141.97707264495585</v>
      </c>
      <c r="BQ68" s="25">
        <v>1448.9570618755711</v>
      </c>
      <c r="BR68" s="25">
        <v>609.81669565994855</v>
      </c>
      <c r="BS68" s="25">
        <v>960.06159177312838</v>
      </c>
      <c r="BT68" s="25">
        <v>749.56684560163535</v>
      </c>
      <c r="BU68" s="25">
        <v>419.02907139924116</v>
      </c>
      <c r="BV68" s="25">
        <v>266.34843807138458</v>
      </c>
      <c r="BW68" s="25">
        <v>168.96916621311962</v>
      </c>
      <c r="BX68" s="25">
        <v>0</v>
      </c>
      <c r="BY68" s="25">
        <v>39500.722650548421</v>
      </c>
      <c r="BZ68" s="25">
        <v>5848.3397258344175</v>
      </c>
      <c r="CA68" s="25">
        <v>0</v>
      </c>
      <c r="CB68" s="25">
        <v>0</v>
      </c>
      <c r="CC68" s="25">
        <v>2640.9916912795111</v>
      </c>
      <c r="CD68" s="25">
        <v>485.66329839225301</v>
      </c>
      <c r="CE68" s="25">
        <v>3.2826339988799145</v>
      </c>
      <c r="CF68" s="25">
        <v>8978.2773495050624</v>
      </c>
      <c r="CG68" s="25">
        <v>48479</v>
      </c>
      <c r="CH68"/>
      <c r="CI68">
        <f t="shared" si="0"/>
        <v>0.1851993100003107</v>
      </c>
      <c r="CJ68"/>
      <c r="CK68"/>
      <c r="CL68"/>
      <c r="CM68"/>
      <c r="CN68"/>
      <c r="CO68"/>
      <c r="CP68"/>
      <c r="CQ68"/>
      <c r="CR68"/>
      <c r="CS68"/>
      <c r="CT68"/>
      <c r="CU68"/>
    </row>
    <row r="69" spans="1:99" s="5" customFormat="1" x14ac:dyDescent="0.3">
      <c r="A69" s="35" t="s">
        <v>73</v>
      </c>
      <c r="B69" s="11" t="s">
        <v>147</v>
      </c>
      <c r="C69" s="5">
        <v>64</v>
      </c>
      <c r="D69" s="25">
        <v>32.649423028091199</v>
      </c>
      <c r="E69" s="25">
        <v>18.755261157951061</v>
      </c>
      <c r="F69" s="25">
        <v>29.35477031948778</v>
      </c>
      <c r="G69" s="25">
        <v>536.17133510112262</v>
      </c>
      <c r="H69" s="25">
        <v>1105.0543823110036</v>
      </c>
      <c r="I69" s="25">
        <v>840.96716723066106</v>
      </c>
      <c r="J69" s="25">
        <v>200.98821522101832</v>
      </c>
      <c r="K69" s="25">
        <v>934.50170802081868</v>
      </c>
      <c r="L69" s="25">
        <v>431.23671092684219</v>
      </c>
      <c r="M69" s="25">
        <v>1456.6948204968085</v>
      </c>
      <c r="N69" s="25">
        <v>1105.5168647542537</v>
      </c>
      <c r="O69" s="25">
        <v>150.87684554241133</v>
      </c>
      <c r="P69" s="25">
        <v>213.69838746672355</v>
      </c>
      <c r="Q69" s="25">
        <v>201.22557205859525</v>
      </c>
      <c r="R69" s="25">
        <v>286.27648391460298</v>
      </c>
      <c r="S69" s="25">
        <v>57.538058185312742</v>
      </c>
      <c r="T69" s="25">
        <v>725.10994721928114</v>
      </c>
      <c r="U69" s="25">
        <v>36.002924232523554</v>
      </c>
      <c r="V69" s="25">
        <v>293.44293323880748</v>
      </c>
      <c r="W69" s="25">
        <v>7.5254107204557679</v>
      </c>
      <c r="X69" s="25">
        <v>4.808485896746191E-2</v>
      </c>
      <c r="Y69" s="25">
        <v>530.39057472236584</v>
      </c>
      <c r="Z69" s="25">
        <v>607.80239758586833</v>
      </c>
      <c r="AA69" s="25">
        <v>985.40458337874952</v>
      </c>
      <c r="AB69" s="25">
        <v>413.05358781774072</v>
      </c>
      <c r="AC69" s="25">
        <v>1363.2085286645388</v>
      </c>
      <c r="AD69" s="25">
        <v>792.36284824142285</v>
      </c>
      <c r="AE69" s="25">
        <v>824.268855190566</v>
      </c>
      <c r="AF69" s="25">
        <v>665.80550378299245</v>
      </c>
      <c r="AG69" s="25">
        <v>665.1474890448012</v>
      </c>
      <c r="AH69" s="25">
        <v>813.0239229424418</v>
      </c>
      <c r="AI69" s="25">
        <v>989.39069107945761</v>
      </c>
      <c r="AJ69" s="25">
        <v>719.62156526722526</v>
      </c>
      <c r="AK69" s="25">
        <v>2151.6935586468908</v>
      </c>
      <c r="AL69" s="25">
        <v>1610.6231247984024</v>
      </c>
      <c r="AM69" s="25">
        <v>435.6103670677503</v>
      </c>
      <c r="AN69" s="25">
        <v>159.95456206518563</v>
      </c>
      <c r="AO69" s="25">
        <v>311.09128867234108</v>
      </c>
      <c r="AP69" s="25">
        <v>457.37414964008502</v>
      </c>
      <c r="AQ69" s="25">
        <v>2733.1140757594053</v>
      </c>
      <c r="AR69" s="25">
        <v>446.45666726864272</v>
      </c>
      <c r="AS69" s="25">
        <v>319.86954166799444</v>
      </c>
      <c r="AT69" s="25">
        <v>184.18106761558121</v>
      </c>
      <c r="AU69" s="25">
        <v>442.03788754256817</v>
      </c>
      <c r="AV69" s="25">
        <v>1940.5177302309221</v>
      </c>
      <c r="AW69" s="25">
        <v>2052.8728961320053</v>
      </c>
      <c r="AX69" s="25">
        <v>34387.888269365707</v>
      </c>
      <c r="AY69" s="40">
        <v>2256.388089598539</v>
      </c>
      <c r="AZ69" s="25">
        <v>101.70296743531351</v>
      </c>
      <c r="BA69" s="25">
        <v>993.32183300690144</v>
      </c>
      <c r="BB69" s="25">
        <v>3310.347216834426</v>
      </c>
      <c r="BC69" s="25">
        <v>963.8540989232057</v>
      </c>
      <c r="BD69" s="25">
        <v>2351.7966015597917</v>
      </c>
      <c r="BE69" s="25">
        <v>227.39343922081298</v>
      </c>
      <c r="BF69" s="25">
        <v>1016.0364473026622</v>
      </c>
      <c r="BG69" s="25">
        <v>18009.30608658319</v>
      </c>
      <c r="BH69" s="25">
        <v>6538.2520784141834</v>
      </c>
      <c r="BI69" s="25">
        <v>20801.038659864713</v>
      </c>
      <c r="BJ69" s="25">
        <v>1551.8024596373566</v>
      </c>
      <c r="BK69" s="25">
        <v>4590.9657980645143</v>
      </c>
      <c r="BL69" s="25">
        <v>548.73087473248006</v>
      </c>
      <c r="BM69" s="25">
        <v>764.43175477833711</v>
      </c>
      <c r="BN69" s="25">
        <v>694.41207160454451</v>
      </c>
      <c r="BO69" s="25">
        <v>7148.239509064646</v>
      </c>
      <c r="BP69" s="25">
        <v>413.07854929836788</v>
      </c>
      <c r="BQ69" s="25">
        <v>26280.895753210785</v>
      </c>
      <c r="BR69" s="25">
        <v>11439.974337001982</v>
      </c>
      <c r="BS69" s="25">
        <v>4317.8972991269766</v>
      </c>
      <c r="BT69" s="25">
        <v>10166.818410314007</v>
      </c>
      <c r="BU69" s="25">
        <v>4405.3130286183668</v>
      </c>
      <c r="BV69" s="25">
        <v>1168.3698969347392</v>
      </c>
      <c r="BW69" s="25">
        <v>7014.5432379977537</v>
      </c>
      <c r="BX69" s="25">
        <v>0</v>
      </c>
      <c r="BY69" s="25">
        <v>202741.31153932598</v>
      </c>
      <c r="BZ69" s="25">
        <v>7098.179265942661</v>
      </c>
      <c r="CA69" s="25">
        <v>0.15880054254801407</v>
      </c>
      <c r="CB69" s="25">
        <v>36935</v>
      </c>
      <c r="CC69" s="25">
        <v>14910.063280014376</v>
      </c>
      <c r="CD69" s="25">
        <v>30.287114208055485</v>
      </c>
      <c r="CE69" s="25">
        <v>0</v>
      </c>
      <c r="CF69" s="25">
        <v>58973.688460707635</v>
      </c>
      <c r="CG69" s="25">
        <v>261715</v>
      </c>
      <c r="CH69"/>
      <c r="CI69">
        <f t="shared" si="0"/>
        <v>0.22533553086642966</v>
      </c>
      <c r="CJ69"/>
      <c r="CK69"/>
      <c r="CL69"/>
      <c r="CM69"/>
      <c r="CN69"/>
      <c r="CO69"/>
      <c r="CP69"/>
      <c r="CQ69"/>
      <c r="CR69"/>
      <c r="CS69"/>
      <c r="CT69"/>
      <c r="CU69"/>
    </row>
    <row r="70" spans="1:99" s="5" customFormat="1" x14ac:dyDescent="0.3">
      <c r="A70" s="35" t="s">
        <v>74</v>
      </c>
      <c r="B70" s="11" t="s">
        <v>148</v>
      </c>
      <c r="C70" s="5">
        <v>65</v>
      </c>
      <c r="D70" s="25">
        <v>1.907882371450748</v>
      </c>
      <c r="E70" s="25">
        <v>0.48734656155973116</v>
      </c>
      <c r="F70" s="25">
        <v>1.9603187760086069</v>
      </c>
      <c r="G70" s="25">
        <v>7.6968911749750628</v>
      </c>
      <c r="H70" s="25">
        <v>127.69534052883463</v>
      </c>
      <c r="I70" s="25">
        <v>93.027520909891479</v>
      </c>
      <c r="J70" s="25">
        <v>17.274263635549723</v>
      </c>
      <c r="K70" s="25">
        <v>379.91235068989135</v>
      </c>
      <c r="L70" s="25">
        <v>99.656064451783166</v>
      </c>
      <c r="M70" s="25">
        <v>346.34328667956413</v>
      </c>
      <c r="N70" s="25">
        <v>122.87558807079138</v>
      </c>
      <c r="O70" s="25">
        <v>118.85417793800191</v>
      </c>
      <c r="P70" s="25">
        <v>31.921961763906456</v>
      </c>
      <c r="Q70" s="25">
        <v>31.064384860588024</v>
      </c>
      <c r="R70" s="25">
        <v>45.298953826524517</v>
      </c>
      <c r="S70" s="25">
        <v>65.240512135197889</v>
      </c>
      <c r="T70" s="25">
        <v>508.88854248996728</v>
      </c>
      <c r="U70" s="25">
        <v>16.364065739302706</v>
      </c>
      <c r="V70" s="25">
        <v>134.50498390270354</v>
      </c>
      <c r="W70" s="25">
        <v>3.4494108842361895</v>
      </c>
      <c r="X70" s="25">
        <v>2.204058250780495E-2</v>
      </c>
      <c r="Y70" s="25">
        <v>2.048708216454096</v>
      </c>
      <c r="Z70" s="25">
        <v>278.22912418076567</v>
      </c>
      <c r="AA70" s="25">
        <v>178.43621708116024</v>
      </c>
      <c r="AB70" s="25">
        <v>38.538573326914829</v>
      </c>
      <c r="AC70" s="25">
        <v>250.2135137259277</v>
      </c>
      <c r="AD70" s="25">
        <v>227.49956690980653</v>
      </c>
      <c r="AE70" s="25">
        <v>414.98244519779206</v>
      </c>
      <c r="AF70" s="25">
        <v>87.548525850318399</v>
      </c>
      <c r="AG70" s="25">
        <v>71.084426126538133</v>
      </c>
      <c r="AH70" s="25">
        <v>186.17602742198338</v>
      </c>
      <c r="AI70" s="25">
        <v>146.13483915549162</v>
      </c>
      <c r="AJ70" s="25">
        <v>96.119728193658503</v>
      </c>
      <c r="AK70" s="25">
        <v>252.48727749669695</v>
      </c>
      <c r="AL70" s="25">
        <v>647.62262244836347</v>
      </c>
      <c r="AM70" s="25">
        <v>312.46624031072156</v>
      </c>
      <c r="AN70" s="25">
        <v>89.149442958866487</v>
      </c>
      <c r="AO70" s="25">
        <v>57.834482220038481</v>
      </c>
      <c r="AP70" s="25">
        <v>210.98389794575056</v>
      </c>
      <c r="AQ70" s="25">
        <v>283.161293237047</v>
      </c>
      <c r="AR70" s="25">
        <v>46.254654498080122</v>
      </c>
      <c r="AS70" s="25">
        <v>33.13973386225539</v>
      </c>
      <c r="AT70" s="25">
        <v>19.081877978809608</v>
      </c>
      <c r="AU70" s="25">
        <v>548.83558735337635</v>
      </c>
      <c r="AV70" s="25">
        <v>578.26143829970658</v>
      </c>
      <c r="AW70" s="25">
        <v>734.48410141703334</v>
      </c>
      <c r="AX70" s="25">
        <v>5576.1445484668102</v>
      </c>
      <c r="AY70" s="40">
        <v>1584.7038377001663</v>
      </c>
      <c r="AZ70" s="25">
        <v>24.92781256572988</v>
      </c>
      <c r="BA70" s="25">
        <v>192.55159066615735</v>
      </c>
      <c r="BB70" s="25">
        <v>3195.2707181322726</v>
      </c>
      <c r="BC70" s="25">
        <v>107.59958893571401</v>
      </c>
      <c r="BD70" s="25">
        <v>717.78816399094251</v>
      </c>
      <c r="BE70" s="25">
        <v>30.752881909411364</v>
      </c>
      <c r="BF70" s="25">
        <v>299.89363554041813</v>
      </c>
      <c r="BG70" s="25">
        <v>598.24394893607109</v>
      </c>
      <c r="BH70" s="25">
        <v>594.26717166641583</v>
      </c>
      <c r="BI70" s="25">
        <v>5066.1246937467113</v>
      </c>
      <c r="BJ70" s="25">
        <v>207.4571169568145</v>
      </c>
      <c r="BK70" s="25">
        <v>882.34939176338287</v>
      </c>
      <c r="BL70" s="25">
        <v>11.760968237936002</v>
      </c>
      <c r="BM70" s="25">
        <v>215.87582210967875</v>
      </c>
      <c r="BN70" s="25">
        <v>131.50020497398734</v>
      </c>
      <c r="BO70" s="25">
        <v>860.06985621587103</v>
      </c>
      <c r="BP70" s="25">
        <v>47.962383080056355</v>
      </c>
      <c r="BQ70" s="25">
        <v>7774.7084209636632</v>
      </c>
      <c r="BR70" s="25">
        <v>3379.7286305500447</v>
      </c>
      <c r="BS70" s="25">
        <v>1502.7259835834338</v>
      </c>
      <c r="BT70" s="25">
        <v>1455.9510072517671</v>
      </c>
      <c r="BU70" s="25">
        <v>1.4681232539730655</v>
      </c>
      <c r="BV70" s="25">
        <v>165.63288088673085</v>
      </c>
      <c r="BW70" s="25">
        <v>3.9649981402501111</v>
      </c>
      <c r="BX70" s="25">
        <v>0</v>
      </c>
      <c r="BY70" s="25">
        <v>42574.644613611206</v>
      </c>
      <c r="BZ70" s="25">
        <v>4.6504577663059132</v>
      </c>
      <c r="CA70" s="25">
        <v>0.10050667249874308</v>
      </c>
      <c r="CB70" s="25">
        <v>0</v>
      </c>
      <c r="CC70" s="25">
        <v>514.03577602316886</v>
      </c>
      <c r="CD70" s="25">
        <v>2.5686459281033156</v>
      </c>
      <c r="CE70" s="25">
        <v>0</v>
      </c>
      <c r="CF70" s="25">
        <v>521.35538639007689</v>
      </c>
      <c r="CG70" s="25">
        <v>43096</v>
      </c>
      <c r="CH70"/>
      <c r="CI70">
        <f t="shared" si="0"/>
        <v>1.2097535418370078E-2</v>
      </c>
      <c r="CJ70"/>
      <c r="CK70"/>
      <c r="CL70"/>
      <c r="CM70"/>
      <c r="CN70"/>
      <c r="CO70"/>
      <c r="CP70"/>
      <c r="CQ70"/>
      <c r="CR70"/>
      <c r="CS70"/>
      <c r="CT70"/>
      <c r="CU70"/>
    </row>
    <row r="71" spans="1:99" s="5" customFormat="1" x14ac:dyDescent="0.3">
      <c r="A71" s="35" t="s">
        <v>75</v>
      </c>
      <c r="B71" s="11" t="s">
        <v>149</v>
      </c>
      <c r="C71" s="5">
        <v>66</v>
      </c>
      <c r="D71" s="25">
        <v>287.04852784451367</v>
      </c>
      <c r="E71" s="25">
        <v>117.96534890945979</v>
      </c>
      <c r="F71" s="25">
        <v>22.219313916159944</v>
      </c>
      <c r="G71" s="25">
        <v>29.510197218123029</v>
      </c>
      <c r="H71" s="25">
        <v>618.18889644974422</v>
      </c>
      <c r="I71" s="25">
        <v>271.26173179985699</v>
      </c>
      <c r="J71" s="25">
        <v>40.93591097223608</v>
      </c>
      <c r="K71" s="25">
        <v>507.10544786347327</v>
      </c>
      <c r="L71" s="25">
        <v>93.451508298468951</v>
      </c>
      <c r="M71" s="25">
        <v>1000.7241142669925</v>
      </c>
      <c r="N71" s="25">
        <v>566.82864067934725</v>
      </c>
      <c r="O71" s="25">
        <v>69.080296869983215</v>
      </c>
      <c r="P71" s="25">
        <v>39.653621148474187</v>
      </c>
      <c r="Q71" s="25">
        <v>55.353349451117296</v>
      </c>
      <c r="R71" s="25">
        <v>89.305712871622603</v>
      </c>
      <c r="S71" s="25">
        <v>66.89326441837369</v>
      </c>
      <c r="T71" s="25">
        <v>304.24376339282782</v>
      </c>
      <c r="U71" s="25">
        <v>14.19256147244627</v>
      </c>
      <c r="V71" s="25">
        <v>226.90977531080588</v>
      </c>
      <c r="W71" s="25">
        <v>5.8228494038710989</v>
      </c>
      <c r="X71" s="25">
        <v>0.18776280709842402</v>
      </c>
      <c r="Y71" s="25">
        <v>71.54631701532746</v>
      </c>
      <c r="Z71" s="25">
        <v>928.14562514159638</v>
      </c>
      <c r="AA71" s="25">
        <v>335.42047479093361</v>
      </c>
      <c r="AB71" s="25">
        <v>229.37249019178245</v>
      </c>
      <c r="AC71" s="25">
        <v>409.50967957532578</v>
      </c>
      <c r="AD71" s="25">
        <v>197.38597703956509</v>
      </c>
      <c r="AE71" s="25">
        <v>225.04424592634516</v>
      </c>
      <c r="AF71" s="25">
        <v>596.78024564842895</v>
      </c>
      <c r="AG71" s="25">
        <v>272.1380599987454</v>
      </c>
      <c r="AH71" s="25">
        <v>165.51574501616787</v>
      </c>
      <c r="AI71" s="25">
        <v>231.98448993787341</v>
      </c>
      <c r="AJ71" s="25">
        <v>180.44031178512384</v>
      </c>
      <c r="AK71" s="25">
        <v>235.51382376645969</v>
      </c>
      <c r="AL71" s="25">
        <v>662.97086087777745</v>
      </c>
      <c r="AM71" s="25">
        <v>155.92218404858696</v>
      </c>
      <c r="AN71" s="25">
        <v>63.373229293612134</v>
      </c>
      <c r="AO71" s="25">
        <v>86.574589455581801</v>
      </c>
      <c r="AP71" s="25">
        <v>86.821987603223789</v>
      </c>
      <c r="AQ71" s="25">
        <v>454.43975043351361</v>
      </c>
      <c r="AR71" s="25">
        <v>103.88576694770563</v>
      </c>
      <c r="AS71" s="25">
        <v>42.989868002769896</v>
      </c>
      <c r="AT71" s="25">
        <v>33.735984529936225</v>
      </c>
      <c r="AU71" s="25">
        <v>188.69075650322367</v>
      </c>
      <c r="AV71" s="25">
        <v>419.85520756134832</v>
      </c>
      <c r="AW71" s="25">
        <v>459.19527429173968</v>
      </c>
      <c r="AX71" s="25">
        <v>3654.3875471763286</v>
      </c>
      <c r="AY71" s="40">
        <v>539.12999832229548</v>
      </c>
      <c r="AZ71" s="25">
        <v>102.5099329973319</v>
      </c>
      <c r="BA71" s="25">
        <v>230.15109923844281</v>
      </c>
      <c r="BB71" s="25">
        <v>547.05289378990267</v>
      </c>
      <c r="BC71" s="25">
        <v>90.371603926043434</v>
      </c>
      <c r="BD71" s="25">
        <v>285.91631769747431</v>
      </c>
      <c r="BE71" s="25">
        <v>70.407561833964252</v>
      </c>
      <c r="BF71" s="25">
        <v>290.6133152351332</v>
      </c>
      <c r="BG71" s="25">
        <v>485.50333563571149</v>
      </c>
      <c r="BH71" s="25">
        <v>438.71221044932014</v>
      </c>
      <c r="BI71" s="25">
        <v>1584.9789784563361</v>
      </c>
      <c r="BJ71" s="25">
        <v>208.14764062974933</v>
      </c>
      <c r="BK71" s="25">
        <v>956.03408087952698</v>
      </c>
      <c r="BL71" s="25">
        <v>401.00097508719585</v>
      </c>
      <c r="BM71" s="25">
        <v>359.19504244813345</v>
      </c>
      <c r="BN71" s="25">
        <v>135.45641456319268</v>
      </c>
      <c r="BO71" s="25">
        <v>847.27995892570129</v>
      </c>
      <c r="BP71" s="25">
        <v>63.421325289456178</v>
      </c>
      <c r="BQ71" s="25">
        <v>1923.8449102739464</v>
      </c>
      <c r="BR71" s="25">
        <v>410.89876026481767</v>
      </c>
      <c r="BS71" s="25">
        <v>423.74671502987565</v>
      </c>
      <c r="BT71" s="25">
        <v>415.91501108463763</v>
      </c>
      <c r="BU71" s="25">
        <v>461.85662646024542</v>
      </c>
      <c r="BV71" s="25">
        <v>208.03805596239246</v>
      </c>
      <c r="BW71" s="25">
        <v>711.8398827478328</v>
      </c>
      <c r="BX71" s="25">
        <v>0</v>
      </c>
      <c r="BY71" s="25">
        <v>27110.545735152675</v>
      </c>
      <c r="BZ71" s="25">
        <v>2675.7793172376355</v>
      </c>
      <c r="CA71" s="25">
        <v>804207.61974603636</v>
      </c>
      <c r="CB71" s="25">
        <v>239.50738606091164</v>
      </c>
      <c r="CC71" s="25">
        <v>14024.792419332854</v>
      </c>
      <c r="CD71" s="25">
        <v>10427.517294669809</v>
      </c>
      <c r="CE71" s="25">
        <v>78.238101509793609</v>
      </c>
      <c r="CF71" s="25">
        <v>831653.45426484733</v>
      </c>
      <c r="CG71" s="25">
        <v>858764</v>
      </c>
      <c r="CH71"/>
      <c r="CI71">
        <f t="shared" ref="CI71:CI78" si="1">CF71/CG71</f>
        <v>0.9684307379732352</v>
      </c>
      <c r="CJ71"/>
      <c r="CK71"/>
      <c r="CL71"/>
      <c r="CM71"/>
      <c r="CN71"/>
      <c r="CO71"/>
      <c r="CP71"/>
      <c r="CQ71"/>
      <c r="CR71"/>
      <c r="CS71"/>
      <c r="CT71"/>
      <c r="CU71"/>
    </row>
    <row r="72" spans="1:99" s="5" customFormat="1" x14ac:dyDescent="0.3">
      <c r="A72" s="35" t="s">
        <v>76</v>
      </c>
      <c r="B72" s="11" t="s">
        <v>150</v>
      </c>
      <c r="C72" s="5">
        <v>67</v>
      </c>
      <c r="D72" s="25">
        <v>2.0639267555544296</v>
      </c>
      <c r="E72" s="25">
        <v>0.27582278463743687</v>
      </c>
      <c r="F72" s="25">
        <v>8.1850937898453463E-2</v>
      </c>
      <c r="G72" s="25">
        <v>1.8878462751132687</v>
      </c>
      <c r="H72" s="25">
        <v>10.075169262200149</v>
      </c>
      <c r="I72" s="25">
        <v>45.752746597845565</v>
      </c>
      <c r="J72" s="25">
        <v>0.86904905760055107</v>
      </c>
      <c r="K72" s="25">
        <v>30.188433714169108</v>
      </c>
      <c r="L72" s="25">
        <v>3.3089813089860112</v>
      </c>
      <c r="M72" s="25">
        <v>20.077640325300095</v>
      </c>
      <c r="N72" s="25">
        <v>26.181813468370393</v>
      </c>
      <c r="O72" s="25">
        <v>5.3494283952472514</v>
      </c>
      <c r="P72" s="25">
        <v>0.82692949892132539</v>
      </c>
      <c r="Q72" s="25">
        <v>4.7370777111865516</v>
      </c>
      <c r="R72" s="25">
        <v>7.4683805082089147</v>
      </c>
      <c r="S72" s="25">
        <v>3.4470009539477098</v>
      </c>
      <c r="T72" s="25">
        <v>11.825420509978191</v>
      </c>
      <c r="U72" s="25">
        <v>0.44971819482643954</v>
      </c>
      <c r="V72" s="25">
        <v>3.852857050045583</v>
      </c>
      <c r="W72" s="25">
        <v>9.880739477614435E-2</v>
      </c>
      <c r="X72" s="25">
        <v>6.3134622404576032E-4</v>
      </c>
      <c r="Y72" s="25">
        <v>0.93157600810179186</v>
      </c>
      <c r="Z72" s="25">
        <v>31.679140939242913</v>
      </c>
      <c r="AA72" s="25">
        <v>11.890595267991705</v>
      </c>
      <c r="AB72" s="25">
        <v>19.671677564177742</v>
      </c>
      <c r="AC72" s="25">
        <v>69.643530629303115</v>
      </c>
      <c r="AD72" s="25">
        <v>12.860111052764756</v>
      </c>
      <c r="AE72" s="25">
        <v>10.966728555138715</v>
      </c>
      <c r="AF72" s="25">
        <v>12.991515864926425</v>
      </c>
      <c r="AG72" s="25">
        <v>33.764487429716837</v>
      </c>
      <c r="AH72" s="25">
        <v>5.9046013268793853</v>
      </c>
      <c r="AI72" s="25">
        <v>17.135074584868725</v>
      </c>
      <c r="AJ72" s="25">
        <v>38.438409301759435</v>
      </c>
      <c r="AK72" s="25">
        <v>39.311970491869424</v>
      </c>
      <c r="AL72" s="25">
        <v>74.669615471071523</v>
      </c>
      <c r="AM72" s="25">
        <v>42.389988946562234</v>
      </c>
      <c r="AN72" s="25">
        <v>7.6822037092862256</v>
      </c>
      <c r="AO72" s="25">
        <v>7.1659021010442876</v>
      </c>
      <c r="AP72" s="25">
        <v>1.9204625856005966</v>
      </c>
      <c r="AQ72" s="25">
        <v>31.705838765293208</v>
      </c>
      <c r="AR72" s="25">
        <v>5.1791775665919282</v>
      </c>
      <c r="AS72" s="25">
        <v>3.7106874550180464</v>
      </c>
      <c r="AT72" s="25">
        <v>2.16648939721592</v>
      </c>
      <c r="AU72" s="25">
        <v>5.0518170914481608</v>
      </c>
      <c r="AV72" s="25">
        <v>14.883541925181662</v>
      </c>
      <c r="AW72" s="25">
        <v>9.194201743317544</v>
      </c>
      <c r="AX72" s="25">
        <v>146.24541251894161</v>
      </c>
      <c r="AY72" s="40">
        <v>14.203746203344206</v>
      </c>
      <c r="AZ72" s="25">
        <v>0.96434272526636722</v>
      </c>
      <c r="BA72" s="25">
        <v>1.539697915840359</v>
      </c>
      <c r="BB72" s="25">
        <v>14.690298679584528</v>
      </c>
      <c r="BC72" s="25">
        <v>2.3003477561564694</v>
      </c>
      <c r="BD72" s="25">
        <v>6.4628035097244343</v>
      </c>
      <c r="BE72" s="25">
        <v>1.308830553431215</v>
      </c>
      <c r="BF72" s="25">
        <v>2.7304267018625623</v>
      </c>
      <c r="BG72" s="25">
        <v>52.387588101802052</v>
      </c>
      <c r="BH72" s="25">
        <v>40.550455982106371</v>
      </c>
      <c r="BI72" s="25">
        <v>61.74464494303318</v>
      </c>
      <c r="BJ72" s="25">
        <v>4.0011354084452124</v>
      </c>
      <c r="BK72" s="25">
        <v>40.435685507104324</v>
      </c>
      <c r="BL72" s="25">
        <v>217.34121964459115</v>
      </c>
      <c r="BM72" s="25">
        <v>7.5854360695776002</v>
      </c>
      <c r="BN72" s="25">
        <v>11.244167570129857</v>
      </c>
      <c r="BO72" s="25">
        <v>26.249768743151524</v>
      </c>
      <c r="BP72" s="25">
        <v>2.7642098928074099</v>
      </c>
      <c r="BQ72" s="25">
        <v>52.523195476353287</v>
      </c>
      <c r="BR72" s="25">
        <v>16.285785393971757</v>
      </c>
      <c r="BS72" s="25">
        <v>9.4770716347897128</v>
      </c>
      <c r="BT72" s="25">
        <v>20.380088899879862</v>
      </c>
      <c r="BU72" s="25">
        <v>24.763166901748136</v>
      </c>
      <c r="BV72" s="25">
        <v>4.3853023230014561</v>
      </c>
      <c r="BW72" s="25">
        <v>22.111277585626347</v>
      </c>
      <c r="BX72" s="25">
        <v>0</v>
      </c>
      <c r="BY72" s="25">
        <v>1494.4049844676808</v>
      </c>
      <c r="BZ72" s="25">
        <v>72.195535644544861</v>
      </c>
      <c r="CA72" s="25">
        <v>335706.38581842551</v>
      </c>
      <c r="CB72" s="25">
        <v>4.2809484004282847</v>
      </c>
      <c r="CC72" s="25">
        <v>1022.7192815821425</v>
      </c>
      <c r="CD72" s="25">
        <v>12795.103448563041</v>
      </c>
      <c r="CE72" s="25">
        <v>-9.0017064846416389E-2</v>
      </c>
      <c r="CF72" s="25">
        <v>349600.59501555085</v>
      </c>
      <c r="CG72" s="25">
        <v>351095</v>
      </c>
      <c r="CH72"/>
      <c r="CI72">
        <f t="shared" si="1"/>
        <v>0.99574358796209239</v>
      </c>
      <c r="CJ72"/>
      <c r="CK72"/>
      <c r="CL72"/>
      <c r="CM72"/>
      <c r="CN72"/>
      <c r="CO72"/>
      <c r="CP72"/>
      <c r="CQ72"/>
      <c r="CR72"/>
      <c r="CS72"/>
      <c r="CT72"/>
      <c r="CU72"/>
    </row>
    <row r="73" spans="1:99" s="5" customFormat="1" x14ac:dyDescent="0.3">
      <c r="A73" s="35" t="s">
        <v>77</v>
      </c>
      <c r="B73" s="11" t="s">
        <v>151</v>
      </c>
      <c r="C73" s="5">
        <v>68</v>
      </c>
      <c r="D73" s="25">
        <v>7.6931196588894162</v>
      </c>
      <c r="E73" s="25">
        <v>3.4398061804698274</v>
      </c>
      <c r="F73" s="25">
        <v>0.23531890688741866</v>
      </c>
      <c r="G73" s="25">
        <v>1.1688349380460785</v>
      </c>
      <c r="H73" s="25">
        <v>32.090803239325453</v>
      </c>
      <c r="I73" s="25">
        <v>239.18651354077423</v>
      </c>
      <c r="J73" s="25">
        <v>32.206601350399488</v>
      </c>
      <c r="K73" s="25">
        <v>13.012275714823172</v>
      </c>
      <c r="L73" s="25">
        <v>0.53031690533919018</v>
      </c>
      <c r="M73" s="25">
        <v>39.269288462979574</v>
      </c>
      <c r="N73" s="25">
        <v>2.7849762096012798</v>
      </c>
      <c r="O73" s="25">
        <v>0.82902132452038613</v>
      </c>
      <c r="P73" s="25">
        <v>2.7504210464847763</v>
      </c>
      <c r="Q73" s="25">
        <v>2.5535982868458889</v>
      </c>
      <c r="R73" s="25">
        <v>1.8939423692618824</v>
      </c>
      <c r="S73" s="25">
        <v>0.82405929004859957</v>
      </c>
      <c r="T73" s="25">
        <v>55.353458389648281</v>
      </c>
      <c r="U73" s="25">
        <v>0.4775425967895906</v>
      </c>
      <c r="V73" s="25">
        <v>16.305044856813964</v>
      </c>
      <c r="W73" s="25">
        <v>0.41814658137677307</v>
      </c>
      <c r="X73" s="25">
        <v>2.6718168801836161E-3</v>
      </c>
      <c r="Y73" s="25">
        <v>0.79686294057605755</v>
      </c>
      <c r="Z73" s="25">
        <v>20.174624758939185</v>
      </c>
      <c r="AA73" s="25">
        <v>45.392102798355651</v>
      </c>
      <c r="AB73" s="25">
        <v>2.2188091099398242</v>
      </c>
      <c r="AC73" s="25">
        <v>4.9579920785830529</v>
      </c>
      <c r="AD73" s="25">
        <v>5.4647431781057154</v>
      </c>
      <c r="AE73" s="25">
        <v>2.2694667730187046</v>
      </c>
      <c r="AF73" s="25">
        <v>300.16181748548058</v>
      </c>
      <c r="AG73" s="25">
        <v>102.58528080084747</v>
      </c>
      <c r="AH73" s="25">
        <v>88.954361061399979</v>
      </c>
      <c r="AI73" s="25">
        <v>4.6984768810331072</v>
      </c>
      <c r="AJ73" s="25">
        <v>3.8106452399874771</v>
      </c>
      <c r="AK73" s="25">
        <v>31.474397604149097</v>
      </c>
      <c r="AL73" s="25">
        <v>125.67488215651107</v>
      </c>
      <c r="AM73" s="25">
        <v>6.565912956829802</v>
      </c>
      <c r="AN73" s="25">
        <v>0.88875294031319196</v>
      </c>
      <c r="AO73" s="25">
        <v>2.3893290269975265</v>
      </c>
      <c r="AP73" s="25">
        <v>13.887960629071138</v>
      </c>
      <c r="AQ73" s="25">
        <v>133.58868042921898</v>
      </c>
      <c r="AR73" s="25">
        <v>21.821832311435166</v>
      </c>
      <c r="AS73" s="25">
        <v>15.634528525507482</v>
      </c>
      <c r="AT73" s="25">
        <v>9.0023705929558737</v>
      </c>
      <c r="AU73" s="25">
        <v>1.9707052682565673</v>
      </c>
      <c r="AV73" s="25">
        <v>11.945281151936943</v>
      </c>
      <c r="AW73" s="25">
        <v>38.038843675537215</v>
      </c>
      <c r="AX73" s="25">
        <v>1167.9270917518841</v>
      </c>
      <c r="AY73" s="40">
        <v>1448.9608851220555</v>
      </c>
      <c r="AZ73" s="25">
        <v>99.031452795503299</v>
      </c>
      <c r="BA73" s="25">
        <v>14.563146371186113</v>
      </c>
      <c r="BB73" s="25">
        <v>361.18155596885236</v>
      </c>
      <c r="BC73" s="25">
        <v>3.4071223149043863</v>
      </c>
      <c r="BD73" s="25">
        <v>15.760841476762209</v>
      </c>
      <c r="BE73" s="25">
        <v>0.69144612366886116</v>
      </c>
      <c r="BF73" s="25">
        <v>1.1102350488226516</v>
      </c>
      <c r="BG73" s="25">
        <v>69.804466120173885</v>
      </c>
      <c r="BH73" s="25">
        <v>5.3559695425427449</v>
      </c>
      <c r="BI73" s="25">
        <v>2315.4388469453534</v>
      </c>
      <c r="BJ73" s="25">
        <v>4.3591810524838177</v>
      </c>
      <c r="BK73" s="25">
        <v>3599.9208111515995</v>
      </c>
      <c r="BL73" s="25">
        <v>207.77212617743078</v>
      </c>
      <c r="BM73" s="25">
        <v>822.59775964373694</v>
      </c>
      <c r="BN73" s="25">
        <v>83.583001871973934</v>
      </c>
      <c r="BO73" s="25">
        <v>2309.1202065329398</v>
      </c>
      <c r="BP73" s="25">
        <v>184.11821011257584</v>
      </c>
      <c r="BQ73" s="25">
        <v>511.90672001070294</v>
      </c>
      <c r="BR73" s="25">
        <v>159.47710499957969</v>
      </c>
      <c r="BS73" s="25">
        <v>8.9007030056402883</v>
      </c>
      <c r="BT73" s="25">
        <v>571.81095619896587</v>
      </c>
      <c r="BU73" s="25">
        <v>9.1103491062203279</v>
      </c>
      <c r="BV73" s="25">
        <v>6.7983796621682746</v>
      </c>
      <c r="BW73" s="25">
        <v>622.26668220225201</v>
      </c>
      <c r="BX73" s="25">
        <v>0</v>
      </c>
      <c r="BY73" s="25">
        <v>16052.369673351172</v>
      </c>
      <c r="BZ73" s="25">
        <v>92.455577528246238</v>
      </c>
      <c r="CA73" s="25">
        <v>0.51459416319356455</v>
      </c>
      <c r="CB73" s="25">
        <v>0</v>
      </c>
      <c r="CC73" s="25">
        <v>126599.373906023</v>
      </c>
      <c r="CD73" s="25">
        <v>692.28624894467021</v>
      </c>
      <c r="CE73" s="25">
        <v>0</v>
      </c>
      <c r="CF73" s="25">
        <v>127384.63032665911</v>
      </c>
      <c r="CG73" s="25">
        <v>143437</v>
      </c>
      <c r="CH73"/>
      <c r="CI73">
        <f t="shared" si="1"/>
        <v>0.88808766445658449</v>
      </c>
      <c r="CJ73"/>
      <c r="CK73"/>
      <c r="CL73"/>
      <c r="CM73"/>
      <c r="CN73"/>
      <c r="CO73"/>
      <c r="CP73"/>
      <c r="CQ73"/>
      <c r="CR73"/>
      <c r="CS73"/>
      <c r="CT73"/>
      <c r="CU73"/>
    </row>
    <row r="74" spans="1:99" s="5" customFormat="1" x14ac:dyDescent="0.3">
      <c r="A74" s="35" t="s">
        <v>78</v>
      </c>
      <c r="B74" s="11" t="s">
        <v>152</v>
      </c>
      <c r="C74" s="5">
        <v>69</v>
      </c>
      <c r="D74" s="25">
        <v>3.2294223729739297E-5</v>
      </c>
      <c r="E74" s="25">
        <v>2.8257445763521883E-5</v>
      </c>
      <c r="F74" s="25">
        <v>3.6331001695956711E-5</v>
      </c>
      <c r="G74" s="25">
        <v>6.1031998076404026E-2</v>
      </c>
      <c r="H74" s="25">
        <v>2.1596762119263156E-3</v>
      </c>
      <c r="I74" s="25">
        <v>4.3869569256025747</v>
      </c>
      <c r="J74" s="25">
        <v>8.8809115256783077E-5</v>
      </c>
      <c r="K74" s="25">
        <v>2.6230680012243184</v>
      </c>
      <c r="L74" s="25">
        <v>0.24430561053612967</v>
      </c>
      <c r="M74" s="25">
        <v>1.2514627556917148</v>
      </c>
      <c r="N74" s="25">
        <v>2.4069289849500528</v>
      </c>
      <c r="O74" s="25">
        <v>0.487509180687482</v>
      </c>
      <c r="P74" s="25">
        <v>1.4007619542774419E-3</v>
      </c>
      <c r="Q74" s="25">
        <v>0.39773332910004544</v>
      </c>
      <c r="R74" s="25">
        <v>0.70109695328709887</v>
      </c>
      <c r="S74" s="25">
        <v>0.33528845873546531</v>
      </c>
      <c r="T74" s="25">
        <v>0.94516035714525537</v>
      </c>
      <c r="U74" s="25">
        <v>3.0697654046681799E-2</v>
      </c>
      <c r="V74" s="25">
        <v>8.5787658126258574E-4</v>
      </c>
      <c r="W74" s="25">
        <v>2.2000439915884898E-5</v>
      </c>
      <c r="X74" s="25">
        <v>1.4057545692514377E-7</v>
      </c>
      <c r="Y74" s="25">
        <v>9.6882671189217888E-4</v>
      </c>
      <c r="Z74" s="25">
        <v>2.773028127515254</v>
      </c>
      <c r="AA74" s="25">
        <v>0.76207647324994199</v>
      </c>
      <c r="AB74" s="25">
        <v>1.859082131996356</v>
      </c>
      <c r="AC74" s="25">
        <v>6.79460849380858</v>
      </c>
      <c r="AD74" s="25">
        <v>1.068257768457415</v>
      </c>
      <c r="AE74" s="25">
        <v>0.82335471478228539</v>
      </c>
      <c r="AF74" s="25">
        <v>0.91539923558673608</v>
      </c>
      <c r="AG74" s="25">
        <v>3.3510438166020577</v>
      </c>
      <c r="AH74" s="25">
        <v>0.30585027941424331</v>
      </c>
      <c r="AI74" s="25">
        <v>1.3717505695393877</v>
      </c>
      <c r="AJ74" s="25">
        <v>3.8389243808624318</v>
      </c>
      <c r="AK74" s="25">
        <v>3.4738465431226837</v>
      </c>
      <c r="AL74" s="25">
        <v>7.34226965497583</v>
      </c>
      <c r="AM74" s="25">
        <v>4.2964019758676573</v>
      </c>
      <c r="AN74" s="25">
        <v>0.76187463435163116</v>
      </c>
      <c r="AO74" s="25">
        <v>0.64086423724800579</v>
      </c>
      <c r="AP74" s="25">
        <v>3.073802182634397E-2</v>
      </c>
      <c r="AQ74" s="25">
        <v>2.42302279024373</v>
      </c>
      <c r="AR74" s="25">
        <v>0.39580297406635273</v>
      </c>
      <c r="AS74" s="25">
        <v>0.28357806073316438</v>
      </c>
      <c r="AT74" s="25">
        <v>0.16328441184438147</v>
      </c>
      <c r="AU74" s="25">
        <v>0.33659637479651972</v>
      </c>
      <c r="AV74" s="25">
        <v>0.6143648322861901</v>
      </c>
      <c r="AW74" s="25">
        <v>1.7313740697106485E-2</v>
      </c>
      <c r="AX74" s="25">
        <v>5.184704507338088</v>
      </c>
      <c r="AY74" s="40">
        <v>6.0147991696639438E-3</v>
      </c>
      <c r="AZ74" s="25">
        <v>3.4716290509469747E-4</v>
      </c>
      <c r="BA74" s="25">
        <v>5.0056046781095907E-4</v>
      </c>
      <c r="BB74" s="25">
        <v>1.364834630378107E-2</v>
      </c>
      <c r="BC74" s="25">
        <v>5.8048867154206389E-3</v>
      </c>
      <c r="BD74" s="25">
        <v>2.6836499919413358E-2</v>
      </c>
      <c r="BE74" s="25">
        <v>6.1770728444221816E-2</v>
      </c>
      <c r="BF74" s="25">
        <v>2.1919704356560548E-3</v>
      </c>
      <c r="BG74" s="25">
        <v>1.9600802263298769</v>
      </c>
      <c r="BH74" s="25">
        <v>2.994083939352373</v>
      </c>
      <c r="BI74" s="25">
        <v>0.23796183795963752</v>
      </c>
      <c r="BJ74" s="25">
        <v>1.0273599924023314E-2</v>
      </c>
      <c r="BK74" s="25">
        <v>2.4511315810872125E-2</v>
      </c>
      <c r="BL74" s="25">
        <v>22.364055260976574</v>
      </c>
      <c r="BM74" s="25">
        <v>5.1226712391298961E-3</v>
      </c>
      <c r="BN74" s="25">
        <v>0.88863744005711631</v>
      </c>
      <c r="BO74" s="25">
        <v>0.1383967998041237</v>
      </c>
      <c r="BP74" s="25">
        <v>1.227180501730093E-3</v>
      </c>
      <c r="BQ74" s="25">
        <v>0.61901854751741858</v>
      </c>
      <c r="BR74" s="25">
        <v>5.4812655002414966E-2</v>
      </c>
      <c r="BS74" s="25">
        <v>5.3085624647323568E-2</v>
      </c>
      <c r="BT74" s="25">
        <v>0.10595587883353831</v>
      </c>
      <c r="BU74" s="25">
        <v>324.82556340841802</v>
      </c>
      <c r="BV74" s="25">
        <v>1.7568057708978176E-2</v>
      </c>
      <c r="BW74" s="25">
        <v>1.7220894803883481E-2</v>
      </c>
      <c r="BX74" s="25">
        <v>0</v>
      </c>
      <c r="BY74" s="25">
        <v>418.13956422780484</v>
      </c>
      <c r="BZ74" s="25">
        <v>2.5367190612490513</v>
      </c>
      <c r="CA74" s="25">
        <v>198903.049000392</v>
      </c>
      <c r="CB74" s="25">
        <v>81.824529596236772</v>
      </c>
      <c r="CC74" s="25">
        <v>1941.8765092080926</v>
      </c>
      <c r="CD74" s="25">
        <v>1368.5736775162118</v>
      </c>
      <c r="CE74" s="25">
        <v>0</v>
      </c>
      <c r="CF74" s="25">
        <v>202297.86043577379</v>
      </c>
      <c r="CG74" s="25">
        <v>202716</v>
      </c>
      <c r="CH74"/>
      <c r="CI74">
        <f t="shared" si="1"/>
        <v>0.99793731346205428</v>
      </c>
      <c r="CJ74"/>
      <c r="CK74"/>
      <c r="CL74"/>
      <c r="CM74"/>
      <c r="CN74"/>
      <c r="CO74"/>
      <c r="CP74"/>
      <c r="CQ74"/>
      <c r="CR74"/>
      <c r="CS74"/>
      <c r="CT74"/>
      <c r="CU74"/>
    </row>
    <row r="75" spans="1:99" s="5" customFormat="1" x14ac:dyDescent="0.3">
      <c r="A75" s="35" t="s">
        <v>79</v>
      </c>
      <c r="B75" s="11" t="s">
        <v>153</v>
      </c>
      <c r="C75" s="5">
        <v>70</v>
      </c>
      <c r="D75" s="25">
        <v>1.1755097437625104E-2</v>
      </c>
      <c r="E75" s="25">
        <v>1.0285710257921965E-2</v>
      </c>
      <c r="F75" s="25">
        <v>1.3224484617328242E-2</v>
      </c>
      <c r="G75" s="25">
        <v>3.9163219281818547E-2</v>
      </c>
      <c r="H75" s="25">
        <v>0.78612214114117884</v>
      </c>
      <c r="I75" s="25">
        <v>0.1454671212312241</v>
      </c>
      <c r="J75" s="25">
        <v>3.2326517953469039E-2</v>
      </c>
      <c r="K75" s="25">
        <v>1.2079369828943807</v>
      </c>
      <c r="L75" s="25">
        <v>0.22130591303421226</v>
      </c>
      <c r="M75" s="25">
        <v>0.91451942093471872</v>
      </c>
      <c r="N75" s="25">
        <v>0.15102934091385145</v>
      </c>
      <c r="O75" s="25">
        <v>4.1469126009467838E-2</v>
      </c>
      <c r="P75" s="25">
        <v>0.50987735135698886</v>
      </c>
      <c r="Q75" s="25">
        <v>0.62778526897641762</v>
      </c>
      <c r="R75" s="25">
        <v>0.16972407041761389</v>
      </c>
      <c r="S75" s="25">
        <v>7.4336536798500746E-2</v>
      </c>
      <c r="T75" s="25">
        <v>0.30286675266963786</v>
      </c>
      <c r="U75" s="25">
        <v>8.5704032727550478E-2</v>
      </c>
      <c r="V75" s="25">
        <v>0.31226707557958122</v>
      </c>
      <c r="W75" s="25">
        <v>8.0081601293821025E-3</v>
      </c>
      <c r="X75" s="25">
        <v>5.1169466320752328E-5</v>
      </c>
      <c r="Y75" s="25">
        <v>0.35265292312875313</v>
      </c>
      <c r="Z75" s="25">
        <v>0.35221275147159053</v>
      </c>
      <c r="AA75" s="25">
        <v>0.18978525636329166</v>
      </c>
      <c r="AB75" s="25">
        <v>0.32313159053150481</v>
      </c>
      <c r="AC75" s="25">
        <v>0.55951676731193722</v>
      </c>
      <c r="AD75" s="25">
        <v>0.75735630923727837</v>
      </c>
      <c r="AE75" s="25">
        <v>0.3185810936070016</v>
      </c>
      <c r="AF75" s="25">
        <v>0.55806054563321528</v>
      </c>
      <c r="AG75" s="25">
        <v>7.3324814040376579E-2</v>
      </c>
      <c r="AH75" s="25">
        <v>0.44708130413832931</v>
      </c>
      <c r="AI75" s="25">
        <v>0.34631550042897502</v>
      </c>
      <c r="AJ75" s="25">
        <v>0.24997756058253309</v>
      </c>
      <c r="AK75" s="25">
        <v>0.42054910648968791</v>
      </c>
      <c r="AL75" s="25">
        <v>0.3198227074279395</v>
      </c>
      <c r="AM75" s="25">
        <v>0.44819153851546822</v>
      </c>
      <c r="AN75" s="25">
        <v>0.11631589737813476</v>
      </c>
      <c r="AO75" s="25">
        <v>0.42149951271701663</v>
      </c>
      <c r="AP75" s="25">
        <v>0.10039790452458186</v>
      </c>
      <c r="AQ75" s="25">
        <v>1.6832340893780942</v>
      </c>
      <c r="AR75" s="25">
        <v>0.27495781769295818</v>
      </c>
      <c r="AS75" s="25">
        <v>0.19699701577209666</v>
      </c>
      <c r="AT75" s="25">
        <v>0.11343099593911311</v>
      </c>
      <c r="AU75" s="25">
        <v>0.55041798302231748</v>
      </c>
      <c r="AV75" s="25">
        <v>1.8639581468807298</v>
      </c>
      <c r="AW75" s="25">
        <v>6.3022016137467594</v>
      </c>
      <c r="AX75" s="25">
        <v>68.760746067666105</v>
      </c>
      <c r="AY75" s="40">
        <v>2.1893868977576756</v>
      </c>
      <c r="AZ75" s="25">
        <v>0.12636729745446987</v>
      </c>
      <c r="BA75" s="25">
        <v>0.18220401028318908</v>
      </c>
      <c r="BB75" s="25">
        <v>4.9679980545763094</v>
      </c>
      <c r="BC75" s="25">
        <v>2.1129787644131124</v>
      </c>
      <c r="BD75" s="25">
        <v>9.7684859706664611</v>
      </c>
      <c r="BE75" s="25">
        <v>0.30806107316749276</v>
      </c>
      <c r="BF75" s="25">
        <v>0.79787723857880399</v>
      </c>
      <c r="BG75" s="25">
        <v>3.8217118071392782</v>
      </c>
      <c r="BH75" s="25">
        <v>3.1988339783305415</v>
      </c>
      <c r="BI75" s="25">
        <v>9.0004147354556938</v>
      </c>
      <c r="BJ75" s="25">
        <v>3.7395903723444861</v>
      </c>
      <c r="BK75" s="25">
        <v>8.9221189551574529</v>
      </c>
      <c r="BL75" s="25">
        <v>1.7464574412383413</v>
      </c>
      <c r="BM75" s="25">
        <v>1.8646523310432823</v>
      </c>
      <c r="BN75" s="25">
        <v>1.9050090131162243</v>
      </c>
      <c r="BO75" s="25">
        <v>6.0234669676425341</v>
      </c>
      <c r="BP75" s="25">
        <v>0.44669370262975389</v>
      </c>
      <c r="BQ75" s="25">
        <v>71.482262126165793</v>
      </c>
      <c r="BR75" s="25">
        <v>6.7654787777212286</v>
      </c>
      <c r="BS75" s="25">
        <v>8.2349253313611523</v>
      </c>
      <c r="BT75" s="25">
        <v>12.195284609092305</v>
      </c>
      <c r="BU75" s="25">
        <v>35757.027765934254</v>
      </c>
      <c r="BV75" s="25">
        <v>6.3947730060680561</v>
      </c>
      <c r="BW75" s="25">
        <v>6.2684057086135869</v>
      </c>
      <c r="BX75" s="25">
        <v>0</v>
      </c>
      <c r="BY75" s="25">
        <v>36021.257146411728</v>
      </c>
      <c r="BZ75" s="25">
        <v>283.84197637122588</v>
      </c>
      <c r="CA75" s="25">
        <v>43422.333673069385</v>
      </c>
      <c r="CB75" s="25">
        <v>9016.6756500718675</v>
      </c>
      <c r="CC75" s="25">
        <v>214107.34658859362</v>
      </c>
      <c r="CD75" s="25">
        <v>21.5449654913572</v>
      </c>
      <c r="CE75" s="25">
        <v>0</v>
      </c>
      <c r="CF75" s="25">
        <v>266851.74285359745</v>
      </c>
      <c r="CG75" s="25">
        <v>302873</v>
      </c>
      <c r="CH75"/>
      <c r="CI75">
        <f t="shared" si="1"/>
        <v>0.88106811387478401</v>
      </c>
      <c r="CJ75"/>
      <c r="CK75"/>
      <c r="CL75"/>
      <c r="CM75"/>
      <c r="CN75"/>
      <c r="CO75"/>
      <c r="CP75"/>
      <c r="CQ75"/>
      <c r="CR75"/>
      <c r="CS75"/>
      <c r="CT75"/>
      <c r="CU75"/>
    </row>
    <row r="76" spans="1:99" s="5" customFormat="1" x14ac:dyDescent="0.3">
      <c r="A76" s="35" t="s">
        <v>80</v>
      </c>
      <c r="B76" s="11" t="s">
        <v>154</v>
      </c>
      <c r="C76" s="5">
        <v>71</v>
      </c>
      <c r="D76" s="25">
        <v>1.4986280733025255</v>
      </c>
      <c r="E76" s="25">
        <v>12.406923136743467</v>
      </c>
      <c r="F76" s="25">
        <v>2.8699715025936685</v>
      </c>
      <c r="G76" s="25">
        <v>1.1093648190283103</v>
      </c>
      <c r="H76" s="25">
        <v>23.883461720066183</v>
      </c>
      <c r="I76" s="25">
        <v>0.59580127768691005</v>
      </c>
      <c r="J76" s="25">
        <v>8.2115958433375172E-2</v>
      </c>
      <c r="K76" s="25">
        <v>70.066051385824508</v>
      </c>
      <c r="L76" s="25">
        <v>4.4852842431006561</v>
      </c>
      <c r="M76" s="25">
        <v>109.4629225999212</v>
      </c>
      <c r="N76" s="25">
        <v>138.17899326163968</v>
      </c>
      <c r="O76" s="25">
        <v>6.282718772982836</v>
      </c>
      <c r="P76" s="25">
        <v>3.1594771411283071</v>
      </c>
      <c r="Q76" s="25">
        <v>10.927452562690849</v>
      </c>
      <c r="R76" s="25">
        <v>23.196386722881908</v>
      </c>
      <c r="S76" s="25">
        <v>1.3517147463670134</v>
      </c>
      <c r="T76" s="25">
        <v>15.95481681098444</v>
      </c>
      <c r="U76" s="25">
        <v>1.7050305166385509</v>
      </c>
      <c r="V76" s="25">
        <v>7.7296033229704495</v>
      </c>
      <c r="W76" s="25">
        <v>0.19822743410288279</v>
      </c>
      <c r="X76" s="25">
        <v>1.2666070419797221E-3</v>
      </c>
      <c r="Y76" s="25">
        <v>3.4283167180381482</v>
      </c>
      <c r="Z76" s="25">
        <v>4.2293577832673712</v>
      </c>
      <c r="AA76" s="25">
        <v>15.243865865442542</v>
      </c>
      <c r="AB76" s="25">
        <v>37.010433202345496</v>
      </c>
      <c r="AC76" s="25">
        <v>58.322253648757147</v>
      </c>
      <c r="AD76" s="25">
        <v>16.681252259739647</v>
      </c>
      <c r="AE76" s="25">
        <v>7.9338672862677893</v>
      </c>
      <c r="AF76" s="25">
        <v>7.8320548728184445</v>
      </c>
      <c r="AG76" s="25">
        <v>0.82339853409914499</v>
      </c>
      <c r="AH76" s="25">
        <v>15.400912749045977</v>
      </c>
      <c r="AI76" s="25">
        <v>39.890254566362692</v>
      </c>
      <c r="AJ76" s="25">
        <v>18.780009081193146</v>
      </c>
      <c r="AK76" s="25">
        <v>13.623331972886721</v>
      </c>
      <c r="AL76" s="25">
        <v>126.17215309719087</v>
      </c>
      <c r="AM76" s="25">
        <v>5.2672131904894677</v>
      </c>
      <c r="AN76" s="25">
        <v>7.3457507494033916</v>
      </c>
      <c r="AO76" s="25">
        <v>12.668718308606875</v>
      </c>
      <c r="AP76" s="25">
        <v>4.4806153401284243</v>
      </c>
      <c r="AQ76" s="25">
        <v>77.489366631310631</v>
      </c>
      <c r="AR76" s="25">
        <v>12.657958437157586</v>
      </c>
      <c r="AS76" s="25">
        <v>9.0689548630031123</v>
      </c>
      <c r="AT76" s="25">
        <v>5.2219094700774402</v>
      </c>
      <c r="AU76" s="25">
        <v>6.3468417198520486</v>
      </c>
      <c r="AV76" s="25">
        <v>42.925069779165767</v>
      </c>
      <c r="AW76" s="25">
        <v>78.336398986871984</v>
      </c>
      <c r="AX76" s="25">
        <v>575.57784742746389</v>
      </c>
      <c r="AY76" s="40">
        <v>23.265513951823984</v>
      </c>
      <c r="AZ76" s="25">
        <v>1.3569338822012436</v>
      </c>
      <c r="BA76" s="25">
        <v>5.5426628233724387</v>
      </c>
      <c r="BB76" s="25">
        <v>39.932233379389444</v>
      </c>
      <c r="BC76" s="25">
        <v>23.825612703594274</v>
      </c>
      <c r="BD76" s="25">
        <v>32.016448313920861</v>
      </c>
      <c r="BE76" s="25">
        <v>18.985733075376832</v>
      </c>
      <c r="BF76" s="25">
        <v>1904.5501653147101</v>
      </c>
      <c r="BG76" s="25">
        <v>351.93897884104206</v>
      </c>
      <c r="BH76" s="25">
        <v>60.989368197077944</v>
      </c>
      <c r="BI76" s="25">
        <v>270.17862508813107</v>
      </c>
      <c r="BJ76" s="25">
        <v>28.419924719166982</v>
      </c>
      <c r="BK76" s="25">
        <v>130.3067149424395</v>
      </c>
      <c r="BL76" s="25">
        <v>12.331077928735786</v>
      </c>
      <c r="BM76" s="25">
        <v>121.94242880674938</v>
      </c>
      <c r="BN76" s="25">
        <v>30.254224007791166</v>
      </c>
      <c r="BO76" s="25">
        <v>69.633123723185719</v>
      </c>
      <c r="BP76" s="25">
        <v>5.5756073007752693</v>
      </c>
      <c r="BQ76" s="25">
        <v>680.87192217199959</v>
      </c>
      <c r="BR76" s="25">
        <v>78.20610344147282</v>
      </c>
      <c r="BS76" s="25">
        <v>82.146169919848063</v>
      </c>
      <c r="BT76" s="25">
        <v>75.687248092099068</v>
      </c>
      <c r="BU76" s="25">
        <v>5.3434921323855962</v>
      </c>
      <c r="BV76" s="25">
        <v>675.20568767927989</v>
      </c>
      <c r="BW76" s="25">
        <v>957.77179193384268</v>
      </c>
      <c r="BX76" s="25">
        <v>0</v>
      </c>
      <c r="BY76" s="25">
        <v>7324.1821115275288</v>
      </c>
      <c r="BZ76" s="25">
        <v>2633.5832627942486</v>
      </c>
      <c r="CA76" s="25">
        <v>0.11658774009854199</v>
      </c>
      <c r="CB76" s="25">
        <v>8348.6426618049227</v>
      </c>
      <c r="CC76" s="25">
        <v>22056.495746863191</v>
      </c>
      <c r="CD76" s="25">
        <v>2.9796292765998467</v>
      </c>
      <c r="CE76" s="25">
        <v>0</v>
      </c>
      <c r="CF76" s="25">
        <v>33041.817888479069</v>
      </c>
      <c r="CG76" s="25">
        <v>40366</v>
      </c>
      <c r="CH76"/>
      <c r="CI76">
        <f t="shared" si="1"/>
        <v>0.81855566289647397</v>
      </c>
      <c r="CJ76"/>
      <c r="CK76"/>
      <c r="CL76"/>
      <c r="CM76"/>
      <c r="CN76"/>
      <c r="CO76"/>
      <c r="CP76"/>
      <c r="CQ76"/>
      <c r="CR76"/>
      <c r="CS76"/>
      <c r="CT76"/>
      <c r="CU76"/>
    </row>
    <row r="77" spans="1:99" s="5" customFormat="1" x14ac:dyDescent="0.3">
      <c r="A77" s="35" t="s">
        <v>81</v>
      </c>
      <c r="B77" s="11" t="s">
        <v>155</v>
      </c>
      <c r="C77" s="5">
        <v>72</v>
      </c>
      <c r="D77" s="25">
        <v>148.27950520159411</v>
      </c>
      <c r="E77" s="25">
        <v>40.271914537994917</v>
      </c>
      <c r="F77" s="25">
        <v>24.758478477861253</v>
      </c>
      <c r="G77" s="25">
        <v>42.394301846332148</v>
      </c>
      <c r="H77" s="25">
        <v>950.08717775764546</v>
      </c>
      <c r="I77" s="25">
        <v>353.79076463943113</v>
      </c>
      <c r="J77" s="25">
        <v>55.93996081256256</v>
      </c>
      <c r="K77" s="25">
        <v>261.50324566597476</v>
      </c>
      <c r="L77" s="25">
        <v>69.745367284537437</v>
      </c>
      <c r="M77" s="25">
        <v>276.75602190465725</v>
      </c>
      <c r="N77" s="25">
        <v>144.34792700589529</v>
      </c>
      <c r="O77" s="25">
        <v>17.244388152548758</v>
      </c>
      <c r="P77" s="25">
        <v>66.837152902180904</v>
      </c>
      <c r="Q77" s="25">
        <v>111.64269619022069</v>
      </c>
      <c r="R77" s="25">
        <v>65.177523615905727</v>
      </c>
      <c r="S77" s="25">
        <v>85.35781524069165</v>
      </c>
      <c r="T77" s="25">
        <v>164.59709558961441</v>
      </c>
      <c r="U77" s="25">
        <v>47.971054932836935</v>
      </c>
      <c r="V77" s="25">
        <v>166.01956736593948</v>
      </c>
      <c r="W77" s="25">
        <v>4.2576095401974481</v>
      </c>
      <c r="X77" s="25">
        <v>2.7204701760984502E-2</v>
      </c>
      <c r="Y77" s="25">
        <v>64.473650177282593</v>
      </c>
      <c r="Z77" s="25">
        <v>135.03627652301645</v>
      </c>
      <c r="AA77" s="25">
        <v>60.718371728066813</v>
      </c>
      <c r="AB77" s="25">
        <v>60.579475023827683</v>
      </c>
      <c r="AC77" s="25">
        <v>130.43822493114192</v>
      </c>
      <c r="AD77" s="25">
        <v>212.12917441869078</v>
      </c>
      <c r="AE77" s="25">
        <v>175.31938299820357</v>
      </c>
      <c r="AF77" s="25">
        <v>162.94022516942098</v>
      </c>
      <c r="AG77" s="25">
        <v>65.686681590896782</v>
      </c>
      <c r="AH77" s="25">
        <v>267.83666984174027</v>
      </c>
      <c r="AI77" s="25">
        <v>291.8352624901928</v>
      </c>
      <c r="AJ77" s="25">
        <v>157.88351006524681</v>
      </c>
      <c r="AK77" s="25">
        <v>236.91165976659266</v>
      </c>
      <c r="AL77" s="25">
        <v>292.37981343585159</v>
      </c>
      <c r="AM77" s="25">
        <v>182.28603285306875</v>
      </c>
      <c r="AN77" s="25">
        <v>67.060545629051006</v>
      </c>
      <c r="AO77" s="25">
        <v>130.24699471927141</v>
      </c>
      <c r="AP77" s="25">
        <v>6.480592988657464</v>
      </c>
      <c r="AQ77" s="25">
        <v>528.00611272798199</v>
      </c>
      <c r="AR77" s="25">
        <v>86.25027819978834</v>
      </c>
      <c r="AS77" s="25">
        <v>61.795105727254168</v>
      </c>
      <c r="AT77" s="25">
        <v>35.581657718685506</v>
      </c>
      <c r="AU77" s="25">
        <v>1.8169400849418156</v>
      </c>
      <c r="AV77" s="25">
        <v>148.55346211832205</v>
      </c>
      <c r="AW77" s="25">
        <v>87.560218167820551</v>
      </c>
      <c r="AX77" s="25">
        <v>3369.3563922196859</v>
      </c>
      <c r="AY77" s="40">
        <v>480.05488665553509</v>
      </c>
      <c r="AZ77" s="25">
        <v>5.5978326635053959</v>
      </c>
      <c r="BA77" s="25">
        <v>9.1837366115049619</v>
      </c>
      <c r="BB77" s="25">
        <v>1341.3589095970306</v>
      </c>
      <c r="BC77" s="25">
        <v>175.31864687996406</v>
      </c>
      <c r="BD77" s="25">
        <v>228.01581578550022</v>
      </c>
      <c r="BE77" s="25">
        <v>34.680168524134501</v>
      </c>
      <c r="BF77" s="25">
        <v>177.14241759216932</v>
      </c>
      <c r="BG77" s="25">
        <v>3219.3982532858768</v>
      </c>
      <c r="BH77" s="25">
        <v>1425.747618554632</v>
      </c>
      <c r="BI77" s="25">
        <v>2146.9400580348452</v>
      </c>
      <c r="BJ77" s="25">
        <v>125.60752076692776</v>
      </c>
      <c r="BK77" s="25">
        <v>517.06424042769754</v>
      </c>
      <c r="BL77" s="25">
        <v>69.449786781805045</v>
      </c>
      <c r="BM77" s="25">
        <v>576.89632965365729</v>
      </c>
      <c r="BN77" s="25">
        <v>155.80906917715848</v>
      </c>
      <c r="BO77" s="25">
        <v>1371.5564717872458</v>
      </c>
      <c r="BP77" s="25">
        <v>40.389507983655974</v>
      </c>
      <c r="BQ77" s="25">
        <v>703.5707730035349</v>
      </c>
      <c r="BR77" s="25">
        <v>115.54973983387723</v>
      </c>
      <c r="BS77" s="25">
        <v>552.44266451575413</v>
      </c>
      <c r="BT77" s="25">
        <v>1472.1357056679005</v>
      </c>
      <c r="BU77" s="25">
        <v>2832.4991176373801</v>
      </c>
      <c r="BV77" s="25">
        <v>27.255310713115467</v>
      </c>
      <c r="BW77" s="25">
        <v>625.18009024417051</v>
      </c>
      <c r="BX77" s="25">
        <v>0</v>
      </c>
      <c r="BY77" s="25">
        <v>28545.014157059668</v>
      </c>
      <c r="BZ77" s="25">
        <v>57.039317088075066</v>
      </c>
      <c r="CA77" s="25">
        <v>1.0854720629864254</v>
      </c>
      <c r="CB77" s="25">
        <v>47319</v>
      </c>
      <c r="CC77" s="25">
        <v>95909.47268428946</v>
      </c>
      <c r="CD77" s="25">
        <v>87.355970819926981</v>
      </c>
      <c r="CE77" s="25">
        <v>3.2398694523191274E-2</v>
      </c>
      <c r="CF77" s="25">
        <v>143373.98584295495</v>
      </c>
      <c r="CG77" s="25">
        <v>171919</v>
      </c>
      <c r="CH77"/>
      <c r="CI77">
        <f t="shared" si="1"/>
        <v>0.83396242325138559</v>
      </c>
      <c r="CJ77"/>
      <c r="CK77"/>
      <c r="CL77"/>
      <c r="CM77"/>
      <c r="CN77"/>
      <c r="CO77"/>
      <c r="CP77"/>
      <c r="CQ77"/>
      <c r="CR77"/>
      <c r="CS77"/>
      <c r="CT77"/>
      <c r="CU77"/>
    </row>
    <row r="78" spans="1:99" s="5" customFormat="1" x14ac:dyDescent="0.3">
      <c r="A78" s="35" t="s">
        <v>82</v>
      </c>
      <c r="B78" s="11" t="s">
        <v>156</v>
      </c>
      <c r="C78" s="5">
        <v>73</v>
      </c>
      <c r="D78" s="25">
        <v>0</v>
      </c>
      <c r="E78" s="25">
        <v>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0</v>
      </c>
      <c r="AH78" s="25">
        <v>0</v>
      </c>
      <c r="AI78" s="25">
        <v>0</v>
      </c>
      <c r="AJ78" s="25">
        <v>0</v>
      </c>
      <c r="AK78" s="25">
        <v>0</v>
      </c>
      <c r="AL78" s="25">
        <v>0</v>
      </c>
      <c r="AM78" s="25">
        <v>0</v>
      </c>
      <c r="AN78" s="25">
        <v>0</v>
      </c>
      <c r="AO78" s="25">
        <v>0</v>
      </c>
      <c r="AP78" s="25">
        <v>0</v>
      </c>
      <c r="AQ78" s="25">
        <v>0</v>
      </c>
      <c r="AR78" s="25">
        <v>0</v>
      </c>
      <c r="AS78" s="25">
        <v>0</v>
      </c>
      <c r="AT78" s="25">
        <v>0</v>
      </c>
      <c r="AU78" s="25">
        <v>0</v>
      </c>
      <c r="AV78" s="25">
        <v>0</v>
      </c>
      <c r="AW78" s="25">
        <v>0</v>
      </c>
      <c r="AX78" s="25">
        <v>0</v>
      </c>
      <c r="AY78" s="40">
        <v>0</v>
      </c>
      <c r="AZ78" s="25">
        <v>0</v>
      </c>
      <c r="BA78" s="25">
        <v>0</v>
      </c>
      <c r="BB78" s="25">
        <v>0</v>
      </c>
      <c r="BC78" s="25">
        <v>0</v>
      </c>
      <c r="BD78" s="25">
        <v>0</v>
      </c>
      <c r="BE78" s="25">
        <v>0</v>
      </c>
      <c r="BF78" s="25">
        <v>0</v>
      </c>
      <c r="BG78" s="25">
        <v>0</v>
      </c>
      <c r="BH78" s="25">
        <v>0</v>
      </c>
      <c r="BI78" s="25">
        <v>0</v>
      </c>
      <c r="BJ78" s="25">
        <v>0</v>
      </c>
      <c r="BK78" s="25">
        <v>0</v>
      </c>
      <c r="BL78" s="25">
        <v>0</v>
      </c>
      <c r="BM78" s="25">
        <v>0</v>
      </c>
      <c r="BN78" s="25">
        <v>0</v>
      </c>
      <c r="BO78" s="25">
        <v>0</v>
      </c>
      <c r="BP78" s="25">
        <v>0</v>
      </c>
      <c r="BQ78" s="25">
        <v>0</v>
      </c>
      <c r="BR78" s="25">
        <v>0</v>
      </c>
      <c r="BS78" s="25">
        <v>0</v>
      </c>
      <c r="BT78" s="25">
        <v>0</v>
      </c>
      <c r="BU78" s="25">
        <v>0</v>
      </c>
      <c r="BV78" s="25">
        <v>0</v>
      </c>
      <c r="BW78" s="25">
        <v>0</v>
      </c>
      <c r="BX78" s="25">
        <v>0</v>
      </c>
      <c r="BY78" s="25">
        <v>0</v>
      </c>
      <c r="BZ78" s="25">
        <v>0</v>
      </c>
      <c r="CA78" s="25">
        <v>0</v>
      </c>
      <c r="CB78" s="25">
        <v>0</v>
      </c>
      <c r="CC78" s="25">
        <v>74451</v>
      </c>
      <c r="CD78" s="25">
        <v>0</v>
      </c>
      <c r="CE78" s="25">
        <v>0</v>
      </c>
      <c r="CF78" s="25">
        <v>74451</v>
      </c>
      <c r="CG78" s="25">
        <v>74451</v>
      </c>
      <c r="CH78"/>
      <c r="CI78">
        <f t="shared" si="1"/>
        <v>1</v>
      </c>
      <c r="CJ78"/>
      <c r="CK78"/>
      <c r="CL78"/>
      <c r="CM78"/>
      <c r="CN78"/>
      <c r="CO78"/>
      <c r="CP78"/>
      <c r="CQ78"/>
      <c r="CR78"/>
      <c r="CS78"/>
      <c r="CT78"/>
      <c r="CU78"/>
    </row>
    <row r="79" spans="1:99" s="5" customFormat="1" x14ac:dyDescent="0.3">
      <c r="A79" s="15"/>
      <c r="B79" s="16" t="s">
        <v>166</v>
      </c>
      <c r="C79" s="5">
        <v>74</v>
      </c>
      <c r="D79" s="25">
        <v>149151.39243390344</v>
      </c>
      <c r="E79" s="25">
        <v>68079.253921847878</v>
      </c>
      <c r="F79" s="25">
        <v>8177.4548278247212</v>
      </c>
      <c r="G79" s="25">
        <v>9360.8652473349102</v>
      </c>
      <c r="H79" s="25">
        <v>86780.302243800921</v>
      </c>
      <c r="I79" s="25">
        <v>38249.787319055242</v>
      </c>
      <c r="J79" s="25">
        <v>8861.9730799903318</v>
      </c>
      <c r="K79" s="25">
        <v>226295.97479233512</v>
      </c>
      <c r="L79" s="25">
        <v>40680.401572386683</v>
      </c>
      <c r="M79" s="25">
        <v>229159.40212991342</v>
      </c>
      <c r="N79" s="25">
        <v>47291.888992867891</v>
      </c>
      <c r="O79" s="25">
        <v>10510.046244887526</v>
      </c>
      <c r="P79" s="25">
        <v>30369.290833344239</v>
      </c>
      <c r="Q79" s="25">
        <v>29704.03403518891</v>
      </c>
      <c r="R79" s="25">
        <v>22278.689184163421</v>
      </c>
      <c r="S79" s="25">
        <v>17495.768707169991</v>
      </c>
      <c r="T79" s="25">
        <v>62825.276373185865</v>
      </c>
      <c r="U79" s="25">
        <v>8728.2250240970461</v>
      </c>
      <c r="V79" s="25">
        <v>287013.66831324255</v>
      </c>
      <c r="W79" s="25">
        <v>6884.7092320229804</v>
      </c>
      <c r="X79" s="25">
        <v>3133.1478903090397</v>
      </c>
      <c r="Y79" s="25">
        <v>39806.994880170685</v>
      </c>
      <c r="Z79" s="25">
        <v>93685.489648632647</v>
      </c>
      <c r="AA79" s="25">
        <v>50165.759189674718</v>
      </c>
      <c r="AB79" s="25">
        <v>29616.10945770859</v>
      </c>
      <c r="AC79" s="25">
        <v>32534.934913433295</v>
      </c>
      <c r="AD79" s="25">
        <v>67095.931360778908</v>
      </c>
      <c r="AE79" s="25">
        <v>47995.653379399024</v>
      </c>
      <c r="AF79" s="25">
        <v>90011.633124967557</v>
      </c>
      <c r="AG79" s="25">
        <v>42241.063170239649</v>
      </c>
      <c r="AH79" s="25">
        <v>55292.639063284871</v>
      </c>
      <c r="AI79" s="25">
        <v>48924.358504162432</v>
      </c>
      <c r="AJ79" s="25">
        <v>43882.671757254262</v>
      </c>
      <c r="AK79" s="25">
        <v>69100.828702469065</v>
      </c>
      <c r="AL79" s="25">
        <v>125399.05268026798</v>
      </c>
      <c r="AM79" s="25">
        <v>57957.342348891398</v>
      </c>
      <c r="AN79" s="25">
        <v>14198.781904952179</v>
      </c>
      <c r="AO79" s="25">
        <v>34015.197452094872</v>
      </c>
      <c r="AP79" s="25">
        <v>34232.728710189665</v>
      </c>
      <c r="AQ79" s="25">
        <v>127681.23549929622</v>
      </c>
      <c r="AR79" s="25">
        <v>18161.429306020498</v>
      </c>
      <c r="AS79" s="25">
        <v>4642.9823184020252</v>
      </c>
      <c r="AT79" s="25">
        <v>13663.351246607119</v>
      </c>
      <c r="AU79" s="25">
        <v>25919.11705127099</v>
      </c>
      <c r="AV79" s="25">
        <v>258586.87463215971</v>
      </c>
      <c r="AW79" s="25">
        <v>61466.170254706725</v>
      </c>
      <c r="AX79" s="25">
        <v>379634.89856261347</v>
      </c>
      <c r="AY79" s="41">
        <f>SUM(AY6:AY78)</f>
        <v>179722.46427913534</v>
      </c>
      <c r="AZ79" s="25">
        <v>10000.749043767823</v>
      </c>
      <c r="BA79" s="25">
        <v>22005.893788772402</v>
      </c>
      <c r="BB79" s="25">
        <v>50075.885807417289</v>
      </c>
      <c r="BC79" s="25">
        <v>11174.565383518273</v>
      </c>
      <c r="BD79" s="25">
        <v>120776.23334276465</v>
      </c>
      <c r="BE79" s="25">
        <v>7719.1866007156314</v>
      </c>
      <c r="BF79" s="25">
        <v>22366.726888656551</v>
      </c>
      <c r="BG79" s="25">
        <v>80996.903652414068</v>
      </c>
      <c r="BH79" s="25">
        <v>45349.945690874993</v>
      </c>
      <c r="BI79" s="25">
        <v>196028.96518732898</v>
      </c>
      <c r="BJ79" s="25">
        <v>44529.804748100192</v>
      </c>
      <c r="BK79" s="25">
        <v>62859.56686188122</v>
      </c>
      <c r="BL79" s="25">
        <v>18857.746897610254</v>
      </c>
      <c r="BM79" s="25">
        <v>59576.85817212984</v>
      </c>
      <c r="BN79" s="25">
        <v>14344.205066557382</v>
      </c>
      <c r="BO79" s="25">
        <v>71519.590746992049</v>
      </c>
      <c r="BP79" s="25">
        <v>6663.1352010592364</v>
      </c>
      <c r="BQ79" s="25">
        <v>207583.76384339409</v>
      </c>
      <c r="BR79" s="25">
        <v>47100.064878214333</v>
      </c>
      <c r="BS79" s="25">
        <v>34108.375419278862</v>
      </c>
      <c r="BT79" s="25">
        <v>55184.157589632639</v>
      </c>
      <c r="BU79" s="25">
        <v>109176.75066206328</v>
      </c>
      <c r="BV79" s="25">
        <v>14856.012504412529</v>
      </c>
      <c r="BW79" s="25">
        <v>67590.783769702524</v>
      </c>
      <c r="BX79" s="25">
        <v>0</v>
      </c>
      <c r="BY79" s="25">
        <v>4840485.1610233989</v>
      </c>
      <c r="BZ79" s="25">
        <v>1025056</v>
      </c>
      <c r="CA79" s="25">
        <v>1393480</v>
      </c>
      <c r="CB79" s="25">
        <v>102253</v>
      </c>
      <c r="CC79" s="25">
        <v>3769922.0104907085</v>
      </c>
      <c r="CD79" s="25">
        <v>878944.82848589332</v>
      </c>
      <c r="CE79" s="25">
        <v>-131</v>
      </c>
      <c r="CF79" s="25">
        <v>7169524.8389766021</v>
      </c>
      <c r="CG79" s="25">
        <v>12010010</v>
      </c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</row>
    <row r="80" spans="1:99" s="5" customFormat="1" x14ac:dyDescent="0.3">
      <c r="A80" s="17"/>
      <c r="B80" s="14" t="s">
        <v>167</v>
      </c>
      <c r="C80" s="5">
        <v>75</v>
      </c>
      <c r="D80" s="25">
        <v>24183.128957308974</v>
      </c>
      <c r="E80" s="25">
        <v>5755.6608817485503</v>
      </c>
      <c r="F80" s="25">
        <v>537.51611682781652</v>
      </c>
      <c r="G80" s="25">
        <v>1556.2577604248361</v>
      </c>
      <c r="H80" s="25">
        <v>27867.644331880121</v>
      </c>
      <c r="I80" s="25">
        <v>5714.0844499970544</v>
      </c>
      <c r="J80" s="25">
        <v>1597.9782056476281</v>
      </c>
      <c r="K80" s="25">
        <v>6328.4894005141023</v>
      </c>
      <c r="L80" s="25">
        <v>797.17684535458557</v>
      </c>
      <c r="M80" s="25">
        <v>16720.175237566211</v>
      </c>
      <c r="N80" s="25">
        <v>3497.4522250180617</v>
      </c>
      <c r="O80" s="25">
        <v>722.70448176851687</v>
      </c>
      <c r="P80" s="25">
        <v>5295.7759871669186</v>
      </c>
      <c r="Q80" s="25">
        <v>4427.6390616554936</v>
      </c>
      <c r="R80" s="25">
        <v>2917.4641200425253</v>
      </c>
      <c r="S80" s="25">
        <v>1608.708930310615</v>
      </c>
      <c r="T80" s="25">
        <v>9260.3346742790345</v>
      </c>
      <c r="U80" s="25">
        <v>1398.3211260194951</v>
      </c>
      <c r="V80" s="25">
        <v>55572.301245236151</v>
      </c>
      <c r="W80" s="25">
        <v>1426.2976177079747</v>
      </c>
      <c r="X80" s="25">
        <v>53.305845374857689</v>
      </c>
      <c r="Y80" s="25">
        <v>1431.7306744794503</v>
      </c>
      <c r="Z80" s="25">
        <v>48562.221354953719</v>
      </c>
      <c r="AA80" s="25">
        <v>17822.444092411115</v>
      </c>
      <c r="AB80" s="25">
        <v>6237.9025794934305</v>
      </c>
      <c r="AC80" s="25">
        <v>5422.9334511936368</v>
      </c>
      <c r="AD80" s="25">
        <v>17408.562619639197</v>
      </c>
      <c r="AE80" s="25">
        <v>6069.3113435136138</v>
      </c>
      <c r="AF80" s="25">
        <v>19877.811565060154</v>
      </c>
      <c r="AG80" s="25">
        <v>11436.201379866139</v>
      </c>
      <c r="AH80" s="25">
        <v>8465.179163749197</v>
      </c>
      <c r="AI80" s="25">
        <v>30697.929689427885</v>
      </c>
      <c r="AJ80" s="25">
        <v>11191.577045715849</v>
      </c>
      <c r="AK80" s="25">
        <v>15905.432507461668</v>
      </c>
      <c r="AL80" s="25">
        <v>26596.213509634075</v>
      </c>
      <c r="AM80" s="25">
        <v>12200.314900843905</v>
      </c>
      <c r="AN80" s="25">
        <v>14472.28762622003</v>
      </c>
      <c r="AO80" s="25">
        <v>4902.2704961912932</v>
      </c>
      <c r="AP80" s="25">
        <v>13043.474695051191</v>
      </c>
      <c r="AQ80" s="25">
        <v>9178.8369395382942</v>
      </c>
      <c r="AR80" s="25">
        <v>1499.3713529099384</v>
      </c>
      <c r="AS80" s="25">
        <v>1074.2436222972451</v>
      </c>
      <c r="AT80" s="25">
        <v>1248.4881279562871</v>
      </c>
      <c r="AU80" s="25">
        <v>3312.4579052546642</v>
      </c>
      <c r="AV80" s="25">
        <v>25282.900434561092</v>
      </c>
      <c r="AW80" s="25">
        <v>9933.6931333181528</v>
      </c>
      <c r="AX80" s="25">
        <v>25771.750262729835</v>
      </c>
      <c r="AY80" s="40">
        <v>14216.849515117508</v>
      </c>
      <c r="AZ80" s="25">
        <v>1813.1869292364881</v>
      </c>
      <c r="BA80" s="25">
        <v>6864.6107607456734</v>
      </c>
      <c r="BB80" s="25">
        <v>5592.070327523812</v>
      </c>
      <c r="BC80" s="25">
        <v>580.00059695518223</v>
      </c>
      <c r="BD80" s="25">
        <v>7774.4096318310658</v>
      </c>
      <c r="BE80" s="25">
        <v>867.59186823585367</v>
      </c>
      <c r="BF80" s="25">
        <v>2456.9545598247637</v>
      </c>
      <c r="BG80" s="25">
        <v>6453.1872524104938</v>
      </c>
      <c r="BH80" s="25">
        <v>7361.4426152288188</v>
      </c>
      <c r="BI80" s="25">
        <v>10937.47166736594</v>
      </c>
      <c r="BJ80" s="25">
        <v>2406.1137744489251</v>
      </c>
      <c r="BK80" s="25">
        <v>3950.1053770394492</v>
      </c>
      <c r="BL80" s="25">
        <v>3129.4021411479448</v>
      </c>
      <c r="BM80" s="25">
        <v>2737.6558561697948</v>
      </c>
      <c r="BN80" s="25">
        <v>2492.839116781653</v>
      </c>
      <c r="BO80" s="25">
        <v>5948.6570922603205</v>
      </c>
      <c r="BP80" s="25">
        <v>637.79733272035207</v>
      </c>
      <c r="BQ80" s="25">
        <v>14920.461211549922</v>
      </c>
      <c r="BR80" s="25">
        <v>4536.5689094501568</v>
      </c>
      <c r="BS80" s="25">
        <v>3659.9193238486714</v>
      </c>
      <c r="BT80" s="25">
        <v>7433.0689327803902</v>
      </c>
      <c r="BU80" s="25">
        <v>11490.934490834492</v>
      </c>
      <c r="BV80" s="25">
        <v>1279.3586623210838</v>
      </c>
      <c r="BW80" s="25">
        <v>10473.724755018549</v>
      </c>
      <c r="BX80" s="25">
        <v>0</v>
      </c>
      <c r="BY80" s="25">
        <v>666298.34067616821</v>
      </c>
      <c r="BZ80" s="25">
        <v>0</v>
      </c>
      <c r="CA80" s="25">
        <v>0</v>
      </c>
      <c r="CB80" s="25">
        <v>0</v>
      </c>
      <c r="CC80" s="25">
        <v>223389.88626813609</v>
      </c>
      <c r="CD80" s="25">
        <v>107785.77305569606</v>
      </c>
      <c r="CE80" s="25">
        <v>0</v>
      </c>
      <c r="CF80" s="25">
        <v>331175.65932383202</v>
      </c>
      <c r="CG80" s="25">
        <v>997474</v>
      </c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</row>
    <row r="81" spans="1:99" s="5" customFormat="1" x14ac:dyDescent="0.3">
      <c r="A81" s="28"/>
      <c r="B81" s="14" t="s">
        <v>168</v>
      </c>
      <c r="C81" s="5">
        <v>76</v>
      </c>
      <c r="D81" s="25">
        <v>712.48471455829156</v>
      </c>
      <c r="E81" s="25">
        <v>199.57590484128707</v>
      </c>
      <c r="F81" s="25">
        <v>13.047764298038301</v>
      </c>
      <c r="G81" s="25">
        <v>76.297227297775862</v>
      </c>
      <c r="H81" s="25">
        <v>466.80115394256529</v>
      </c>
      <c r="I81" s="25">
        <v>239.77883806122986</v>
      </c>
      <c r="J81" s="25">
        <v>45.092210805487653</v>
      </c>
      <c r="K81" s="25">
        <v>238.16233971447025</v>
      </c>
      <c r="L81" s="25">
        <v>10.760872828330948</v>
      </c>
      <c r="M81" s="25">
        <v>528.53164910787507</v>
      </c>
      <c r="N81" s="25">
        <v>179.89357830178579</v>
      </c>
      <c r="O81" s="25">
        <v>15.484261636675772</v>
      </c>
      <c r="P81" s="25">
        <v>582.11498789306268</v>
      </c>
      <c r="Q81" s="25">
        <v>903.72469740271356</v>
      </c>
      <c r="R81" s="25">
        <v>373.57056622994691</v>
      </c>
      <c r="S81" s="25">
        <v>89.304293710036006</v>
      </c>
      <c r="T81" s="25">
        <v>245.81928936176669</v>
      </c>
      <c r="U81" s="25">
        <v>54.472306746504721</v>
      </c>
      <c r="V81" s="25">
        <v>155.63268747752372</v>
      </c>
      <c r="W81" s="25">
        <v>3.9944095603870751</v>
      </c>
      <c r="X81" s="25">
        <v>0.1492853775721876</v>
      </c>
      <c r="Y81" s="25">
        <v>46.29851492739153</v>
      </c>
      <c r="Z81" s="25">
        <v>853.5344031395806</v>
      </c>
      <c r="AA81" s="25">
        <v>659.6453115281098</v>
      </c>
      <c r="AB81" s="25">
        <v>267.98502731941846</v>
      </c>
      <c r="AC81" s="25">
        <v>175.63798731664562</v>
      </c>
      <c r="AD81" s="25">
        <v>1221.5684743307922</v>
      </c>
      <c r="AE81" s="25">
        <v>203.34953393319287</v>
      </c>
      <c r="AF81" s="25">
        <v>250.88856122318941</v>
      </c>
      <c r="AG81" s="25">
        <v>153.88986367952171</v>
      </c>
      <c r="AH81" s="25">
        <v>467.94077594491608</v>
      </c>
      <c r="AI81" s="25">
        <v>1037.8874781903801</v>
      </c>
      <c r="AJ81" s="25">
        <v>727.82477676983399</v>
      </c>
      <c r="AK81" s="25">
        <v>1148.6944417645036</v>
      </c>
      <c r="AL81" s="25">
        <v>2358.4850856584794</v>
      </c>
      <c r="AM81" s="25">
        <v>941.11737770458058</v>
      </c>
      <c r="AN81" s="25">
        <v>205.25745701897426</v>
      </c>
      <c r="AO81" s="25">
        <v>337.80723196335208</v>
      </c>
      <c r="AP81" s="25">
        <v>775.3884323869521</v>
      </c>
      <c r="AQ81" s="25">
        <v>314.97886922865513</v>
      </c>
      <c r="AR81" s="25">
        <v>51.452084442102198</v>
      </c>
      <c r="AS81" s="25">
        <v>36.863498464577901</v>
      </c>
      <c r="AT81" s="25">
        <v>42.842833071272821</v>
      </c>
      <c r="AU81" s="25">
        <v>59.210496606621973</v>
      </c>
      <c r="AV81" s="25">
        <v>1773.4439564118695</v>
      </c>
      <c r="AW81" s="25">
        <v>813.62324261955007</v>
      </c>
      <c r="AX81" s="25">
        <v>365.11869371822985</v>
      </c>
      <c r="AY81" s="40">
        <v>764.61320374122931</v>
      </c>
      <c r="AZ81" s="25">
        <v>11.325219967355727</v>
      </c>
      <c r="BA81" s="25">
        <v>28.37128141098562</v>
      </c>
      <c r="BB81" s="25">
        <v>40.5027980577878</v>
      </c>
      <c r="BC81" s="25">
        <v>23.078652578953154</v>
      </c>
      <c r="BD81" s="25">
        <v>276.97929940117507</v>
      </c>
      <c r="BE81" s="25">
        <v>6.1069490866026834</v>
      </c>
      <c r="BF81" s="25">
        <v>23.590255802890535</v>
      </c>
      <c r="BG81" s="25">
        <v>46.680084020494526</v>
      </c>
      <c r="BH81" s="25">
        <v>85.295710611033357</v>
      </c>
      <c r="BI81" s="25">
        <v>46.890030884403693</v>
      </c>
      <c r="BJ81" s="25">
        <v>70.859998289842096</v>
      </c>
      <c r="BK81" s="25">
        <v>71.367214714365161</v>
      </c>
      <c r="BL81" s="25">
        <v>85.102129907451882</v>
      </c>
      <c r="BM81" s="25">
        <v>31.27449894954712</v>
      </c>
      <c r="BN81" s="25">
        <v>44.544241752142717</v>
      </c>
      <c r="BO81" s="25">
        <v>239.64416571188517</v>
      </c>
      <c r="BP81" s="25">
        <v>14.531848877536895</v>
      </c>
      <c r="BQ81" s="25">
        <v>164.15405175720011</v>
      </c>
      <c r="BR81" s="25">
        <v>116.15243605857908</v>
      </c>
      <c r="BS81" s="25">
        <v>12.221294733991771</v>
      </c>
      <c r="BT81" s="25">
        <v>240.39342203826871</v>
      </c>
      <c r="BU81" s="25">
        <v>698.18872754468134</v>
      </c>
      <c r="BV81" s="25">
        <v>16.167584777809225</v>
      </c>
      <c r="BW81" s="25">
        <v>154.32497313920311</v>
      </c>
      <c r="BX81" s="25">
        <v>0</v>
      </c>
      <c r="BY81" s="25">
        <v>23737.78752233144</v>
      </c>
      <c r="BZ81" s="25">
        <v>0</v>
      </c>
      <c r="CA81" s="25">
        <v>0</v>
      </c>
      <c r="CB81" s="25">
        <v>0</v>
      </c>
      <c r="CC81" s="25">
        <v>11407.196211290042</v>
      </c>
      <c r="CD81" s="25">
        <v>5430.0162663785195</v>
      </c>
      <c r="CE81" s="25">
        <v>0</v>
      </c>
      <c r="CF81" s="25">
        <v>16837.21247766856</v>
      </c>
      <c r="CG81" s="25">
        <v>40575</v>
      </c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</row>
    <row r="82" spans="1:99" s="5" customFormat="1" x14ac:dyDescent="0.3">
      <c r="A82" s="28"/>
      <c r="B82" s="12" t="s">
        <v>169</v>
      </c>
      <c r="C82" s="5">
        <v>77</v>
      </c>
      <c r="D82" s="25">
        <v>8343.3247851177421</v>
      </c>
      <c r="E82" s="25">
        <v>4147.5785779479093</v>
      </c>
      <c r="F82" s="25">
        <v>444.5747995710517</v>
      </c>
      <c r="G82" s="25">
        <v>280.50113242013538</v>
      </c>
      <c r="H82" s="25">
        <v>2135.2466604983751</v>
      </c>
      <c r="I82" s="25">
        <v>953.89694752852427</v>
      </c>
      <c r="J82" s="25">
        <v>215.15107681860576</v>
      </c>
      <c r="K82" s="25">
        <v>7586.0307643154947</v>
      </c>
      <c r="L82" s="25">
        <v>306.04426679444379</v>
      </c>
      <c r="M82" s="25">
        <v>6674.5662335599945</v>
      </c>
      <c r="N82" s="25">
        <v>2477.1240274870606</v>
      </c>
      <c r="O82" s="25">
        <v>442.39621000729983</v>
      </c>
      <c r="P82" s="25">
        <v>1237.9741685947458</v>
      </c>
      <c r="Q82" s="25">
        <v>1774.1848478969957</v>
      </c>
      <c r="R82" s="25">
        <v>1798.8330459951226</v>
      </c>
      <c r="S82" s="25">
        <v>1016.1477220707337</v>
      </c>
      <c r="T82" s="25">
        <v>2030.5233441515227</v>
      </c>
      <c r="U82" s="25">
        <v>435.32752668680411</v>
      </c>
      <c r="V82" s="25">
        <v>8752.2783785208831</v>
      </c>
      <c r="W82" s="25">
        <v>178.62543259392183</v>
      </c>
      <c r="X82" s="25">
        <v>0.36781858128730416</v>
      </c>
      <c r="Y82" s="25">
        <v>628.38127884883704</v>
      </c>
      <c r="Z82" s="25">
        <v>2149.1884402579776</v>
      </c>
      <c r="AA82" s="25">
        <v>1286.9068564038732</v>
      </c>
      <c r="AB82" s="25">
        <v>1455.4290056364525</v>
      </c>
      <c r="AC82" s="25">
        <v>1781.9362084556501</v>
      </c>
      <c r="AD82" s="25">
        <v>1993.9187807125231</v>
      </c>
      <c r="AE82" s="25">
        <v>2222.7100044973436</v>
      </c>
      <c r="AF82" s="25">
        <v>1552.7651646761044</v>
      </c>
      <c r="AG82" s="25">
        <v>965.7129486848786</v>
      </c>
      <c r="AH82" s="25">
        <v>1751.6930071103322</v>
      </c>
      <c r="AI82" s="25">
        <v>2602.7609612323031</v>
      </c>
      <c r="AJ82" s="25">
        <v>1490.1682230500396</v>
      </c>
      <c r="AK82" s="25">
        <v>1879.5987247239307</v>
      </c>
      <c r="AL82" s="25">
        <v>2966.0637625793861</v>
      </c>
      <c r="AM82" s="25">
        <v>1722.880116329678</v>
      </c>
      <c r="AN82" s="25">
        <v>883.2984209706151</v>
      </c>
      <c r="AO82" s="25">
        <v>1714.3591697105196</v>
      </c>
      <c r="AP82" s="25">
        <v>1225.2545924314563</v>
      </c>
      <c r="AQ82" s="25">
        <v>12175.833465165224</v>
      </c>
      <c r="AR82" s="25">
        <v>1988.9334580977081</v>
      </c>
      <c r="AS82" s="25">
        <v>1424.9966016680364</v>
      </c>
      <c r="AT82" s="25">
        <v>1656.1339556813491</v>
      </c>
      <c r="AU82" s="25">
        <v>1108.2851827143804</v>
      </c>
      <c r="AV82" s="25">
        <v>10706.709417735583</v>
      </c>
      <c r="AW82" s="25">
        <v>1612.3979376553073</v>
      </c>
      <c r="AX82" s="25">
        <v>10468.138246874449</v>
      </c>
      <c r="AY82" s="40">
        <v>8076.63712203267</v>
      </c>
      <c r="AZ82" s="25">
        <v>111.34151620682954</v>
      </c>
      <c r="BA82" s="25">
        <v>2402.9493815019487</v>
      </c>
      <c r="BB82" s="25">
        <v>783.90607203329</v>
      </c>
      <c r="BC82" s="25">
        <v>694.50273508842668</v>
      </c>
      <c r="BD82" s="25">
        <v>10107.12002844398</v>
      </c>
      <c r="BE82" s="25">
        <v>290.44061937566619</v>
      </c>
      <c r="BF82" s="25">
        <v>399.46081325898257</v>
      </c>
      <c r="BG82" s="25">
        <v>4518.3804745554144</v>
      </c>
      <c r="BH82" s="25">
        <v>1004.7900997816121</v>
      </c>
      <c r="BI82" s="25">
        <v>3115.6887187089501</v>
      </c>
      <c r="BJ82" s="25">
        <v>907.55560246915513</v>
      </c>
      <c r="BK82" s="25">
        <v>1600.7392676210184</v>
      </c>
      <c r="BL82" s="25">
        <v>638.51923139567361</v>
      </c>
      <c r="BM82" s="25">
        <v>1102.1473607308526</v>
      </c>
      <c r="BN82" s="25">
        <v>490.89624204304693</v>
      </c>
      <c r="BO82" s="25">
        <v>3608.0465417477594</v>
      </c>
      <c r="BP82" s="25">
        <v>253.90624998401819</v>
      </c>
      <c r="BQ82" s="25">
        <v>5343.4810754484188</v>
      </c>
      <c r="BR82" s="25">
        <v>2010.6387435072065</v>
      </c>
      <c r="BS82" s="25">
        <v>1049.8188387612634</v>
      </c>
      <c r="BT82" s="25">
        <v>3299.4808391105353</v>
      </c>
      <c r="BU82" s="25">
        <v>7722.8460184638334</v>
      </c>
      <c r="BV82" s="25">
        <v>443.82302788682347</v>
      </c>
      <c r="BW82" s="25">
        <v>3537.0443299909734</v>
      </c>
      <c r="BX82" s="25">
        <v>0</v>
      </c>
      <c r="BY82" s="25">
        <v>186159.31264921097</v>
      </c>
      <c r="BZ82" s="25">
        <v>0</v>
      </c>
      <c r="CA82" s="25">
        <v>0</v>
      </c>
      <c r="CB82" s="25">
        <v>0</v>
      </c>
      <c r="CC82" s="25">
        <v>274756.2360762817</v>
      </c>
      <c r="CD82" s="25">
        <v>18394.451274507348</v>
      </c>
      <c r="CE82" s="25">
        <v>0</v>
      </c>
      <c r="CF82" s="25">
        <v>293150.68735078909</v>
      </c>
      <c r="CG82" s="25">
        <v>479310</v>
      </c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</row>
    <row r="83" spans="1:99" s="5" customFormat="1" x14ac:dyDescent="0.3">
      <c r="A83" s="28"/>
      <c r="B83" s="12" t="s">
        <v>170</v>
      </c>
      <c r="C83" s="5">
        <v>78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25">
        <v>0</v>
      </c>
      <c r="U83" s="25">
        <v>0</v>
      </c>
      <c r="V83" s="25">
        <v>0</v>
      </c>
      <c r="W83" s="25">
        <v>0</v>
      </c>
      <c r="X83" s="25">
        <v>0</v>
      </c>
      <c r="Y83" s="25">
        <v>0</v>
      </c>
      <c r="Z83" s="25">
        <v>0</v>
      </c>
      <c r="AA83" s="25">
        <v>0</v>
      </c>
      <c r="AB83" s="25">
        <v>0</v>
      </c>
      <c r="AC83" s="25">
        <v>0</v>
      </c>
      <c r="AD83" s="25">
        <v>0</v>
      </c>
      <c r="AE83" s="25">
        <v>0</v>
      </c>
      <c r="AF83" s="25">
        <v>0</v>
      </c>
      <c r="AG83" s="25">
        <v>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  <c r="AR83" s="25">
        <v>0</v>
      </c>
      <c r="AS83" s="25">
        <v>0</v>
      </c>
      <c r="AT83" s="25">
        <v>0</v>
      </c>
      <c r="AU83" s="25">
        <v>0</v>
      </c>
      <c r="AV83" s="25">
        <v>0</v>
      </c>
      <c r="AW83" s="25">
        <v>0</v>
      </c>
      <c r="AX83" s="25">
        <v>0</v>
      </c>
      <c r="AY83" s="40">
        <v>0</v>
      </c>
      <c r="AZ83" s="25">
        <v>0</v>
      </c>
      <c r="BA83" s="25">
        <v>0</v>
      </c>
      <c r="BB83" s="25">
        <v>0</v>
      </c>
      <c r="BC83" s="25">
        <v>0</v>
      </c>
      <c r="BD83" s="25">
        <v>0</v>
      </c>
      <c r="BE83" s="25">
        <v>0</v>
      </c>
      <c r="BF83" s="25">
        <v>0</v>
      </c>
      <c r="BG83" s="25">
        <v>0</v>
      </c>
      <c r="BH83" s="25">
        <v>0</v>
      </c>
      <c r="BI83" s="25">
        <v>0</v>
      </c>
      <c r="BJ83" s="25">
        <v>0</v>
      </c>
      <c r="BK83" s="25">
        <v>0</v>
      </c>
      <c r="BL83" s="25">
        <v>0</v>
      </c>
      <c r="BM83" s="25">
        <v>0</v>
      </c>
      <c r="BN83" s="25">
        <v>0</v>
      </c>
      <c r="BO83" s="25">
        <v>0</v>
      </c>
      <c r="BP83" s="25">
        <v>0</v>
      </c>
      <c r="BQ83" s="25">
        <v>0</v>
      </c>
      <c r="BR83" s="25">
        <v>0</v>
      </c>
      <c r="BS83" s="25">
        <v>0</v>
      </c>
      <c r="BT83" s="25">
        <v>0</v>
      </c>
      <c r="BU83" s="25">
        <v>0</v>
      </c>
      <c r="BV83" s="25">
        <v>0</v>
      </c>
      <c r="BW83" s="25">
        <v>0</v>
      </c>
      <c r="BX83" s="25">
        <v>0</v>
      </c>
      <c r="BY83" s="25">
        <v>0</v>
      </c>
      <c r="BZ83" s="25">
        <v>0</v>
      </c>
      <c r="CA83" s="25">
        <v>0</v>
      </c>
      <c r="CB83" s="25">
        <v>0</v>
      </c>
      <c r="CC83" s="25">
        <v>0</v>
      </c>
      <c r="CD83" s="25">
        <v>0</v>
      </c>
      <c r="CE83" s="25">
        <v>0</v>
      </c>
      <c r="CF83" s="25">
        <v>0</v>
      </c>
      <c r="CG83" s="25">
        <v>0</v>
      </c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</row>
    <row r="84" spans="1:99" s="5" customFormat="1" x14ac:dyDescent="0.3">
      <c r="A84" s="28"/>
      <c r="B84" s="12" t="s">
        <v>171</v>
      </c>
      <c r="C84" s="5">
        <v>79</v>
      </c>
      <c r="D84" s="25">
        <v>92.830450433330569</v>
      </c>
      <c r="E84" s="25">
        <v>108.75609021554227</v>
      </c>
      <c r="F84" s="25">
        <v>8.8181188724538337</v>
      </c>
      <c r="G84" s="25">
        <v>43.901705453634285</v>
      </c>
      <c r="H84" s="25">
        <v>149.82467251941975</v>
      </c>
      <c r="I84" s="25">
        <v>114.7984248924478</v>
      </c>
      <c r="J84" s="25">
        <v>21.270716173050147</v>
      </c>
      <c r="K84" s="25">
        <v>343.6518176971768</v>
      </c>
      <c r="L84" s="25">
        <v>12.276110377484112</v>
      </c>
      <c r="M84" s="25">
        <v>474.52055408453691</v>
      </c>
      <c r="N84" s="25">
        <v>656.8898340220245</v>
      </c>
      <c r="O84" s="25">
        <v>224.92679182890205</v>
      </c>
      <c r="P84" s="25">
        <v>64.127689373573077</v>
      </c>
      <c r="Q84" s="25">
        <v>91.499561829108899</v>
      </c>
      <c r="R84" s="25">
        <v>95.836040895310902</v>
      </c>
      <c r="S84" s="25">
        <v>103.98039365843857</v>
      </c>
      <c r="T84" s="25">
        <v>264.2554887403565</v>
      </c>
      <c r="U84" s="25">
        <v>70.396164985640212</v>
      </c>
      <c r="V84" s="25">
        <v>98.002875591595981</v>
      </c>
      <c r="W84" s="25">
        <v>2.0001427389419466</v>
      </c>
      <c r="X84" s="25">
        <v>4.118616559391124E-3</v>
      </c>
      <c r="Y84" s="25">
        <v>10.183700947707981</v>
      </c>
      <c r="Z84" s="25">
        <v>85.35280224175537</v>
      </c>
      <c r="AA84" s="25">
        <v>111.77922427929352</v>
      </c>
      <c r="AB84" s="25">
        <v>205.3180552195744</v>
      </c>
      <c r="AC84" s="25">
        <v>57.33930864762295</v>
      </c>
      <c r="AD84" s="25">
        <v>488.98762243185865</v>
      </c>
      <c r="AE84" s="25">
        <v>148.60719008395736</v>
      </c>
      <c r="AF84" s="25">
        <v>123.62493206847709</v>
      </c>
      <c r="AG84" s="25">
        <v>62.221640369674041</v>
      </c>
      <c r="AH84" s="25">
        <v>343.11461475762917</v>
      </c>
      <c r="AI84" s="25">
        <v>1261.8140514706176</v>
      </c>
      <c r="AJ84" s="25">
        <v>422.20154660819315</v>
      </c>
      <c r="AK84" s="25">
        <v>506.16003131876982</v>
      </c>
      <c r="AL84" s="25">
        <v>1432.0627284274108</v>
      </c>
      <c r="AM84" s="25">
        <v>488.59847804129265</v>
      </c>
      <c r="AN84" s="25">
        <v>502.12281036155349</v>
      </c>
      <c r="AO84" s="25">
        <v>267.14321713383725</v>
      </c>
      <c r="AP84" s="25">
        <v>455.42620922154254</v>
      </c>
      <c r="AQ84" s="25">
        <v>200.78386459711459</v>
      </c>
      <c r="AR84" s="25">
        <v>32.798226691082796</v>
      </c>
      <c r="AS84" s="25">
        <v>23.498705492255262</v>
      </c>
      <c r="AT84" s="25">
        <v>27.310243431265217</v>
      </c>
      <c r="AU84" s="25">
        <v>42.842027024376002</v>
      </c>
      <c r="AV84" s="25">
        <v>1560.7762004231506</v>
      </c>
      <c r="AW84" s="25">
        <v>461.77680505452901</v>
      </c>
      <c r="AX84" s="25">
        <v>574.36489763732266</v>
      </c>
      <c r="AY84" s="40">
        <v>548.46865606115557</v>
      </c>
      <c r="AZ84" s="25">
        <v>6.2917490147068094</v>
      </c>
      <c r="BA84" s="25">
        <v>28.427618348575638</v>
      </c>
      <c r="BB84" s="25">
        <v>34.720319028402372</v>
      </c>
      <c r="BC84" s="25">
        <v>52.355074024910351</v>
      </c>
      <c r="BD84" s="25">
        <v>1985.9757673600261</v>
      </c>
      <c r="BE84" s="25">
        <v>26.799991230778058</v>
      </c>
      <c r="BF84" s="25">
        <v>40.444089313402522</v>
      </c>
      <c r="BG84" s="25">
        <v>47.213288510940458</v>
      </c>
      <c r="BH84" s="25">
        <v>192.2356538396364</v>
      </c>
      <c r="BI84" s="25">
        <v>87.1526619083821</v>
      </c>
      <c r="BJ84" s="25">
        <v>78.291817132989479</v>
      </c>
      <c r="BK84" s="25">
        <v>125.43699652402455</v>
      </c>
      <c r="BL84" s="25">
        <v>82.527069727413689</v>
      </c>
      <c r="BM84" s="25">
        <v>60.613207951095589</v>
      </c>
      <c r="BN84" s="25">
        <v>52.163486193697125</v>
      </c>
      <c r="BO84" s="25">
        <v>368.76158581667522</v>
      </c>
      <c r="BP84" s="25">
        <v>18.233672270157317</v>
      </c>
      <c r="BQ84" s="25">
        <v>160.10974932069229</v>
      </c>
      <c r="BR84" s="25">
        <v>131.3661384881637</v>
      </c>
      <c r="BS84" s="25">
        <v>33.137338247686159</v>
      </c>
      <c r="BT84" s="25">
        <v>133.81202701442498</v>
      </c>
      <c r="BU84" s="25">
        <v>479.39070855529644</v>
      </c>
      <c r="BV84" s="25">
        <v>25.764397759585883</v>
      </c>
      <c r="BW84" s="25">
        <v>246.34988303122404</v>
      </c>
      <c r="BX84" s="25">
        <v>0</v>
      </c>
      <c r="BY84" s="25">
        <v>17984.819843655434</v>
      </c>
      <c r="BZ84" s="25">
        <v>0</v>
      </c>
      <c r="CA84" s="25">
        <v>0</v>
      </c>
      <c r="CB84" s="25">
        <v>0</v>
      </c>
      <c r="CC84" s="25">
        <v>27535.433631192678</v>
      </c>
      <c r="CD84" s="25">
        <v>8464.7465251518934</v>
      </c>
      <c r="CE84" s="25">
        <v>0</v>
      </c>
      <c r="CF84" s="25">
        <v>36000.180156344562</v>
      </c>
      <c r="CG84" s="25">
        <v>53985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</row>
    <row r="85" spans="1:99" s="5" customFormat="1" x14ac:dyDescent="0.3">
      <c r="A85" s="28"/>
      <c r="B85" s="12" t="s">
        <v>170</v>
      </c>
      <c r="C85" s="5">
        <v>80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5">
        <v>0</v>
      </c>
      <c r="M85" s="25">
        <v>0</v>
      </c>
      <c r="N85" s="25">
        <v>0</v>
      </c>
      <c r="O85" s="25">
        <v>0</v>
      </c>
      <c r="P85" s="25">
        <v>0</v>
      </c>
      <c r="Q85" s="25">
        <v>0</v>
      </c>
      <c r="R85" s="25">
        <v>0</v>
      </c>
      <c r="S85" s="25">
        <v>0</v>
      </c>
      <c r="T85" s="25">
        <v>0</v>
      </c>
      <c r="U85" s="25">
        <v>0</v>
      </c>
      <c r="V85" s="25">
        <v>0</v>
      </c>
      <c r="W85" s="25">
        <v>0</v>
      </c>
      <c r="X85" s="25">
        <v>0</v>
      </c>
      <c r="Y85" s="25">
        <v>0</v>
      </c>
      <c r="Z85" s="25">
        <v>0</v>
      </c>
      <c r="AA85" s="25">
        <v>0</v>
      </c>
      <c r="AB85" s="25">
        <v>0</v>
      </c>
      <c r="AC85" s="25">
        <v>0</v>
      </c>
      <c r="AD85" s="25">
        <v>0</v>
      </c>
      <c r="AE85" s="25">
        <v>0</v>
      </c>
      <c r="AF85" s="25">
        <v>0</v>
      </c>
      <c r="AG85" s="25">
        <v>0</v>
      </c>
      <c r="AH85" s="25">
        <v>0</v>
      </c>
      <c r="AI85" s="25">
        <v>0</v>
      </c>
      <c r="AJ85" s="25">
        <v>0</v>
      </c>
      <c r="AK85" s="25">
        <v>0</v>
      </c>
      <c r="AL85" s="25">
        <v>0</v>
      </c>
      <c r="AM85" s="25">
        <v>0</v>
      </c>
      <c r="AN85" s="25">
        <v>0</v>
      </c>
      <c r="AO85" s="25">
        <v>0</v>
      </c>
      <c r="AP85" s="25">
        <v>0</v>
      </c>
      <c r="AQ85" s="25">
        <v>0</v>
      </c>
      <c r="AR85" s="25">
        <v>0</v>
      </c>
      <c r="AS85" s="25">
        <v>0</v>
      </c>
      <c r="AT85" s="25">
        <v>0</v>
      </c>
      <c r="AU85" s="25">
        <v>0</v>
      </c>
      <c r="AV85" s="25">
        <v>0</v>
      </c>
      <c r="AW85" s="25">
        <v>0</v>
      </c>
      <c r="AX85" s="25">
        <v>0</v>
      </c>
      <c r="AY85" s="40">
        <v>0</v>
      </c>
      <c r="AZ85" s="25">
        <v>0</v>
      </c>
      <c r="BA85" s="25">
        <v>0</v>
      </c>
      <c r="BB85" s="25">
        <v>0</v>
      </c>
      <c r="BC85" s="25">
        <v>0</v>
      </c>
      <c r="BD85" s="25">
        <v>0</v>
      </c>
      <c r="BE85" s="25">
        <v>0</v>
      </c>
      <c r="BF85" s="25">
        <v>0</v>
      </c>
      <c r="BG85" s="25">
        <v>0</v>
      </c>
      <c r="BH85" s="25">
        <v>0</v>
      </c>
      <c r="BI85" s="25">
        <v>0</v>
      </c>
      <c r="BJ85" s="25">
        <v>0</v>
      </c>
      <c r="BK85" s="25">
        <v>0</v>
      </c>
      <c r="BL85" s="25">
        <v>0</v>
      </c>
      <c r="BM85" s="25">
        <v>0</v>
      </c>
      <c r="BN85" s="25">
        <v>0</v>
      </c>
      <c r="BO85" s="25">
        <v>0</v>
      </c>
      <c r="BP85" s="25">
        <v>0</v>
      </c>
      <c r="BQ85" s="25">
        <v>0</v>
      </c>
      <c r="BR85" s="25">
        <v>0</v>
      </c>
      <c r="BS85" s="25">
        <v>0</v>
      </c>
      <c r="BT85" s="25">
        <v>0</v>
      </c>
      <c r="BU85" s="25">
        <v>0</v>
      </c>
      <c r="BV85" s="25">
        <v>0</v>
      </c>
      <c r="BW85" s="25">
        <v>0</v>
      </c>
      <c r="BX85" s="25">
        <v>0</v>
      </c>
      <c r="BY85" s="25">
        <v>0</v>
      </c>
      <c r="BZ85" s="25">
        <v>0</v>
      </c>
      <c r="CA85" s="25">
        <v>0</v>
      </c>
      <c r="CB85" s="25">
        <v>0</v>
      </c>
      <c r="CC85" s="25">
        <v>0</v>
      </c>
      <c r="CD85" s="25">
        <v>0</v>
      </c>
      <c r="CE85" s="25">
        <v>0</v>
      </c>
      <c r="CF85" s="25">
        <v>0</v>
      </c>
      <c r="CG85" s="25">
        <v>0</v>
      </c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</row>
    <row r="86" spans="1:99" s="5" customFormat="1" x14ac:dyDescent="0.3">
      <c r="A86" s="28"/>
      <c r="B86" s="12" t="s">
        <v>172</v>
      </c>
      <c r="C86" s="5">
        <v>81</v>
      </c>
      <c r="D86" s="25">
        <v>6042.8386586782008</v>
      </c>
      <c r="E86" s="25">
        <v>1976.1746233988374</v>
      </c>
      <c r="F86" s="25">
        <v>280.58837260591815</v>
      </c>
      <c r="G86" s="25">
        <v>542.17692706870685</v>
      </c>
      <c r="H86" s="25">
        <v>7778.1809373585975</v>
      </c>
      <c r="I86" s="25">
        <v>1919.6540204655096</v>
      </c>
      <c r="J86" s="25">
        <v>507.53471056489735</v>
      </c>
      <c r="K86" s="25">
        <v>5782.6908854236535</v>
      </c>
      <c r="L86" s="25">
        <v>1324.3403322584791</v>
      </c>
      <c r="M86" s="25">
        <v>5357.8041957679843</v>
      </c>
      <c r="N86" s="25">
        <v>2360.7513423031783</v>
      </c>
      <c r="O86" s="25">
        <v>196.4420098710809</v>
      </c>
      <c r="P86" s="25">
        <v>1196.7163336274623</v>
      </c>
      <c r="Q86" s="25">
        <v>1126.9177960267789</v>
      </c>
      <c r="R86" s="25">
        <v>813.60704267367396</v>
      </c>
      <c r="S86" s="25">
        <v>614.08995308018802</v>
      </c>
      <c r="T86" s="25">
        <v>3188.7908302814558</v>
      </c>
      <c r="U86" s="25">
        <v>386.25785146450971</v>
      </c>
      <c r="V86" s="25">
        <v>41050.979226357034</v>
      </c>
      <c r="W86" s="25">
        <v>837.81029414095758</v>
      </c>
      <c r="X86" s="25">
        <v>1.7251865498872525</v>
      </c>
      <c r="Y86" s="25">
        <v>1189.4109506259256</v>
      </c>
      <c r="Z86" s="25">
        <v>7474.2133507743129</v>
      </c>
      <c r="AA86" s="25">
        <v>3009.4653257028858</v>
      </c>
      <c r="AB86" s="25">
        <v>1473.2558746225345</v>
      </c>
      <c r="AC86" s="25">
        <v>1482.2181309531509</v>
      </c>
      <c r="AD86" s="25">
        <v>3363.0311421067336</v>
      </c>
      <c r="AE86" s="25">
        <v>2491.3685485728683</v>
      </c>
      <c r="AF86" s="25">
        <v>4071.2766520045138</v>
      </c>
      <c r="AG86" s="25">
        <v>2442.9109971601406</v>
      </c>
      <c r="AH86" s="25">
        <v>2290.4333751530626</v>
      </c>
      <c r="AI86" s="25">
        <v>3419.249315516377</v>
      </c>
      <c r="AJ86" s="25">
        <v>2196.5566506018281</v>
      </c>
      <c r="AK86" s="25">
        <v>3229.285592262077</v>
      </c>
      <c r="AL86" s="25">
        <v>5950.1222334326676</v>
      </c>
      <c r="AM86" s="25">
        <v>2615.7467781891364</v>
      </c>
      <c r="AN86" s="25">
        <v>872.2517804766469</v>
      </c>
      <c r="AO86" s="25">
        <v>1270.2224329061228</v>
      </c>
      <c r="AP86" s="25">
        <v>1720.7273607191914</v>
      </c>
      <c r="AQ86" s="25">
        <v>4884.6490691239387</v>
      </c>
      <c r="AR86" s="25">
        <v>797.91186307216731</v>
      </c>
      <c r="AS86" s="25">
        <v>571.67407420253312</v>
      </c>
      <c r="AT86" s="25">
        <v>664.40077454308982</v>
      </c>
      <c r="AU86" s="25">
        <v>1439.0873371289645</v>
      </c>
      <c r="AV86" s="25">
        <v>10882.295358708589</v>
      </c>
      <c r="AW86" s="25">
        <v>2927.3386266457446</v>
      </c>
      <c r="AX86" s="25">
        <v>18595.729336426732</v>
      </c>
      <c r="AY86" s="40">
        <v>6896.9237454285467</v>
      </c>
      <c r="AZ86" s="25">
        <v>1024.1055418067967</v>
      </c>
      <c r="BA86" s="25">
        <v>3522.7471692204122</v>
      </c>
      <c r="BB86" s="25">
        <v>2896.9146759394262</v>
      </c>
      <c r="BC86" s="25">
        <v>440.49755783425439</v>
      </c>
      <c r="BD86" s="25">
        <v>5506.2819301990967</v>
      </c>
      <c r="BE86" s="25">
        <v>380.87397135546854</v>
      </c>
      <c r="BF86" s="25">
        <v>1598.8233931434081</v>
      </c>
      <c r="BG86" s="25">
        <v>4872.6352480885917</v>
      </c>
      <c r="BH86" s="25">
        <v>2867.2902296639122</v>
      </c>
      <c r="BI86" s="25">
        <v>16130.831733803298</v>
      </c>
      <c r="BJ86" s="25">
        <v>3723.3740595588961</v>
      </c>
      <c r="BK86" s="25">
        <v>3130.7842822199132</v>
      </c>
      <c r="BL86" s="25">
        <v>1098.7025302112652</v>
      </c>
      <c r="BM86" s="25">
        <v>2497.4509040688718</v>
      </c>
      <c r="BN86" s="25">
        <v>903.35184667207886</v>
      </c>
      <c r="BO86" s="25">
        <v>3371.2998674713058</v>
      </c>
      <c r="BP86" s="25">
        <v>393.39569508869766</v>
      </c>
      <c r="BQ86" s="25">
        <v>14569.03006852967</v>
      </c>
      <c r="BR86" s="25">
        <v>2067.2088942815594</v>
      </c>
      <c r="BS86" s="25">
        <v>1689.5277851295245</v>
      </c>
      <c r="BT86" s="25">
        <v>2196.0871894237357</v>
      </c>
      <c r="BU86" s="25">
        <v>3526.8893925384168</v>
      </c>
      <c r="BV86" s="25">
        <v>760.87382284217074</v>
      </c>
      <c r="BW86" s="25">
        <v>3517.7722891175258</v>
      </c>
      <c r="BX86" s="25">
        <v>0</v>
      </c>
      <c r="BY86" s="25">
        <v>264194.5782852358</v>
      </c>
      <c r="BZ86" s="25">
        <v>0</v>
      </c>
      <c r="CA86" s="25">
        <v>0</v>
      </c>
      <c r="CB86" s="25">
        <v>0</v>
      </c>
      <c r="CC86" s="25">
        <v>116537.23732239142</v>
      </c>
      <c r="CD86" s="25">
        <v>38389.184392372823</v>
      </c>
      <c r="CE86" s="25">
        <v>0</v>
      </c>
      <c r="CF86" s="25">
        <v>154926.4217147642</v>
      </c>
      <c r="CG86" s="25">
        <v>419121</v>
      </c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</row>
    <row r="87" spans="1:99" s="5" customFormat="1" x14ac:dyDescent="0.3">
      <c r="A87" s="28"/>
      <c r="B87" s="12" t="s">
        <v>170</v>
      </c>
      <c r="C87" s="5">
        <v>82</v>
      </c>
      <c r="D87" s="25">
        <v>0</v>
      </c>
      <c r="E87" s="25">
        <v>0</v>
      </c>
      <c r="F87" s="25">
        <v>0</v>
      </c>
      <c r="G87" s="25">
        <v>0</v>
      </c>
      <c r="H87" s="25">
        <v>0</v>
      </c>
      <c r="I87" s="25">
        <v>0</v>
      </c>
      <c r="J87" s="25">
        <v>0</v>
      </c>
      <c r="K87" s="25">
        <v>0</v>
      </c>
      <c r="L87" s="25">
        <v>0</v>
      </c>
      <c r="M87" s="25">
        <v>0</v>
      </c>
      <c r="N87" s="25">
        <v>0</v>
      </c>
      <c r="O87" s="25">
        <v>0</v>
      </c>
      <c r="P87" s="25">
        <v>0</v>
      </c>
      <c r="Q87" s="25">
        <v>0</v>
      </c>
      <c r="R87" s="25">
        <v>0</v>
      </c>
      <c r="S87" s="25">
        <v>0</v>
      </c>
      <c r="T87" s="25">
        <v>0</v>
      </c>
      <c r="U87" s="25">
        <v>0</v>
      </c>
      <c r="V87" s="25">
        <v>0</v>
      </c>
      <c r="W87" s="25">
        <v>0</v>
      </c>
      <c r="X87" s="25">
        <v>0</v>
      </c>
      <c r="Y87" s="25">
        <v>0</v>
      </c>
      <c r="Z87" s="25">
        <v>0</v>
      </c>
      <c r="AA87" s="25">
        <v>0</v>
      </c>
      <c r="AB87" s="25">
        <v>0</v>
      </c>
      <c r="AC87" s="25">
        <v>0</v>
      </c>
      <c r="AD87" s="25">
        <v>0</v>
      </c>
      <c r="AE87" s="25">
        <v>0</v>
      </c>
      <c r="AF87" s="25">
        <v>0</v>
      </c>
      <c r="AG87" s="25">
        <v>0</v>
      </c>
      <c r="AH87" s="25">
        <v>0</v>
      </c>
      <c r="AI87" s="25">
        <v>0</v>
      </c>
      <c r="AJ87" s="25">
        <v>0</v>
      </c>
      <c r="AK87" s="25">
        <v>0</v>
      </c>
      <c r="AL87" s="25">
        <v>0</v>
      </c>
      <c r="AM87" s="25">
        <v>0</v>
      </c>
      <c r="AN87" s="25">
        <v>0</v>
      </c>
      <c r="AO87" s="25">
        <v>0</v>
      </c>
      <c r="AP87" s="25">
        <v>0</v>
      </c>
      <c r="AQ87" s="25">
        <v>0</v>
      </c>
      <c r="AR87" s="25">
        <v>0</v>
      </c>
      <c r="AS87" s="25">
        <v>0</v>
      </c>
      <c r="AT87" s="25">
        <v>0</v>
      </c>
      <c r="AU87" s="25">
        <v>0</v>
      </c>
      <c r="AV87" s="25">
        <v>0</v>
      </c>
      <c r="AW87" s="25">
        <v>0</v>
      </c>
      <c r="AX87" s="25">
        <v>0</v>
      </c>
      <c r="AY87" s="40">
        <v>0</v>
      </c>
      <c r="AZ87" s="25">
        <v>0</v>
      </c>
      <c r="BA87" s="25">
        <v>0</v>
      </c>
      <c r="BB87" s="25">
        <v>0</v>
      </c>
      <c r="BC87" s="25">
        <v>0</v>
      </c>
      <c r="BD87" s="25">
        <v>0</v>
      </c>
      <c r="BE87" s="25">
        <v>0</v>
      </c>
      <c r="BF87" s="25">
        <v>0</v>
      </c>
      <c r="BG87" s="25">
        <v>0</v>
      </c>
      <c r="BH87" s="25">
        <v>0</v>
      </c>
      <c r="BI87" s="25">
        <v>0</v>
      </c>
      <c r="BJ87" s="25">
        <v>0</v>
      </c>
      <c r="BK87" s="25">
        <v>0</v>
      </c>
      <c r="BL87" s="25">
        <v>0</v>
      </c>
      <c r="BM87" s="25">
        <v>0</v>
      </c>
      <c r="BN87" s="25">
        <v>0</v>
      </c>
      <c r="BO87" s="25">
        <v>0</v>
      </c>
      <c r="BP87" s="25">
        <v>0</v>
      </c>
      <c r="BQ87" s="25">
        <v>0</v>
      </c>
      <c r="BR87" s="25">
        <v>0</v>
      </c>
      <c r="BS87" s="25">
        <v>0</v>
      </c>
      <c r="BT87" s="25">
        <v>0</v>
      </c>
      <c r="BU87" s="25">
        <v>0</v>
      </c>
      <c r="BV87" s="25">
        <v>0</v>
      </c>
      <c r="BW87" s="25">
        <v>0</v>
      </c>
      <c r="BX87" s="25">
        <v>0</v>
      </c>
      <c r="BY87" s="25">
        <v>0</v>
      </c>
      <c r="BZ87" s="25">
        <v>0</v>
      </c>
      <c r="CA87" s="25">
        <v>0</v>
      </c>
      <c r="CB87" s="25">
        <v>0</v>
      </c>
      <c r="CC87" s="25">
        <v>0</v>
      </c>
      <c r="CD87" s="25">
        <v>0</v>
      </c>
      <c r="CE87" s="25">
        <v>0</v>
      </c>
      <c r="CF87" s="25">
        <v>0</v>
      </c>
      <c r="CG87" s="25">
        <v>0</v>
      </c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</row>
    <row r="88" spans="1:99" s="5" customFormat="1" x14ac:dyDescent="0.3">
      <c r="A88" s="28"/>
      <c r="B88" s="14" t="s">
        <v>173</v>
      </c>
      <c r="C88" s="5">
        <v>83</v>
      </c>
      <c r="D88" s="25">
        <v>188525.99999999997</v>
      </c>
      <c r="E88" s="25">
        <v>80267</v>
      </c>
      <c r="F88" s="25">
        <v>9462</v>
      </c>
      <c r="G88" s="25">
        <v>11859.999999999998</v>
      </c>
      <c r="H88" s="25">
        <v>125178</v>
      </c>
      <c r="I88" s="25">
        <v>47192.000000000015</v>
      </c>
      <c r="J88" s="25">
        <v>11249.000000000002</v>
      </c>
      <c r="K88" s="25">
        <v>246575.00000000003</v>
      </c>
      <c r="L88" s="25">
        <v>43131.000000000007</v>
      </c>
      <c r="M88" s="25">
        <v>258915.00000000003</v>
      </c>
      <c r="N88" s="25">
        <v>56464</v>
      </c>
      <c r="O88" s="25">
        <v>12112.000000000002</v>
      </c>
      <c r="P88" s="25">
        <v>38745.999999999993</v>
      </c>
      <c r="Q88" s="25">
        <v>38028</v>
      </c>
      <c r="R88" s="25">
        <v>28278</v>
      </c>
      <c r="S88" s="25">
        <v>20928.000000000004</v>
      </c>
      <c r="T88" s="25">
        <v>77815</v>
      </c>
      <c r="U88" s="25">
        <v>11073</v>
      </c>
      <c r="V88" s="25">
        <v>392642.86272642564</v>
      </c>
      <c r="W88" s="25">
        <v>9333.4371287651647</v>
      </c>
      <c r="X88" s="25">
        <v>3188.7001448092037</v>
      </c>
      <c r="Y88" s="25">
        <v>43112.999999999993</v>
      </c>
      <c r="Z88" s="25">
        <v>152809.99999999997</v>
      </c>
      <c r="AA88" s="25">
        <v>73055.999999999985</v>
      </c>
      <c r="AB88" s="25">
        <v>39256</v>
      </c>
      <c r="AC88" s="25">
        <v>41455</v>
      </c>
      <c r="AD88" s="25">
        <v>91572.000000000015</v>
      </c>
      <c r="AE88" s="25">
        <v>59131</v>
      </c>
      <c r="AF88" s="25">
        <v>115887.99999999999</v>
      </c>
      <c r="AG88" s="25">
        <v>57302</v>
      </c>
      <c r="AH88" s="25">
        <v>68611.000000000015</v>
      </c>
      <c r="AI88" s="25">
        <v>87944</v>
      </c>
      <c r="AJ88" s="25">
        <v>59911.000000000007</v>
      </c>
      <c r="AK88" s="25">
        <v>91770</v>
      </c>
      <c r="AL88" s="25">
        <v>164701.99999999997</v>
      </c>
      <c r="AM88" s="25">
        <v>75925.999999999985</v>
      </c>
      <c r="AN88" s="25">
        <v>31134</v>
      </c>
      <c r="AO88" s="25">
        <v>42507</v>
      </c>
      <c r="AP88" s="25">
        <v>51452.999999999993</v>
      </c>
      <c r="AQ88" s="25">
        <v>154436.31770694946</v>
      </c>
      <c r="AR88" s="25">
        <v>22531.896291233497</v>
      </c>
      <c r="AS88" s="25">
        <v>7774.2588205266729</v>
      </c>
      <c r="AT88" s="25">
        <v>17302.527181290381</v>
      </c>
      <c r="AU88" s="25">
        <v>31880.999999999996</v>
      </c>
      <c r="AV88" s="25">
        <v>308792.99999999994</v>
      </c>
      <c r="AW88" s="25">
        <v>77215</v>
      </c>
      <c r="AX88" s="25">
        <v>435410</v>
      </c>
      <c r="AY88" s="41">
        <f>SUM(AY79:AY87)</f>
        <v>210225.95652151643</v>
      </c>
      <c r="AZ88" s="25">
        <v>12967</v>
      </c>
      <c r="BA88" s="25">
        <v>34852.999999999993</v>
      </c>
      <c r="BB88" s="25">
        <v>59424.000000000015</v>
      </c>
      <c r="BC88" s="25">
        <v>12965</v>
      </c>
      <c r="BD88" s="25">
        <v>146427</v>
      </c>
      <c r="BE88" s="25">
        <v>9291</v>
      </c>
      <c r="BF88" s="25">
        <v>26885.999999999996</v>
      </c>
      <c r="BG88" s="25">
        <v>96935.000000000015</v>
      </c>
      <c r="BH88" s="25">
        <v>56861.000000000007</v>
      </c>
      <c r="BI88" s="25">
        <v>226346.99999999997</v>
      </c>
      <c r="BJ88" s="25">
        <v>51716</v>
      </c>
      <c r="BK88" s="25">
        <v>71737.999999999985</v>
      </c>
      <c r="BL88" s="25">
        <v>23892</v>
      </c>
      <c r="BM88" s="25">
        <v>66006</v>
      </c>
      <c r="BN88" s="25">
        <v>18328.000000000004</v>
      </c>
      <c r="BO88" s="25">
        <v>85055.999999999985</v>
      </c>
      <c r="BP88" s="25">
        <v>7980.9999999999982</v>
      </c>
      <c r="BQ88" s="25">
        <v>242741.00000000003</v>
      </c>
      <c r="BR88" s="25">
        <v>55962.000000000007</v>
      </c>
      <c r="BS88" s="25">
        <v>40553</v>
      </c>
      <c r="BT88" s="25">
        <v>68487</v>
      </c>
      <c r="BU88" s="25">
        <v>133095</v>
      </c>
      <c r="BV88" s="25">
        <v>17382.000000000004</v>
      </c>
      <c r="BW88" s="25">
        <v>85520</v>
      </c>
      <c r="BX88" s="25">
        <v>0</v>
      </c>
      <c r="BY88" s="25">
        <v>5998860.0000000009</v>
      </c>
      <c r="BZ88" s="25">
        <v>1025056</v>
      </c>
      <c r="CA88" s="25">
        <v>1393480</v>
      </c>
      <c r="CB88" s="25">
        <v>102253</v>
      </c>
      <c r="CC88" s="25">
        <v>4423548</v>
      </c>
      <c r="CD88" s="25">
        <v>1057409</v>
      </c>
      <c r="CE88" s="25">
        <v>-131</v>
      </c>
      <c r="CF88" s="25">
        <v>8001615</v>
      </c>
      <c r="CG88" s="25">
        <v>14000475</v>
      </c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</row>
    <row r="89" spans="1:99" s="5" customFormat="1" x14ac:dyDescent="0.3">
      <c r="A89" s="66" t="s">
        <v>174</v>
      </c>
      <c r="B89" s="67" t="s">
        <v>175</v>
      </c>
      <c r="C89" s="5">
        <v>84</v>
      </c>
      <c r="D89" s="46">
        <v>34356</v>
      </c>
      <c r="E89" s="46">
        <v>22217</v>
      </c>
      <c r="F89" s="46">
        <v>2255</v>
      </c>
      <c r="G89" s="46">
        <v>4126</v>
      </c>
      <c r="H89" s="46">
        <v>16917</v>
      </c>
      <c r="I89" s="46">
        <v>4502</v>
      </c>
      <c r="J89" s="46">
        <v>2607</v>
      </c>
      <c r="K89" s="46">
        <v>30117</v>
      </c>
      <c r="L89" s="46">
        <v>8690</v>
      </c>
      <c r="M89" s="46">
        <v>35422</v>
      </c>
      <c r="N89" s="46">
        <v>9953</v>
      </c>
      <c r="O89" s="46">
        <v>1711</v>
      </c>
      <c r="P89" s="46">
        <v>11262</v>
      </c>
      <c r="Q89" s="46">
        <v>18543</v>
      </c>
      <c r="R89" s="46">
        <v>11048</v>
      </c>
      <c r="S89" s="46">
        <v>6644</v>
      </c>
      <c r="T89" s="46">
        <v>14028</v>
      </c>
      <c r="U89" s="46">
        <v>5664</v>
      </c>
      <c r="V89" s="25">
        <v>8644.8181295614868</v>
      </c>
      <c r="W89" s="25">
        <v>222.30000000000032</v>
      </c>
      <c r="X89" s="25">
        <v>24.88187043851331</v>
      </c>
      <c r="Y89" s="46">
        <v>7013</v>
      </c>
      <c r="Z89" s="46">
        <v>12903</v>
      </c>
      <c r="AA89" s="46">
        <v>9380</v>
      </c>
      <c r="AB89" s="46">
        <v>6854</v>
      </c>
      <c r="AC89" s="46">
        <v>12695</v>
      </c>
      <c r="AD89" s="46">
        <v>22917</v>
      </c>
      <c r="AE89" s="46">
        <v>19150</v>
      </c>
      <c r="AF89" s="46">
        <v>13401</v>
      </c>
      <c r="AG89" s="46">
        <v>6247</v>
      </c>
      <c r="AH89" s="46">
        <v>22042</v>
      </c>
      <c r="AI89" s="46">
        <v>9775</v>
      </c>
      <c r="AJ89" s="46">
        <v>14631</v>
      </c>
      <c r="AK89" s="46">
        <v>27620</v>
      </c>
      <c r="AL89" s="46">
        <v>20483</v>
      </c>
      <c r="AM89" s="46">
        <v>20855</v>
      </c>
      <c r="AN89" s="46">
        <v>8257</v>
      </c>
      <c r="AO89" s="46">
        <v>16648</v>
      </c>
      <c r="AP89" s="46">
        <v>13057</v>
      </c>
      <c r="AQ89" s="25">
        <v>14489.444041966393</v>
      </c>
      <c r="AR89" s="25">
        <v>1691.8721627726568</v>
      </c>
      <c r="AS89" s="25">
        <v>1627.8644560257585</v>
      </c>
      <c r="AT89" s="25">
        <v>3685.8193392351923</v>
      </c>
      <c r="AU89" s="46">
        <v>22993</v>
      </c>
      <c r="AV89" s="46">
        <v>104570</v>
      </c>
      <c r="AW89" s="46">
        <v>49181</v>
      </c>
      <c r="AX89" s="46">
        <v>352528</v>
      </c>
      <c r="AY89" s="48">
        <f>AY90+AY91+AY94</f>
        <v>87877</v>
      </c>
      <c r="AZ89" s="46">
        <v>5137</v>
      </c>
      <c r="BA89" s="46">
        <v>7492</v>
      </c>
      <c r="BB89" s="46">
        <v>44037</v>
      </c>
      <c r="BC89" s="46">
        <v>11307</v>
      </c>
      <c r="BD89" s="46">
        <v>60116</v>
      </c>
      <c r="BE89" s="46">
        <v>6798</v>
      </c>
      <c r="BF89" s="46">
        <v>11678</v>
      </c>
      <c r="BG89" s="46">
        <v>19212</v>
      </c>
      <c r="BH89" s="46">
        <v>57187</v>
      </c>
      <c r="BI89" s="46">
        <v>165217</v>
      </c>
      <c r="BJ89" s="46">
        <v>7923</v>
      </c>
      <c r="BK89" s="46">
        <v>61939</v>
      </c>
      <c r="BL89" s="46">
        <v>18585</v>
      </c>
      <c r="BM89" s="46">
        <v>15429</v>
      </c>
      <c r="BN89" s="46">
        <v>11344</v>
      </c>
      <c r="BO89" s="46">
        <v>118404</v>
      </c>
      <c r="BP89" s="46">
        <v>31074</v>
      </c>
      <c r="BQ89" s="46">
        <v>528703</v>
      </c>
      <c r="BR89" s="46">
        <v>282090</v>
      </c>
      <c r="BS89" s="46">
        <v>89933</v>
      </c>
      <c r="BT89" s="46">
        <v>127700</v>
      </c>
      <c r="BU89" s="46">
        <v>89831</v>
      </c>
      <c r="BV89" s="46">
        <v>13265</v>
      </c>
      <c r="BW89" s="46">
        <v>45395</v>
      </c>
      <c r="BX89" s="46">
        <v>74451</v>
      </c>
      <c r="BY89" s="25">
        <v>3055773</v>
      </c>
      <c r="BZ89" s="25">
        <v>0</v>
      </c>
      <c r="CA89" s="25">
        <v>0</v>
      </c>
      <c r="CB89" s="25">
        <v>0</v>
      </c>
      <c r="CC89" s="25">
        <v>0</v>
      </c>
      <c r="CD89" s="25">
        <v>0</v>
      </c>
      <c r="CE89" s="25">
        <v>0</v>
      </c>
      <c r="CF89" s="25">
        <v>0</v>
      </c>
      <c r="CG89" s="25">
        <v>3055773</v>
      </c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</row>
    <row r="90" spans="1:99" s="5" customFormat="1" x14ac:dyDescent="0.3">
      <c r="A90" s="28" t="s">
        <v>176</v>
      </c>
      <c r="B90" s="14" t="s">
        <v>177</v>
      </c>
      <c r="C90" s="5">
        <v>85</v>
      </c>
      <c r="D90" s="46">
        <v>29230</v>
      </c>
      <c r="E90" s="46">
        <v>19506</v>
      </c>
      <c r="F90" s="46">
        <v>1981</v>
      </c>
      <c r="G90" s="46">
        <v>3307</v>
      </c>
      <c r="H90" s="46">
        <v>12359</v>
      </c>
      <c r="I90" s="46">
        <v>3581</v>
      </c>
      <c r="J90" s="46">
        <v>2011</v>
      </c>
      <c r="K90" s="46">
        <v>23432</v>
      </c>
      <c r="L90" s="46">
        <v>6252</v>
      </c>
      <c r="M90" s="46">
        <v>27911</v>
      </c>
      <c r="N90" s="46">
        <v>7718</v>
      </c>
      <c r="O90" s="46">
        <v>1309</v>
      </c>
      <c r="P90" s="46">
        <v>9222</v>
      </c>
      <c r="Q90" s="46">
        <v>14743</v>
      </c>
      <c r="R90" s="46">
        <v>9151</v>
      </c>
      <c r="S90" s="46">
        <v>5395</v>
      </c>
      <c r="T90" s="46">
        <v>11059</v>
      </c>
      <c r="U90" s="46">
        <v>4600</v>
      </c>
      <c r="V90" s="25">
        <v>6069.455643595632</v>
      </c>
      <c r="W90" s="25">
        <v>156.07500000000022</v>
      </c>
      <c r="X90" s="25">
        <v>17.469356404367815</v>
      </c>
      <c r="Y90" s="46">
        <v>5622</v>
      </c>
      <c r="Z90" s="46">
        <v>9758</v>
      </c>
      <c r="AA90" s="46">
        <v>7225</v>
      </c>
      <c r="AB90" s="46">
        <v>5400</v>
      </c>
      <c r="AC90" s="46">
        <v>9702</v>
      </c>
      <c r="AD90" s="46">
        <v>17824</v>
      </c>
      <c r="AE90" s="46">
        <v>15527</v>
      </c>
      <c r="AF90" s="46">
        <v>10413</v>
      </c>
      <c r="AG90" s="46">
        <v>5015</v>
      </c>
      <c r="AH90" s="46">
        <v>17453</v>
      </c>
      <c r="AI90" s="46">
        <v>7775</v>
      </c>
      <c r="AJ90" s="46">
        <v>11477</v>
      </c>
      <c r="AK90" s="46">
        <v>21904</v>
      </c>
      <c r="AL90" s="46">
        <v>15859</v>
      </c>
      <c r="AM90" s="46">
        <v>17465</v>
      </c>
      <c r="AN90" s="46">
        <v>6659</v>
      </c>
      <c r="AO90" s="46">
        <v>13658</v>
      </c>
      <c r="AP90" s="46">
        <v>10523</v>
      </c>
      <c r="AQ90" s="25">
        <v>10400.44810995578</v>
      </c>
      <c r="AR90" s="25">
        <v>1214.4171016245323</v>
      </c>
      <c r="AS90" s="25">
        <v>1168.4727002568704</v>
      </c>
      <c r="AT90" s="25">
        <v>2645.6620881628182</v>
      </c>
      <c r="AU90" s="46">
        <v>17320</v>
      </c>
      <c r="AV90" s="46">
        <v>85935</v>
      </c>
      <c r="AW90" s="46">
        <v>40106</v>
      </c>
      <c r="AX90" s="46">
        <v>279452</v>
      </c>
      <c r="AY90" s="47">
        <v>71610</v>
      </c>
      <c r="AZ90" s="46">
        <v>4217</v>
      </c>
      <c r="BA90" s="46">
        <v>6119</v>
      </c>
      <c r="BB90" s="46">
        <v>34067</v>
      </c>
      <c r="BC90" s="46">
        <v>9520</v>
      </c>
      <c r="BD90" s="46">
        <v>50603</v>
      </c>
      <c r="BE90" s="46">
        <v>5563</v>
      </c>
      <c r="BF90" s="46">
        <v>9857</v>
      </c>
      <c r="BG90" s="46">
        <v>14372</v>
      </c>
      <c r="BH90" s="46">
        <v>45370</v>
      </c>
      <c r="BI90" s="46">
        <v>127124</v>
      </c>
      <c r="BJ90" s="46">
        <v>6253</v>
      </c>
      <c r="BK90" s="46">
        <v>50719</v>
      </c>
      <c r="BL90" s="46">
        <v>14886</v>
      </c>
      <c r="BM90" s="46">
        <v>12362</v>
      </c>
      <c r="BN90" s="46">
        <v>8992</v>
      </c>
      <c r="BO90" s="46">
        <v>95075</v>
      </c>
      <c r="BP90" s="46">
        <v>24376</v>
      </c>
      <c r="BQ90" s="46">
        <v>381003</v>
      </c>
      <c r="BR90" s="46">
        <v>227721</v>
      </c>
      <c r="BS90" s="46">
        <v>74374</v>
      </c>
      <c r="BT90" s="46">
        <v>102765</v>
      </c>
      <c r="BU90" s="46">
        <v>77743</v>
      </c>
      <c r="BV90" s="46">
        <v>11518</v>
      </c>
      <c r="BW90" s="46">
        <v>38820</v>
      </c>
      <c r="BX90" s="46">
        <v>70758</v>
      </c>
      <c r="BY90" s="25">
        <v>2422298</v>
      </c>
      <c r="BZ90" s="25">
        <v>0</v>
      </c>
      <c r="CA90" s="25">
        <v>0</v>
      </c>
      <c r="CB90" s="25">
        <v>0</v>
      </c>
      <c r="CC90" s="25">
        <v>0</v>
      </c>
      <c r="CD90" s="25">
        <v>0</v>
      </c>
      <c r="CE90" s="25">
        <v>0</v>
      </c>
      <c r="CF90" s="25">
        <v>0</v>
      </c>
      <c r="CG90" s="25">
        <v>2422298</v>
      </c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</row>
    <row r="91" spans="1:99" s="5" customFormat="1" x14ac:dyDescent="0.3">
      <c r="A91" s="28" t="s">
        <v>178</v>
      </c>
      <c r="B91" s="14" t="s">
        <v>179</v>
      </c>
      <c r="C91" s="5">
        <v>86</v>
      </c>
      <c r="D91" s="46">
        <v>5126</v>
      </c>
      <c r="E91" s="46">
        <v>2711</v>
      </c>
      <c r="F91" s="46">
        <v>274</v>
      </c>
      <c r="G91" s="46">
        <v>819</v>
      </c>
      <c r="H91" s="46">
        <v>4558</v>
      </c>
      <c r="I91" s="46">
        <v>921</v>
      </c>
      <c r="J91" s="46">
        <v>596</v>
      </c>
      <c r="K91" s="46">
        <v>6685</v>
      </c>
      <c r="L91" s="46">
        <v>2438</v>
      </c>
      <c r="M91" s="46">
        <v>7511</v>
      </c>
      <c r="N91" s="46">
        <v>2235</v>
      </c>
      <c r="O91" s="46">
        <v>402</v>
      </c>
      <c r="P91" s="46">
        <v>2040</v>
      </c>
      <c r="Q91" s="46">
        <v>3800</v>
      </c>
      <c r="R91" s="46">
        <v>1897</v>
      </c>
      <c r="S91" s="46">
        <v>1249</v>
      </c>
      <c r="T91" s="46">
        <v>2969</v>
      </c>
      <c r="U91" s="46">
        <v>1064</v>
      </c>
      <c r="V91" s="25">
        <v>2575.3624859658544</v>
      </c>
      <c r="W91" s="25">
        <v>66.225000000000094</v>
      </c>
      <c r="X91" s="25">
        <v>7.4125140341454969</v>
      </c>
      <c r="Y91" s="46">
        <v>1391</v>
      </c>
      <c r="Z91" s="46">
        <v>3145</v>
      </c>
      <c r="AA91" s="46">
        <v>2155</v>
      </c>
      <c r="AB91" s="46">
        <v>1454</v>
      </c>
      <c r="AC91" s="46">
        <v>2993</v>
      </c>
      <c r="AD91" s="46">
        <v>5093</v>
      </c>
      <c r="AE91" s="46">
        <v>3623</v>
      </c>
      <c r="AF91" s="46">
        <v>2988</v>
      </c>
      <c r="AG91" s="46">
        <v>1232</v>
      </c>
      <c r="AH91" s="46">
        <v>4589</v>
      </c>
      <c r="AI91" s="46">
        <v>2000</v>
      </c>
      <c r="AJ91" s="46">
        <v>3154</v>
      </c>
      <c r="AK91" s="46">
        <v>5716</v>
      </c>
      <c r="AL91" s="46">
        <v>4624</v>
      </c>
      <c r="AM91" s="46">
        <v>3390</v>
      </c>
      <c r="AN91" s="46">
        <v>1598</v>
      </c>
      <c r="AO91" s="46">
        <v>2990</v>
      </c>
      <c r="AP91" s="46">
        <v>2534</v>
      </c>
      <c r="AQ91" s="25">
        <v>4088.9959320106136</v>
      </c>
      <c r="AR91" s="25">
        <v>477.45506114812451</v>
      </c>
      <c r="AS91" s="25">
        <v>459.39175576888817</v>
      </c>
      <c r="AT91" s="25">
        <v>1040.1572510723738</v>
      </c>
      <c r="AU91" s="46">
        <v>5673</v>
      </c>
      <c r="AV91" s="46">
        <v>18635</v>
      </c>
      <c r="AW91" s="46">
        <v>9075</v>
      </c>
      <c r="AX91" s="46">
        <v>73076</v>
      </c>
      <c r="AY91" s="47">
        <f>SUM(AY92:AY93)</f>
        <v>16267</v>
      </c>
      <c r="AZ91" s="46">
        <v>920</v>
      </c>
      <c r="BA91" s="46">
        <v>1373</v>
      </c>
      <c r="BB91" s="46">
        <v>9970</v>
      </c>
      <c r="BC91" s="46">
        <v>1787</v>
      </c>
      <c r="BD91" s="46">
        <v>9513</v>
      </c>
      <c r="BE91" s="46">
        <v>1235</v>
      </c>
      <c r="BF91" s="46">
        <v>1821</v>
      </c>
      <c r="BG91" s="46">
        <v>4840</v>
      </c>
      <c r="BH91" s="46">
        <v>11817</v>
      </c>
      <c r="BI91" s="46">
        <v>38093</v>
      </c>
      <c r="BJ91" s="46">
        <v>1670</v>
      </c>
      <c r="BK91" s="46">
        <v>11220</v>
      </c>
      <c r="BL91" s="46">
        <v>3699</v>
      </c>
      <c r="BM91" s="46">
        <v>3067</v>
      </c>
      <c r="BN91" s="46">
        <v>2352</v>
      </c>
      <c r="BO91" s="46">
        <v>23329</v>
      </c>
      <c r="BP91" s="46">
        <v>6698</v>
      </c>
      <c r="BQ91" s="46">
        <v>64857</v>
      </c>
      <c r="BR91" s="46">
        <v>47663</v>
      </c>
      <c r="BS91" s="46">
        <v>15559</v>
      </c>
      <c r="BT91" s="46">
        <v>17672</v>
      </c>
      <c r="BU91" s="46">
        <v>12088</v>
      </c>
      <c r="BV91" s="46">
        <v>1747</v>
      </c>
      <c r="BW91" s="46">
        <v>6575</v>
      </c>
      <c r="BX91" s="46">
        <v>3693</v>
      </c>
      <c r="BY91" s="25">
        <v>536663</v>
      </c>
      <c r="BZ91" s="25">
        <v>0</v>
      </c>
      <c r="CA91" s="25">
        <v>0</v>
      </c>
      <c r="CB91" s="25">
        <v>0</v>
      </c>
      <c r="CC91" s="25">
        <v>0</v>
      </c>
      <c r="CD91" s="25">
        <v>0</v>
      </c>
      <c r="CE91" s="25">
        <v>0</v>
      </c>
      <c r="CF91" s="25">
        <v>0</v>
      </c>
      <c r="CG91" s="25">
        <v>536663</v>
      </c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</row>
    <row r="92" spans="1:99" s="5" customFormat="1" x14ac:dyDescent="0.3">
      <c r="A92" s="28"/>
      <c r="B92" s="18" t="s">
        <v>180</v>
      </c>
      <c r="C92" s="5">
        <v>87</v>
      </c>
      <c r="D92" s="46">
        <v>5123</v>
      </c>
      <c r="E92" s="46">
        <v>2698</v>
      </c>
      <c r="F92" s="46">
        <v>272</v>
      </c>
      <c r="G92" s="46">
        <v>806</v>
      </c>
      <c r="H92" s="46">
        <v>3536</v>
      </c>
      <c r="I92" s="46">
        <v>884</v>
      </c>
      <c r="J92" s="46">
        <v>566</v>
      </c>
      <c r="K92" s="46">
        <v>6513</v>
      </c>
      <c r="L92" s="46">
        <v>2394</v>
      </c>
      <c r="M92" s="46">
        <v>7273</v>
      </c>
      <c r="N92" s="46">
        <v>2148</v>
      </c>
      <c r="O92" s="46">
        <v>367</v>
      </c>
      <c r="P92" s="46">
        <v>1996</v>
      </c>
      <c r="Q92" s="46">
        <v>3739</v>
      </c>
      <c r="R92" s="46">
        <v>1856</v>
      </c>
      <c r="S92" s="46">
        <v>1182</v>
      </c>
      <c r="T92" s="46">
        <v>2686</v>
      </c>
      <c r="U92" s="46">
        <v>1025</v>
      </c>
      <c r="V92" s="25">
        <v>1824.8227203314104</v>
      </c>
      <c r="W92" s="25">
        <v>46.925000000000907</v>
      </c>
      <c r="X92" s="25">
        <v>5.252279668588554</v>
      </c>
      <c r="Y92" s="46">
        <v>1350</v>
      </c>
      <c r="Z92" s="46">
        <v>2868</v>
      </c>
      <c r="AA92" s="46">
        <v>1980</v>
      </c>
      <c r="AB92" s="46">
        <v>1412</v>
      </c>
      <c r="AC92" s="46">
        <v>2814</v>
      </c>
      <c r="AD92" s="46">
        <v>4943</v>
      </c>
      <c r="AE92" s="46">
        <v>3466</v>
      </c>
      <c r="AF92" s="46">
        <v>2727</v>
      </c>
      <c r="AG92" s="46">
        <v>1168</v>
      </c>
      <c r="AH92" s="46">
        <v>4470</v>
      </c>
      <c r="AI92" s="46">
        <v>1937</v>
      </c>
      <c r="AJ92" s="46">
        <v>3036</v>
      </c>
      <c r="AK92" s="46">
        <v>5460</v>
      </c>
      <c r="AL92" s="46">
        <v>4407</v>
      </c>
      <c r="AM92" s="46">
        <v>3257</v>
      </c>
      <c r="AN92" s="46">
        <v>1477</v>
      </c>
      <c r="AO92" s="46">
        <v>2905</v>
      </c>
      <c r="AP92" s="46">
        <v>2436</v>
      </c>
      <c r="AQ92" s="25">
        <v>3142.581443295991</v>
      </c>
      <c r="AR92" s="25">
        <v>366.9461745915853</v>
      </c>
      <c r="AS92" s="25">
        <v>353.06369360279535</v>
      </c>
      <c r="AT92" s="25">
        <v>799.40868850962852</v>
      </c>
      <c r="AU92" s="46">
        <v>5109</v>
      </c>
      <c r="AV92" s="46">
        <v>18183</v>
      </c>
      <c r="AW92" s="46">
        <v>8959</v>
      </c>
      <c r="AX92" s="46">
        <v>71753</v>
      </c>
      <c r="AY92" s="47">
        <v>15650</v>
      </c>
      <c r="AZ92" s="46">
        <v>881</v>
      </c>
      <c r="BA92" s="46">
        <v>1333</v>
      </c>
      <c r="BB92" s="46">
        <v>8842</v>
      </c>
      <c r="BC92" s="46">
        <v>1736</v>
      </c>
      <c r="BD92" s="46">
        <v>9380</v>
      </c>
      <c r="BE92" s="46">
        <v>1198</v>
      </c>
      <c r="BF92" s="46">
        <v>1745</v>
      </c>
      <c r="BG92" s="46">
        <v>3960</v>
      </c>
      <c r="BH92" s="46">
        <v>11081</v>
      </c>
      <c r="BI92" s="46">
        <v>32184</v>
      </c>
      <c r="BJ92" s="46">
        <v>1614</v>
      </c>
      <c r="BK92" s="46">
        <v>10153</v>
      </c>
      <c r="BL92" s="46">
        <v>3565</v>
      </c>
      <c r="BM92" s="46">
        <v>3015</v>
      </c>
      <c r="BN92" s="46">
        <v>2297</v>
      </c>
      <c r="BO92" s="46">
        <v>22948</v>
      </c>
      <c r="BP92" s="46">
        <v>6601</v>
      </c>
      <c r="BQ92" s="46">
        <v>64134</v>
      </c>
      <c r="BR92" s="46">
        <v>47469</v>
      </c>
      <c r="BS92" s="46">
        <v>15429</v>
      </c>
      <c r="BT92" s="46">
        <v>17649</v>
      </c>
      <c r="BU92" s="46">
        <v>11939</v>
      </c>
      <c r="BV92" s="46">
        <v>1701</v>
      </c>
      <c r="BW92" s="46">
        <v>6456</v>
      </c>
      <c r="BX92" s="46">
        <v>3693</v>
      </c>
      <c r="BY92" s="25">
        <v>514373</v>
      </c>
      <c r="BZ92" s="25">
        <v>0</v>
      </c>
      <c r="CA92" s="25">
        <v>0</v>
      </c>
      <c r="CB92" s="25">
        <v>0</v>
      </c>
      <c r="CC92" s="25">
        <v>0</v>
      </c>
      <c r="CD92" s="25">
        <v>0</v>
      </c>
      <c r="CE92" s="25">
        <v>0</v>
      </c>
      <c r="CF92" s="25">
        <v>0</v>
      </c>
      <c r="CG92" s="25">
        <v>514373</v>
      </c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</row>
    <row r="93" spans="1:99" s="5" customFormat="1" x14ac:dyDescent="0.3">
      <c r="A93" s="28"/>
      <c r="B93" s="14" t="s">
        <v>181</v>
      </c>
      <c r="C93" s="5">
        <v>88</v>
      </c>
      <c r="D93" s="46">
        <v>3</v>
      </c>
      <c r="E93" s="46">
        <v>13</v>
      </c>
      <c r="F93" s="46">
        <v>2</v>
      </c>
      <c r="G93" s="46">
        <v>13</v>
      </c>
      <c r="H93" s="46">
        <v>1022</v>
      </c>
      <c r="I93" s="46">
        <v>37</v>
      </c>
      <c r="J93" s="46">
        <v>30</v>
      </c>
      <c r="K93" s="46">
        <v>172</v>
      </c>
      <c r="L93" s="46">
        <v>44</v>
      </c>
      <c r="M93" s="46">
        <v>238</v>
      </c>
      <c r="N93" s="46">
        <v>87</v>
      </c>
      <c r="O93" s="46">
        <v>35</v>
      </c>
      <c r="P93" s="46">
        <v>44</v>
      </c>
      <c r="Q93" s="46">
        <v>61</v>
      </c>
      <c r="R93" s="46">
        <v>41</v>
      </c>
      <c r="S93" s="46">
        <v>67</v>
      </c>
      <c r="T93" s="46">
        <v>283</v>
      </c>
      <c r="U93" s="46">
        <v>39</v>
      </c>
      <c r="V93" s="25">
        <v>750.53976563444269</v>
      </c>
      <c r="W93" s="25">
        <v>19.300000000000029</v>
      </c>
      <c r="X93" s="25">
        <v>2.1602343655569332</v>
      </c>
      <c r="Y93" s="46">
        <v>41</v>
      </c>
      <c r="Z93" s="46">
        <v>277</v>
      </c>
      <c r="AA93" s="46">
        <v>175</v>
      </c>
      <c r="AB93" s="46">
        <v>42</v>
      </c>
      <c r="AC93" s="46">
        <v>179</v>
      </c>
      <c r="AD93" s="46">
        <v>150</v>
      </c>
      <c r="AE93" s="46">
        <v>157</v>
      </c>
      <c r="AF93" s="46">
        <v>261</v>
      </c>
      <c r="AG93" s="46">
        <v>64</v>
      </c>
      <c r="AH93" s="46">
        <v>119</v>
      </c>
      <c r="AI93" s="46">
        <v>63</v>
      </c>
      <c r="AJ93" s="46">
        <v>118</v>
      </c>
      <c r="AK93" s="46">
        <v>256</v>
      </c>
      <c r="AL93" s="46">
        <v>217</v>
      </c>
      <c r="AM93" s="46">
        <v>133</v>
      </c>
      <c r="AN93" s="46">
        <v>121</v>
      </c>
      <c r="AO93" s="46">
        <v>85</v>
      </c>
      <c r="AP93" s="46">
        <v>98</v>
      </c>
      <c r="AQ93" s="25">
        <v>946.41448871462273</v>
      </c>
      <c r="AR93" s="25">
        <v>110.50888655653921</v>
      </c>
      <c r="AS93" s="25">
        <v>106.32806216609282</v>
      </c>
      <c r="AT93" s="25">
        <v>240.74856256274529</v>
      </c>
      <c r="AU93" s="46">
        <v>564</v>
      </c>
      <c r="AV93" s="46">
        <v>452</v>
      </c>
      <c r="AW93" s="46">
        <v>116</v>
      </c>
      <c r="AX93" s="46">
        <v>1323</v>
      </c>
      <c r="AY93" s="47">
        <v>617</v>
      </c>
      <c r="AZ93" s="46">
        <v>39</v>
      </c>
      <c r="BA93" s="46">
        <v>40</v>
      </c>
      <c r="BB93" s="46">
        <v>1128</v>
      </c>
      <c r="BC93" s="46">
        <v>51</v>
      </c>
      <c r="BD93" s="46">
        <v>133</v>
      </c>
      <c r="BE93" s="46">
        <v>37</v>
      </c>
      <c r="BF93" s="46">
        <v>76</v>
      </c>
      <c r="BG93" s="46">
        <v>880</v>
      </c>
      <c r="BH93" s="46">
        <v>736</v>
      </c>
      <c r="BI93" s="46">
        <v>5909</v>
      </c>
      <c r="BJ93" s="46">
        <v>56</v>
      </c>
      <c r="BK93" s="46">
        <v>1067</v>
      </c>
      <c r="BL93" s="46">
        <v>134</v>
      </c>
      <c r="BM93" s="46">
        <v>52</v>
      </c>
      <c r="BN93" s="46">
        <v>55</v>
      </c>
      <c r="BO93" s="46">
        <v>381</v>
      </c>
      <c r="BP93" s="46">
        <v>97</v>
      </c>
      <c r="BQ93" s="46">
        <v>723</v>
      </c>
      <c r="BR93" s="46">
        <v>194</v>
      </c>
      <c r="BS93" s="46">
        <v>130</v>
      </c>
      <c r="BT93" s="46">
        <v>23</v>
      </c>
      <c r="BU93" s="46">
        <v>149</v>
      </c>
      <c r="BV93" s="46">
        <v>46</v>
      </c>
      <c r="BW93" s="46">
        <v>119</v>
      </c>
      <c r="BX93" s="46">
        <v>0</v>
      </c>
      <c r="BY93" s="25">
        <v>22290</v>
      </c>
      <c r="BZ93" s="25">
        <v>0</v>
      </c>
      <c r="CA93" s="25">
        <v>0</v>
      </c>
      <c r="CB93" s="25">
        <v>0</v>
      </c>
      <c r="CC93" s="25">
        <v>0</v>
      </c>
      <c r="CD93" s="25">
        <v>0</v>
      </c>
      <c r="CE93" s="25">
        <v>0</v>
      </c>
      <c r="CF93" s="25">
        <v>0</v>
      </c>
      <c r="CG93" s="25">
        <v>22290</v>
      </c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</row>
    <row r="94" spans="1:99" s="5" customFormat="1" x14ac:dyDescent="0.3">
      <c r="A94" s="28" t="s">
        <v>182</v>
      </c>
      <c r="B94" s="14" t="s">
        <v>183</v>
      </c>
      <c r="C94" s="5">
        <v>89</v>
      </c>
      <c r="D94" s="46">
        <v>0</v>
      </c>
      <c r="E94" s="46">
        <v>0</v>
      </c>
      <c r="F94" s="46">
        <v>0</v>
      </c>
      <c r="G94" s="46">
        <v>0</v>
      </c>
      <c r="H94" s="46">
        <v>0</v>
      </c>
      <c r="I94" s="46">
        <v>0</v>
      </c>
      <c r="J94" s="46">
        <v>0</v>
      </c>
      <c r="K94" s="46">
        <v>0</v>
      </c>
      <c r="L94" s="46">
        <v>0</v>
      </c>
      <c r="M94" s="46">
        <v>0</v>
      </c>
      <c r="N94" s="46">
        <v>0</v>
      </c>
      <c r="O94" s="46">
        <v>0</v>
      </c>
      <c r="P94" s="46">
        <v>0</v>
      </c>
      <c r="Q94" s="46">
        <v>0</v>
      </c>
      <c r="R94" s="46">
        <v>0</v>
      </c>
      <c r="S94" s="46">
        <v>0</v>
      </c>
      <c r="T94" s="46">
        <v>0</v>
      </c>
      <c r="U94" s="46">
        <v>0</v>
      </c>
      <c r="V94" s="25">
        <v>0</v>
      </c>
      <c r="W94" s="25">
        <v>0</v>
      </c>
      <c r="X94" s="25">
        <v>0</v>
      </c>
      <c r="Y94" s="46">
        <v>0</v>
      </c>
      <c r="Z94" s="46">
        <v>0</v>
      </c>
      <c r="AA94" s="46">
        <v>0</v>
      </c>
      <c r="AB94" s="46">
        <v>0</v>
      </c>
      <c r="AC94" s="46">
        <v>0</v>
      </c>
      <c r="AD94" s="46">
        <v>0</v>
      </c>
      <c r="AE94" s="46">
        <v>0</v>
      </c>
      <c r="AF94" s="46">
        <v>0</v>
      </c>
      <c r="AG94" s="46">
        <v>0</v>
      </c>
      <c r="AH94" s="46">
        <v>0</v>
      </c>
      <c r="AI94" s="46">
        <v>0</v>
      </c>
      <c r="AJ94" s="46">
        <v>0</v>
      </c>
      <c r="AK94" s="46">
        <v>0</v>
      </c>
      <c r="AL94" s="46">
        <v>0</v>
      </c>
      <c r="AM94" s="46">
        <v>0</v>
      </c>
      <c r="AN94" s="46">
        <v>0</v>
      </c>
      <c r="AO94" s="46">
        <v>0</v>
      </c>
      <c r="AP94" s="46">
        <v>0</v>
      </c>
      <c r="AQ94" s="25">
        <v>0</v>
      </c>
      <c r="AR94" s="25">
        <v>0</v>
      </c>
      <c r="AS94" s="25">
        <v>0</v>
      </c>
      <c r="AT94" s="25">
        <v>0</v>
      </c>
      <c r="AU94" s="46">
        <v>0</v>
      </c>
      <c r="AV94" s="46">
        <v>0</v>
      </c>
      <c r="AW94" s="46">
        <v>0</v>
      </c>
      <c r="AX94" s="46">
        <v>0</v>
      </c>
      <c r="AY94" s="47">
        <v>0</v>
      </c>
      <c r="AZ94" s="46">
        <v>0</v>
      </c>
      <c r="BA94" s="46">
        <v>0</v>
      </c>
      <c r="BB94" s="46">
        <v>0</v>
      </c>
      <c r="BC94" s="46">
        <v>0</v>
      </c>
      <c r="BD94" s="46">
        <v>0</v>
      </c>
      <c r="BE94" s="46">
        <v>0</v>
      </c>
      <c r="BF94" s="46">
        <v>0</v>
      </c>
      <c r="BG94" s="46">
        <v>0</v>
      </c>
      <c r="BH94" s="46">
        <v>0</v>
      </c>
      <c r="BI94" s="46">
        <v>0</v>
      </c>
      <c r="BJ94" s="46">
        <v>0</v>
      </c>
      <c r="BK94" s="46">
        <v>0</v>
      </c>
      <c r="BL94" s="46">
        <v>0</v>
      </c>
      <c r="BM94" s="46">
        <v>0</v>
      </c>
      <c r="BN94" s="46">
        <v>0</v>
      </c>
      <c r="BO94" s="46">
        <v>0</v>
      </c>
      <c r="BP94" s="46">
        <v>0</v>
      </c>
      <c r="BQ94" s="46">
        <v>82843</v>
      </c>
      <c r="BR94" s="46">
        <v>6706</v>
      </c>
      <c r="BS94" s="46">
        <v>0</v>
      </c>
      <c r="BT94" s="46">
        <v>7263</v>
      </c>
      <c r="BU94" s="46">
        <v>0</v>
      </c>
      <c r="BV94" s="46">
        <v>0</v>
      </c>
      <c r="BW94" s="46">
        <v>0</v>
      </c>
      <c r="BX94" s="46">
        <v>0</v>
      </c>
      <c r="BY94" s="25">
        <v>96812</v>
      </c>
      <c r="BZ94" s="25">
        <v>0</v>
      </c>
      <c r="CA94" s="25">
        <v>0</v>
      </c>
      <c r="CB94" s="25">
        <v>0</v>
      </c>
      <c r="CC94" s="25">
        <v>0</v>
      </c>
      <c r="CD94" s="25">
        <v>0</v>
      </c>
      <c r="CE94" s="25">
        <v>0</v>
      </c>
      <c r="CF94" s="25">
        <v>0</v>
      </c>
      <c r="CG94" s="25">
        <v>96812</v>
      </c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</row>
    <row r="95" spans="1:99" s="5" customFormat="1" x14ac:dyDescent="0.3">
      <c r="A95" s="66" t="s">
        <v>184</v>
      </c>
      <c r="B95" s="67" t="s">
        <v>185</v>
      </c>
      <c r="C95" s="5">
        <v>90</v>
      </c>
      <c r="D95" s="46">
        <v>182575</v>
      </c>
      <c r="E95" s="46">
        <v>48953</v>
      </c>
      <c r="F95" s="46">
        <v>26039</v>
      </c>
      <c r="G95" s="46">
        <v>3887</v>
      </c>
      <c r="H95" s="46">
        <v>82275</v>
      </c>
      <c r="I95" s="46">
        <v>40026</v>
      </c>
      <c r="J95" s="46">
        <v>4247</v>
      </c>
      <c r="K95" s="46">
        <v>13233</v>
      </c>
      <c r="L95" s="46">
        <v>-927</v>
      </c>
      <c r="M95" s="46">
        <v>27501</v>
      </c>
      <c r="N95" s="46">
        <v>11221</v>
      </c>
      <c r="O95" s="46">
        <v>1741</v>
      </c>
      <c r="P95" s="46">
        <v>4276</v>
      </c>
      <c r="Q95" s="46">
        <v>9211</v>
      </c>
      <c r="R95" s="46">
        <v>4032</v>
      </c>
      <c r="S95" s="46">
        <v>4783</v>
      </c>
      <c r="T95" s="46">
        <v>16893</v>
      </c>
      <c r="U95" s="46">
        <v>4315</v>
      </c>
      <c r="V95" s="25">
        <v>31352.534847079216</v>
      </c>
      <c r="W95" s="25">
        <v>806.22500000000116</v>
      </c>
      <c r="X95" s="25">
        <v>90.240152920784496</v>
      </c>
      <c r="Y95" s="46">
        <v>4134</v>
      </c>
      <c r="Z95" s="46">
        <v>12505</v>
      </c>
      <c r="AA95" s="46">
        <v>5167</v>
      </c>
      <c r="AB95" s="46">
        <v>3587</v>
      </c>
      <c r="AC95" s="46">
        <v>21406</v>
      </c>
      <c r="AD95" s="46">
        <v>5651</v>
      </c>
      <c r="AE95" s="46">
        <v>4831</v>
      </c>
      <c r="AF95" s="46">
        <v>19673</v>
      </c>
      <c r="AG95" s="46">
        <v>9072</v>
      </c>
      <c r="AH95" s="46">
        <v>10310</v>
      </c>
      <c r="AI95" s="46">
        <v>4751</v>
      </c>
      <c r="AJ95" s="46">
        <v>4693</v>
      </c>
      <c r="AK95" s="46">
        <v>8755</v>
      </c>
      <c r="AL95" s="46">
        <v>1419</v>
      </c>
      <c r="AM95" s="46">
        <v>8283</v>
      </c>
      <c r="AN95" s="46">
        <v>2054</v>
      </c>
      <c r="AO95" s="46">
        <v>15383</v>
      </c>
      <c r="AP95" s="46">
        <v>14972</v>
      </c>
      <c r="AQ95" s="25">
        <v>60670.726369437907</v>
      </c>
      <c r="AR95" s="25">
        <v>9910.61827089703</v>
      </c>
      <c r="AS95" s="25">
        <v>7100.5881564106267</v>
      </c>
      <c r="AT95" s="25">
        <v>18879.067203254435</v>
      </c>
      <c r="AU95" s="46">
        <v>26426</v>
      </c>
      <c r="AV95" s="46">
        <v>135690</v>
      </c>
      <c r="AW95" s="46">
        <v>47260</v>
      </c>
      <c r="AX95" s="46">
        <v>320736</v>
      </c>
      <c r="AY95" s="48">
        <f>AY96+AY97</f>
        <v>75354</v>
      </c>
      <c r="AZ95" s="46">
        <v>4521</v>
      </c>
      <c r="BA95" s="46">
        <v>1775</v>
      </c>
      <c r="BB95" s="46">
        <v>33698</v>
      </c>
      <c r="BC95" s="46">
        <v>3121</v>
      </c>
      <c r="BD95" s="46">
        <v>68654</v>
      </c>
      <c r="BE95" s="46">
        <v>1586</v>
      </c>
      <c r="BF95" s="46">
        <v>3948</v>
      </c>
      <c r="BG95" s="46">
        <v>43825</v>
      </c>
      <c r="BH95" s="46">
        <v>51289</v>
      </c>
      <c r="BI95" s="46">
        <v>249222</v>
      </c>
      <c r="BJ95" s="46">
        <v>579640</v>
      </c>
      <c r="BK95" s="46">
        <v>92276</v>
      </c>
      <c r="BL95" s="46">
        <v>20171</v>
      </c>
      <c r="BM95" s="46">
        <v>22865</v>
      </c>
      <c r="BN95" s="46">
        <v>18437</v>
      </c>
      <c r="BO95" s="46">
        <v>54852</v>
      </c>
      <c r="BP95" s="46">
        <v>2998</v>
      </c>
      <c r="BQ95" s="46">
        <v>87157</v>
      </c>
      <c r="BR95" s="46">
        <v>13026</v>
      </c>
      <c r="BS95" s="46">
        <v>10137</v>
      </c>
      <c r="BT95" s="46">
        <v>6529</v>
      </c>
      <c r="BU95" s="46">
        <v>77062</v>
      </c>
      <c r="BV95" s="46">
        <v>9413</v>
      </c>
      <c r="BW95" s="46">
        <v>39805</v>
      </c>
      <c r="BX95" s="46">
        <v>0</v>
      </c>
      <c r="BY95" s="25">
        <v>2871210</v>
      </c>
      <c r="BZ95" s="25">
        <v>0</v>
      </c>
      <c r="CA95" s="25">
        <v>0</v>
      </c>
      <c r="CB95" s="25">
        <v>0</v>
      </c>
      <c r="CC95" s="25">
        <v>0</v>
      </c>
      <c r="CD95" s="25">
        <v>0</v>
      </c>
      <c r="CE95" s="25">
        <v>0</v>
      </c>
      <c r="CF95" s="25">
        <v>0</v>
      </c>
      <c r="CG95" s="25">
        <v>2871210</v>
      </c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</row>
    <row r="96" spans="1:99" s="5" customFormat="1" x14ac:dyDescent="0.3">
      <c r="A96" s="28"/>
      <c r="B96" s="14" t="s">
        <v>186</v>
      </c>
      <c r="C96" s="5">
        <v>91</v>
      </c>
      <c r="D96" s="46">
        <v>97228</v>
      </c>
      <c r="E96" s="46">
        <v>38269</v>
      </c>
      <c r="F96" s="46">
        <v>12179</v>
      </c>
      <c r="G96" s="46">
        <v>254</v>
      </c>
      <c r="H96" s="46">
        <v>0</v>
      </c>
      <c r="I96" s="46">
        <v>0</v>
      </c>
      <c r="J96" s="46">
        <v>0</v>
      </c>
      <c r="K96" s="46">
        <v>365</v>
      </c>
      <c r="L96" s="46">
        <v>0</v>
      </c>
      <c r="M96" s="46">
        <v>4151</v>
      </c>
      <c r="N96" s="46">
        <v>23</v>
      </c>
      <c r="O96" s="46">
        <v>0</v>
      </c>
      <c r="P96" s="46">
        <v>1228</v>
      </c>
      <c r="Q96" s="46">
        <v>6429</v>
      </c>
      <c r="R96" s="46">
        <v>625</v>
      </c>
      <c r="S96" s="46">
        <v>1625</v>
      </c>
      <c r="T96" s="46">
        <v>296</v>
      </c>
      <c r="U96" s="46">
        <v>460</v>
      </c>
      <c r="V96" s="25">
        <v>0</v>
      </c>
      <c r="W96" s="25">
        <v>0</v>
      </c>
      <c r="X96" s="25">
        <v>0</v>
      </c>
      <c r="Y96" s="46">
        <v>0</v>
      </c>
      <c r="Z96" s="46">
        <v>0</v>
      </c>
      <c r="AA96" s="46">
        <v>0</v>
      </c>
      <c r="AB96" s="46">
        <v>585</v>
      </c>
      <c r="AC96" s="46">
        <v>0</v>
      </c>
      <c r="AD96" s="46">
        <v>373</v>
      </c>
      <c r="AE96" s="46">
        <v>799</v>
      </c>
      <c r="AF96" s="46">
        <v>0</v>
      </c>
      <c r="AG96" s="46">
        <v>-18</v>
      </c>
      <c r="AH96" s="46">
        <v>2385</v>
      </c>
      <c r="AI96" s="46">
        <v>0</v>
      </c>
      <c r="AJ96" s="46">
        <v>0</v>
      </c>
      <c r="AK96" s="46">
        <v>0</v>
      </c>
      <c r="AL96" s="46">
        <v>0</v>
      </c>
      <c r="AM96" s="46">
        <v>28</v>
      </c>
      <c r="AN96" s="46">
        <v>0</v>
      </c>
      <c r="AO96" s="46">
        <v>1333</v>
      </c>
      <c r="AP96" s="46">
        <v>5023</v>
      </c>
      <c r="AQ96" s="25">
        <v>0</v>
      </c>
      <c r="AR96" s="25">
        <v>0</v>
      </c>
      <c r="AS96" s="25">
        <v>0</v>
      </c>
      <c r="AT96" s="25">
        <v>0</v>
      </c>
      <c r="AU96" s="46">
        <v>1734</v>
      </c>
      <c r="AV96" s="46">
        <v>68569</v>
      </c>
      <c r="AW96" s="46">
        <v>22740</v>
      </c>
      <c r="AX96" s="46">
        <v>58881</v>
      </c>
      <c r="AY96" s="47">
        <v>25394</v>
      </c>
      <c r="AZ96" s="46">
        <v>430</v>
      </c>
      <c r="BA96" s="46">
        <v>0</v>
      </c>
      <c r="BB96" s="46">
        <v>1273</v>
      </c>
      <c r="BC96" s="46">
        <v>1302</v>
      </c>
      <c r="BD96" s="46">
        <v>48476</v>
      </c>
      <c r="BE96" s="46">
        <v>56</v>
      </c>
      <c r="BF96" s="46">
        <v>853</v>
      </c>
      <c r="BG96" s="46">
        <v>253</v>
      </c>
      <c r="BH96" s="46">
        <v>9240</v>
      </c>
      <c r="BI96" s="46">
        <v>2638</v>
      </c>
      <c r="BJ96" s="46">
        <v>4300</v>
      </c>
      <c r="BK96" s="46">
        <v>39398</v>
      </c>
      <c r="BL96" s="46">
        <v>11034</v>
      </c>
      <c r="BM96" s="46">
        <v>6368</v>
      </c>
      <c r="BN96" s="46">
        <v>793</v>
      </c>
      <c r="BO96" s="46">
        <v>7868</v>
      </c>
      <c r="BP96" s="46">
        <v>1175</v>
      </c>
      <c r="BQ96" s="46">
        <v>0</v>
      </c>
      <c r="BR96" s="46">
        <v>0</v>
      </c>
      <c r="BS96" s="46">
        <v>7947</v>
      </c>
      <c r="BT96" s="46">
        <v>0</v>
      </c>
      <c r="BU96" s="46">
        <v>50020</v>
      </c>
      <c r="BV96" s="46">
        <v>6325</v>
      </c>
      <c r="BW96" s="46">
        <v>32861</v>
      </c>
      <c r="BX96" s="46">
        <v>0</v>
      </c>
      <c r="BY96" s="25">
        <v>583568</v>
      </c>
      <c r="BZ96" s="25">
        <v>0</v>
      </c>
      <c r="CA96" s="25">
        <v>0</v>
      </c>
      <c r="CB96" s="25">
        <v>0</v>
      </c>
      <c r="CC96" s="25">
        <v>0</v>
      </c>
      <c r="CD96" s="25">
        <v>0</v>
      </c>
      <c r="CE96" s="25">
        <v>0</v>
      </c>
      <c r="CF96" s="25">
        <v>0</v>
      </c>
      <c r="CG96" s="25">
        <v>583568</v>
      </c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</row>
    <row r="97" spans="1:99" s="5" customFormat="1" x14ac:dyDescent="0.3">
      <c r="A97" s="28"/>
      <c r="B97" s="14" t="s">
        <v>187</v>
      </c>
      <c r="C97" s="5">
        <v>92</v>
      </c>
      <c r="D97" s="46">
        <v>85347</v>
      </c>
      <c r="E97" s="46">
        <v>10684</v>
      </c>
      <c r="F97" s="46">
        <v>13860</v>
      </c>
      <c r="G97" s="46">
        <v>3633</v>
      </c>
      <c r="H97" s="46">
        <v>82275</v>
      </c>
      <c r="I97" s="46">
        <v>40026</v>
      </c>
      <c r="J97" s="46">
        <v>4247</v>
      </c>
      <c r="K97" s="46">
        <v>12868</v>
      </c>
      <c r="L97" s="46">
        <v>-927</v>
      </c>
      <c r="M97" s="46">
        <v>23350</v>
      </c>
      <c r="N97" s="46">
        <v>11198</v>
      </c>
      <c r="O97" s="46">
        <v>1741</v>
      </c>
      <c r="P97" s="46">
        <v>3048</v>
      </c>
      <c r="Q97" s="46">
        <v>2782</v>
      </c>
      <c r="R97" s="46">
        <v>3407</v>
      </c>
      <c r="S97" s="46">
        <v>3158</v>
      </c>
      <c r="T97" s="46">
        <v>16597</v>
      </c>
      <c r="U97" s="46">
        <v>3855</v>
      </c>
      <c r="V97" s="25">
        <v>31352.534847079216</v>
      </c>
      <c r="W97" s="25">
        <v>806.22500000000116</v>
      </c>
      <c r="X97" s="25">
        <v>90.240152920784496</v>
      </c>
      <c r="Y97" s="46">
        <v>4134</v>
      </c>
      <c r="Z97" s="46">
        <v>12505</v>
      </c>
      <c r="AA97" s="46">
        <v>5167</v>
      </c>
      <c r="AB97" s="46">
        <v>3002</v>
      </c>
      <c r="AC97" s="46">
        <v>21406</v>
      </c>
      <c r="AD97" s="46">
        <v>5278</v>
      </c>
      <c r="AE97" s="46">
        <v>4032</v>
      </c>
      <c r="AF97" s="46">
        <v>19673</v>
      </c>
      <c r="AG97" s="46">
        <v>9090</v>
      </c>
      <c r="AH97" s="46">
        <v>7925</v>
      </c>
      <c r="AI97" s="46">
        <v>4751</v>
      </c>
      <c r="AJ97" s="46">
        <v>4693</v>
      </c>
      <c r="AK97" s="46">
        <v>8755</v>
      </c>
      <c r="AL97" s="46">
        <v>1419</v>
      </c>
      <c r="AM97" s="46">
        <v>8255</v>
      </c>
      <c r="AN97" s="46">
        <v>2054</v>
      </c>
      <c r="AO97" s="46">
        <v>14050</v>
      </c>
      <c r="AP97" s="46">
        <v>9949</v>
      </c>
      <c r="AQ97" s="25">
        <v>60670.726369437907</v>
      </c>
      <c r="AR97" s="25">
        <v>9910.61827089703</v>
      </c>
      <c r="AS97" s="25">
        <v>7100.5881564106267</v>
      </c>
      <c r="AT97" s="25">
        <v>18879.067203254435</v>
      </c>
      <c r="AU97" s="46">
        <v>24692</v>
      </c>
      <c r="AV97" s="46">
        <v>67121</v>
      </c>
      <c r="AW97" s="46">
        <v>24520</v>
      </c>
      <c r="AX97" s="46">
        <v>261855</v>
      </c>
      <c r="AY97" s="47">
        <v>49960</v>
      </c>
      <c r="AZ97" s="46">
        <v>4091</v>
      </c>
      <c r="BA97" s="46">
        <v>1775</v>
      </c>
      <c r="BB97" s="46">
        <v>32425</v>
      </c>
      <c r="BC97" s="46">
        <v>1819</v>
      </c>
      <c r="BD97" s="46">
        <v>20178</v>
      </c>
      <c r="BE97" s="46">
        <v>1530</v>
      </c>
      <c r="BF97" s="46">
        <v>3095</v>
      </c>
      <c r="BG97" s="46">
        <v>43572</v>
      </c>
      <c r="BH97" s="46">
        <v>42049</v>
      </c>
      <c r="BI97" s="46">
        <v>246584</v>
      </c>
      <c r="BJ97" s="46">
        <v>575340</v>
      </c>
      <c r="BK97" s="46">
        <v>52878</v>
      </c>
      <c r="BL97" s="46">
        <v>9137</v>
      </c>
      <c r="BM97" s="46">
        <v>16497</v>
      </c>
      <c r="BN97" s="46">
        <v>17644</v>
      </c>
      <c r="BO97" s="46">
        <v>46984</v>
      </c>
      <c r="BP97" s="46">
        <v>1823</v>
      </c>
      <c r="BQ97" s="46">
        <v>87157</v>
      </c>
      <c r="BR97" s="46">
        <v>13026</v>
      </c>
      <c r="BS97" s="46">
        <v>2190</v>
      </c>
      <c r="BT97" s="46">
        <v>6529</v>
      </c>
      <c r="BU97" s="46">
        <v>27042</v>
      </c>
      <c r="BV97" s="46">
        <v>3088</v>
      </c>
      <c r="BW97" s="46">
        <v>6944</v>
      </c>
      <c r="BX97" s="46">
        <v>0</v>
      </c>
      <c r="BY97" s="25">
        <v>2287642</v>
      </c>
      <c r="BZ97" s="25">
        <v>0</v>
      </c>
      <c r="CA97" s="25">
        <v>0</v>
      </c>
      <c r="CB97" s="25">
        <v>0</v>
      </c>
      <c r="CC97" s="25">
        <v>0</v>
      </c>
      <c r="CD97" s="25">
        <v>0</v>
      </c>
      <c r="CE97" s="25">
        <v>0</v>
      </c>
      <c r="CF97" s="25">
        <v>0</v>
      </c>
      <c r="CG97" s="25">
        <v>2287642</v>
      </c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</row>
    <row r="98" spans="1:99" s="5" customFormat="1" x14ac:dyDescent="0.3">
      <c r="A98" s="66" t="s">
        <v>188</v>
      </c>
      <c r="B98" s="67" t="s">
        <v>189</v>
      </c>
      <c r="C98" s="5">
        <v>93</v>
      </c>
      <c r="D98" s="25">
        <v>216931</v>
      </c>
      <c r="E98" s="25">
        <v>71170</v>
      </c>
      <c r="F98" s="25">
        <v>28294</v>
      </c>
      <c r="G98" s="25">
        <v>8013</v>
      </c>
      <c r="H98" s="25">
        <v>99192</v>
      </c>
      <c r="I98" s="25">
        <v>44528</v>
      </c>
      <c r="J98" s="25">
        <v>6854</v>
      </c>
      <c r="K98" s="25">
        <v>43350</v>
      </c>
      <c r="L98" s="25">
        <v>7763</v>
      </c>
      <c r="M98" s="25">
        <v>62923</v>
      </c>
      <c r="N98" s="25">
        <v>21174</v>
      </c>
      <c r="O98" s="25">
        <v>3452</v>
      </c>
      <c r="P98" s="25">
        <v>15538</v>
      </c>
      <c r="Q98" s="25">
        <v>27754</v>
      </c>
      <c r="R98" s="25">
        <v>15080</v>
      </c>
      <c r="S98" s="25">
        <v>11427</v>
      </c>
      <c r="T98" s="25">
        <v>30921</v>
      </c>
      <c r="U98" s="25">
        <v>9979</v>
      </c>
      <c r="V98" s="25">
        <v>39997.352976640701</v>
      </c>
      <c r="W98" s="25">
        <v>1028.5250000000015</v>
      </c>
      <c r="X98" s="25">
        <v>115.1220233592978</v>
      </c>
      <c r="Y98" s="25">
        <v>11147</v>
      </c>
      <c r="Z98" s="25">
        <v>25408</v>
      </c>
      <c r="AA98" s="25">
        <v>14547</v>
      </c>
      <c r="AB98" s="25">
        <v>10441</v>
      </c>
      <c r="AC98" s="25">
        <v>34101</v>
      </c>
      <c r="AD98" s="25">
        <v>28568</v>
      </c>
      <c r="AE98" s="25">
        <v>23981</v>
      </c>
      <c r="AF98" s="25">
        <v>33074</v>
      </c>
      <c r="AG98" s="25">
        <v>15319</v>
      </c>
      <c r="AH98" s="25">
        <v>32352</v>
      </c>
      <c r="AI98" s="25">
        <v>14526</v>
      </c>
      <c r="AJ98" s="25">
        <v>19324</v>
      </c>
      <c r="AK98" s="25">
        <v>36375</v>
      </c>
      <c r="AL98" s="25">
        <v>21902</v>
      </c>
      <c r="AM98" s="25">
        <v>29138</v>
      </c>
      <c r="AN98" s="25">
        <v>10311</v>
      </c>
      <c r="AO98" s="25">
        <v>32031</v>
      </c>
      <c r="AP98" s="25">
        <v>28029</v>
      </c>
      <c r="AQ98" s="25">
        <v>75160.170411404295</v>
      </c>
      <c r="AR98" s="25">
        <v>11602.490433669687</v>
      </c>
      <c r="AS98" s="25">
        <v>8728.4526124363856</v>
      </c>
      <c r="AT98" s="25">
        <v>22564.886542489628</v>
      </c>
      <c r="AU98" s="25">
        <v>49419</v>
      </c>
      <c r="AV98" s="25">
        <v>240260</v>
      </c>
      <c r="AW98" s="25">
        <v>96441</v>
      </c>
      <c r="AX98" s="25">
        <v>673264</v>
      </c>
      <c r="AY98" s="41">
        <f>AY95+AY89</f>
        <v>163231</v>
      </c>
      <c r="AZ98" s="25">
        <v>9658</v>
      </c>
      <c r="BA98" s="25">
        <v>9267</v>
      </c>
      <c r="BB98" s="25">
        <v>77735</v>
      </c>
      <c r="BC98" s="25">
        <v>14428</v>
      </c>
      <c r="BD98" s="25">
        <v>128770</v>
      </c>
      <c r="BE98" s="25">
        <v>8384</v>
      </c>
      <c r="BF98" s="25">
        <v>15626</v>
      </c>
      <c r="BG98" s="25">
        <v>63037</v>
      </c>
      <c r="BH98" s="25">
        <v>108476</v>
      </c>
      <c r="BI98" s="25">
        <v>414439</v>
      </c>
      <c r="BJ98" s="25">
        <v>587563</v>
      </c>
      <c r="BK98" s="25">
        <v>154215</v>
      </c>
      <c r="BL98" s="25">
        <v>38756</v>
      </c>
      <c r="BM98" s="25">
        <v>38294</v>
      </c>
      <c r="BN98" s="25">
        <v>29781</v>
      </c>
      <c r="BO98" s="25">
        <v>173256</v>
      </c>
      <c r="BP98" s="25">
        <v>34072</v>
      </c>
      <c r="BQ98" s="25">
        <v>615860</v>
      </c>
      <c r="BR98" s="25">
        <v>295116</v>
      </c>
      <c r="BS98" s="25">
        <v>100070</v>
      </c>
      <c r="BT98" s="25">
        <v>134229</v>
      </c>
      <c r="BU98" s="25">
        <v>166893</v>
      </c>
      <c r="BV98" s="25">
        <v>22678</v>
      </c>
      <c r="BW98" s="25">
        <v>85200</v>
      </c>
      <c r="BX98" s="25">
        <v>74451</v>
      </c>
      <c r="BY98" s="25">
        <v>5926983</v>
      </c>
      <c r="BZ98" s="25">
        <v>0</v>
      </c>
      <c r="CA98" s="25">
        <v>0</v>
      </c>
      <c r="CB98" s="25">
        <v>0</v>
      </c>
      <c r="CC98" s="25">
        <v>0</v>
      </c>
      <c r="CD98" s="25">
        <v>0</v>
      </c>
      <c r="CE98" s="25">
        <v>0</v>
      </c>
      <c r="CF98" s="25">
        <v>0</v>
      </c>
      <c r="CG98" s="25">
        <v>5926983</v>
      </c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</row>
    <row r="99" spans="1:99" s="5" customFormat="1" x14ac:dyDescent="0.3">
      <c r="A99" s="28" t="s">
        <v>190</v>
      </c>
      <c r="B99" s="14" t="s">
        <v>191</v>
      </c>
      <c r="C99" s="5">
        <v>94</v>
      </c>
      <c r="D99" s="46">
        <v>1841</v>
      </c>
      <c r="E99" s="46">
        <v>641</v>
      </c>
      <c r="F99" s="46">
        <v>151</v>
      </c>
      <c r="G99" s="46">
        <v>199</v>
      </c>
      <c r="H99" s="46">
        <v>1568</v>
      </c>
      <c r="I99" s="46">
        <v>630</v>
      </c>
      <c r="J99" s="46">
        <v>170</v>
      </c>
      <c r="K99" s="46">
        <v>2563</v>
      </c>
      <c r="L99" s="46">
        <v>775</v>
      </c>
      <c r="M99" s="46">
        <v>3210</v>
      </c>
      <c r="N99" s="46">
        <v>938</v>
      </c>
      <c r="O99" s="46">
        <v>130</v>
      </c>
      <c r="P99" s="46">
        <v>530</v>
      </c>
      <c r="Q99" s="46">
        <v>650</v>
      </c>
      <c r="R99" s="46">
        <v>490</v>
      </c>
      <c r="S99" s="46">
        <v>363</v>
      </c>
      <c r="T99" s="46">
        <v>939</v>
      </c>
      <c r="U99" s="46">
        <v>281</v>
      </c>
      <c r="V99" s="25">
        <v>1318.044608560534</v>
      </c>
      <c r="W99" s="25">
        <v>26.900000000000002</v>
      </c>
      <c r="X99" s="25">
        <v>5.5391439466079474E-2</v>
      </c>
      <c r="Y99" s="46">
        <v>501</v>
      </c>
      <c r="Z99" s="46">
        <v>1318</v>
      </c>
      <c r="AA99" s="46">
        <v>705</v>
      </c>
      <c r="AB99" s="46">
        <v>479</v>
      </c>
      <c r="AC99" s="46">
        <v>709</v>
      </c>
      <c r="AD99" s="46">
        <v>1197</v>
      </c>
      <c r="AE99" s="46">
        <v>875</v>
      </c>
      <c r="AF99" s="46">
        <v>1156</v>
      </c>
      <c r="AG99" s="46">
        <v>555</v>
      </c>
      <c r="AH99" s="46">
        <v>1058</v>
      </c>
      <c r="AI99" s="46">
        <v>1074</v>
      </c>
      <c r="AJ99" s="46">
        <v>784</v>
      </c>
      <c r="AK99" s="46">
        <v>1363</v>
      </c>
      <c r="AL99" s="46">
        <v>1530</v>
      </c>
      <c r="AM99" s="46">
        <v>1108</v>
      </c>
      <c r="AN99" s="46">
        <v>419</v>
      </c>
      <c r="AO99" s="46">
        <v>725</v>
      </c>
      <c r="AP99" s="46">
        <v>486</v>
      </c>
      <c r="AQ99" s="25">
        <v>2228.8840747626796</v>
      </c>
      <c r="AR99" s="25">
        <v>364.09023852039769</v>
      </c>
      <c r="AS99" s="25">
        <v>260.85706913910423</v>
      </c>
      <c r="AT99" s="25">
        <v>303.16861757781845</v>
      </c>
      <c r="AU99" s="46">
        <v>951</v>
      </c>
      <c r="AV99" s="46">
        <v>3384</v>
      </c>
      <c r="AW99" s="46">
        <v>1466</v>
      </c>
      <c r="AX99" s="46">
        <v>12523</v>
      </c>
      <c r="AY99" s="47">
        <v>3613</v>
      </c>
      <c r="AZ99" s="46">
        <v>417</v>
      </c>
      <c r="BA99" s="46">
        <v>712</v>
      </c>
      <c r="BB99" s="46">
        <v>1734</v>
      </c>
      <c r="BC99" s="46">
        <v>394</v>
      </c>
      <c r="BD99" s="46">
        <v>1741</v>
      </c>
      <c r="BE99" s="46">
        <v>228</v>
      </c>
      <c r="BF99" s="46">
        <v>1362</v>
      </c>
      <c r="BG99" s="46">
        <v>6971</v>
      </c>
      <c r="BH99" s="46">
        <v>2073</v>
      </c>
      <c r="BI99" s="46">
        <v>8223</v>
      </c>
      <c r="BJ99" s="46">
        <v>473</v>
      </c>
      <c r="BK99" s="46">
        <v>2660</v>
      </c>
      <c r="BL99" s="46">
        <v>617</v>
      </c>
      <c r="BM99" s="46">
        <v>520</v>
      </c>
      <c r="BN99" s="46">
        <v>525</v>
      </c>
      <c r="BO99" s="46">
        <v>3452</v>
      </c>
      <c r="BP99" s="46">
        <v>1043</v>
      </c>
      <c r="BQ99" s="46">
        <v>163</v>
      </c>
      <c r="BR99" s="46">
        <v>17</v>
      </c>
      <c r="BS99" s="46">
        <v>2814</v>
      </c>
      <c r="BT99" s="46">
        <v>0</v>
      </c>
      <c r="BU99" s="46">
        <v>3006</v>
      </c>
      <c r="BV99" s="46">
        <v>306</v>
      </c>
      <c r="BW99" s="46">
        <v>1199</v>
      </c>
      <c r="BX99" s="46">
        <v>0</v>
      </c>
      <c r="BY99" s="25">
        <v>99200</v>
      </c>
      <c r="BZ99" s="25">
        <v>0</v>
      </c>
      <c r="CA99" s="25">
        <v>0</v>
      </c>
      <c r="CB99" s="25">
        <v>0</v>
      </c>
      <c r="CC99" s="25">
        <v>0</v>
      </c>
      <c r="CD99" s="25">
        <v>0</v>
      </c>
      <c r="CE99" s="25">
        <v>0</v>
      </c>
      <c r="CF99" s="25">
        <v>0</v>
      </c>
      <c r="CG99" s="25">
        <v>99200</v>
      </c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</row>
    <row r="100" spans="1:99" s="5" customFormat="1" x14ac:dyDescent="0.3">
      <c r="A100" s="28" t="s">
        <v>192</v>
      </c>
      <c r="B100" s="14" t="s">
        <v>193</v>
      </c>
      <c r="C100" s="5">
        <v>95</v>
      </c>
      <c r="D100" s="46">
        <v>-9261</v>
      </c>
      <c r="E100" s="46">
        <v>-119</v>
      </c>
      <c r="F100" s="46">
        <v>-37</v>
      </c>
      <c r="G100" s="46">
        <v>-61</v>
      </c>
      <c r="H100" s="46">
        <v>0</v>
      </c>
      <c r="I100" s="46">
        <v>-24</v>
      </c>
      <c r="J100" s="46">
        <v>0</v>
      </c>
      <c r="K100" s="46">
        <v>-82</v>
      </c>
      <c r="L100" s="46">
        <v>-114</v>
      </c>
      <c r="M100" s="46">
        <v>-105</v>
      </c>
      <c r="N100" s="46">
        <v>-32</v>
      </c>
      <c r="O100" s="46">
        <v>0</v>
      </c>
      <c r="P100" s="46">
        <v>-21</v>
      </c>
      <c r="Q100" s="46">
        <v>0</v>
      </c>
      <c r="R100" s="46">
        <v>0</v>
      </c>
      <c r="S100" s="46">
        <v>-31</v>
      </c>
      <c r="T100" s="46">
        <v>-80</v>
      </c>
      <c r="U100" s="46">
        <v>0</v>
      </c>
      <c r="V100" s="25">
        <v>-146.99382251604467</v>
      </c>
      <c r="W100" s="25">
        <v>-3</v>
      </c>
      <c r="X100" s="25">
        <v>-6.1774839553248488E-3</v>
      </c>
      <c r="Y100" s="46">
        <v>-124</v>
      </c>
      <c r="Z100" s="46">
        <v>-30</v>
      </c>
      <c r="AA100" s="46">
        <v>0</v>
      </c>
      <c r="AB100" s="46">
        <v>0</v>
      </c>
      <c r="AC100" s="46">
        <v>-21</v>
      </c>
      <c r="AD100" s="46">
        <v>-120</v>
      </c>
      <c r="AE100" s="46">
        <v>-99</v>
      </c>
      <c r="AF100" s="46">
        <v>-53</v>
      </c>
      <c r="AG100" s="46">
        <v>-28</v>
      </c>
      <c r="AH100" s="46">
        <v>-67</v>
      </c>
      <c r="AI100" s="46">
        <v>0</v>
      </c>
      <c r="AJ100" s="46">
        <v>-74</v>
      </c>
      <c r="AK100" s="46">
        <v>-195</v>
      </c>
      <c r="AL100" s="46">
        <v>-219</v>
      </c>
      <c r="AM100" s="46">
        <v>-180</v>
      </c>
      <c r="AN100" s="46">
        <v>-51</v>
      </c>
      <c r="AO100" s="46">
        <v>-28</v>
      </c>
      <c r="AP100" s="46">
        <v>0</v>
      </c>
      <c r="AQ100" s="25">
        <v>-84.01558596666419</v>
      </c>
      <c r="AR100" s="25">
        <v>-13.724022294560445</v>
      </c>
      <c r="AS100" s="25">
        <v>-9.8327498345116879</v>
      </c>
      <c r="AT100" s="25">
        <v>-11.427641904263668</v>
      </c>
      <c r="AU100" s="46">
        <v>-31</v>
      </c>
      <c r="AV100" s="46">
        <v>-364</v>
      </c>
      <c r="AW100" s="46">
        <v>-29</v>
      </c>
      <c r="AX100" s="46">
        <v>-618</v>
      </c>
      <c r="AY100" s="47">
        <v>-1629</v>
      </c>
      <c r="AZ100" s="46">
        <v>0</v>
      </c>
      <c r="BA100" s="46">
        <v>-25</v>
      </c>
      <c r="BB100" s="46">
        <v>-49</v>
      </c>
      <c r="BC100" s="46">
        <v>0</v>
      </c>
      <c r="BD100" s="46">
        <v>0</v>
      </c>
      <c r="BE100" s="46">
        <v>0</v>
      </c>
      <c r="BF100" s="46">
        <v>0</v>
      </c>
      <c r="BG100" s="46">
        <v>-64</v>
      </c>
      <c r="BH100" s="46">
        <v>0</v>
      </c>
      <c r="BI100" s="46">
        <v>0</v>
      </c>
      <c r="BJ100" s="46">
        <v>0</v>
      </c>
      <c r="BK100" s="46">
        <v>0</v>
      </c>
      <c r="BL100" s="46">
        <v>-374</v>
      </c>
      <c r="BM100" s="46">
        <v>0</v>
      </c>
      <c r="BN100" s="46">
        <v>-155</v>
      </c>
      <c r="BO100" s="46">
        <v>-49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-121</v>
      </c>
      <c r="BV100" s="46">
        <v>0</v>
      </c>
      <c r="BW100" s="46">
        <v>0</v>
      </c>
      <c r="BX100" s="46">
        <v>0</v>
      </c>
      <c r="BY100" s="25">
        <v>-15033</v>
      </c>
      <c r="BZ100" s="25">
        <v>0</v>
      </c>
      <c r="CA100" s="25">
        <v>0</v>
      </c>
      <c r="CB100" s="25">
        <v>0</v>
      </c>
      <c r="CC100" s="25">
        <v>0</v>
      </c>
      <c r="CD100" s="25">
        <v>0</v>
      </c>
      <c r="CE100" s="25">
        <v>0</v>
      </c>
      <c r="CF100" s="25">
        <v>0</v>
      </c>
      <c r="CG100" s="25">
        <v>-15033</v>
      </c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</row>
    <row r="101" spans="1:99" s="5" customFormat="1" x14ac:dyDescent="0.3">
      <c r="A101" s="66" t="s">
        <v>194</v>
      </c>
      <c r="B101" s="67" t="s">
        <v>195</v>
      </c>
      <c r="C101" s="5">
        <v>96</v>
      </c>
      <c r="D101" s="46">
        <v>209511</v>
      </c>
      <c r="E101" s="46">
        <v>71692</v>
      </c>
      <c r="F101" s="46">
        <v>28408</v>
      </c>
      <c r="G101" s="46">
        <v>8151</v>
      </c>
      <c r="H101" s="46">
        <v>100760</v>
      </c>
      <c r="I101" s="46">
        <v>45134</v>
      </c>
      <c r="J101" s="46">
        <v>7024</v>
      </c>
      <c r="K101" s="46">
        <v>45831</v>
      </c>
      <c r="L101" s="46">
        <v>8424</v>
      </c>
      <c r="M101" s="46">
        <v>66028</v>
      </c>
      <c r="N101" s="46">
        <v>22080</v>
      </c>
      <c r="O101" s="46">
        <v>3582</v>
      </c>
      <c r="P101" s="46">
        <v>16047</v>
      </c>
      <c r="Q101" s="46">
        <v>28404</v>
      </c>
      <c r="R101" s="46">
        <v>15570</v>
      </c>
      <c r="S101" s="46">
        <v>11759</v>
      </c>
      <c r="T101" s="46">
        <v>31780</v>
      </c>
      <c r="U101" s="46">
        <v>10260</v>
      </c>
      <c r="V101" s="25">
        <v>41168.403762685193</v>
      </c>
      <c r="W101" s="25">
        <v>1052.4250000000015</v>
      </c>
      <c r="X101" s="25">
        <v>115.17123731480855</v>
      </c>
      <c r="Y101" s="46">
        <v>11524</v>
      </c>
      <c r="Z101" s="46">
        <v>26696</v>
      </c>
      <c r="AA101" s="46">
        <v>15252</v>
      </c>
      <c r="AB101" s="46">
        <v>10920</v>
      </c>
      <c r="AC101" s="46">
        <v>34789</v>
      </c>
      <c r="AD101" s="46">
        <v>29645</v>
      </c>
      <c r="AE101" s="46">
        <v>24757</v>
      </c>
      <c r="AF101" s="46">
        <v>34177</v>
      </c>
      <c r="AG101" s="46">
        <v>15846</v>
      </c>
      <c r="AH101" s="46">
        <v>33343</v>
      </c>
      <c r="AI101" s="46">
        <v>15600</v>
      </c>
      <c r="AJ101" s="46">
        <v>20034</v>
      </c>
      <c r="AK101" s="46">
        <v>37543</v>
      </c>
      <c r="AL101" s="46">
        <v>23213</v>
      </c>
      <c r="AM101" s="46">
        <v>30066</v>
      </c>
      <c r="AN101" s="46">
        <v>10679</v>
      </c>
      <c r="AO101" s="46">
        <v>32728</v>
      </c>
      <c r="AP101" s="46">
        <v>28515</v>
      </c>
      <c r="AQ101" s="25">
        <v>77305.038900200307</v>
      </c>
      <c r="AR101" s="25">
        <v>11952.856649895524</v>
      </c>
      <c r="AS101" s="25">
        <v>8979.4769317409791</v>
      </c>
      <c r="AT101" s="25">
        <v>22856.627518163183</v>
      </c>
      <c r="AU101" s="46">
        <v>50339</v>
      </c>
      <c r="AV101" s="46">
        <v>243280</v>
      </c>
      <c r="AW101" s="46">
        <v>97878</v>
      </c>
      <c r="AX101" s="46">
        <v>685169</v>
      </c>
      <c r="AY101" s="48">
        <f>AY98+AY99+AY100</f>
        <v>165215</v>
      </c>
      <c r="AZ101" s="46">
        <v>10075</v>
      </c>
      <c r="BA101" s="46">
        <v>9954</v>
      </c>
      <c r="BB101" s="46">
        <v>79420</v>
      </c>
      <c r="BC101" s="46">
        <v>14822</v>
      </c>
      <c r="BD101" s="46">
        <v>130511</v>
      </c>
      <c r="BE101" s="46">
        <v>8612</v>
      </c>
      <c r="BF101" s="46">
        <v>16988</v>
      </c>
      <c r="BG101" s="46">
        <v>69944</v>
      </c>
      <c r="BH101" s="46">
        <v>110549</v>
      </c>
      <c r="BI101" s="46">
        <v>422662</v>
      </c>
      <c r="BJ101" s="46">
        <v>588036</v>
      </c>
      <c r="BK101" s="46">
        <v>156875</v>
      </c>
      <c r="BL101" s="46">
        <v>38999</v>
      </c>
      <c r="BM101" s="46">
        <v>38814</v>
      </c>
      <c r="BN101" s="46">
        <v>30151</v>
      </c>
      <c r="BO101" s="46">
        <v>176659</v>
      </c>
      <c r="BP101" s="46">
        <v>35115</v>
      </c>
      <c r="BQ101" s="46">
        <v>616023</v>
      </c>
      <c r="BR101" s="46">
        <v>295133</v>
      </c>
      <c r="BS101" s="46">
        <v>102884</v>
      </c>
      <c r="BT101" s="46">
        <v>134229</v>
      </c>
      <c r="BU101" s="46">
        <v>169778</v>
      </c>
      <c r="BV101" s="46">
        <v>22984</v>
      </c>
      <c r="BW101" s="46">
        <v>86399</v>
      </c>
      <c r="BX101" s="46">
        <v>74451</v>
      </c>
      <c r="BY101" s="25">
        <v>6011150</v>
      </c>
      <c r="BZ101" s="25">
        <v>0</v>
      </c>
      <c r="CA101" s="25">
        <v>0</v>
      </c>
      <c r="CB101" s="25">
        <v>0</v>
      </c>
      <c r="CC101" s="25">
        <v>0</v>
      </c>
      <c r="CD101" s="25">
        <v>0</v>
      </c>
      <c r="CE101" s="25">
        <v>0</v>
      </c>
      <c r="CF101" s="25">
        <v>0</v>
      </c>
      <c r="CG101" s="25">
        <v>6011150</v>
      </c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</row>
    <row r="102" spans="1:99" s="5" customFormat="1" x14ac:dyDescent="0.3">
      <c r="A102" s="28" t="s">
        <v>196</v>
      </c>
      <c r="B102" s="14" t="s">
        <v>197</v>
      </c>
      <c r="C102" s="5">
        <v>97</v>
      </c>
      <c r="D102" s="46">
        <v>398037</v>
      </c>
      <c r="E102" s="46">
        <v>151959</v>
      </c>
      <c r="F102" s="46">
        <v>37870</v>
      </c>
      <c r="G102" s="46">
        <v>20011</v>
      </c>
      <c r="H102" s="46">
        <v>225938</v>
      </c>
      <c r="I102" s="46">
        <v>92326</v>
      </c>
      <c r="J102" s="46">
        <v>18273</v>
      </c>
      <c r="K102" s="46">
        <v>292406</v>
      </c>
      <c r="L102" s="46">
        <v>51555</v>
      </c>
      <c r="M102" s="46">
        <v>324943</v>
      </c>
      <c r="N102" s="46">
        <v>78544</v>
      </c>
      <c r="O102" s="46">
        <v>15694</v>
      </c>
      <c r="P102" s="46">
        <v>54793</v>
      </c>
      <c r="Q102" s="46">
        <v>66432</v>
      </c>
      <c r="R102" s="46">
        <v>43848</v>
      </c>
      <c r="S102" s="46">
        <v>32687</v>
      </c>
      <c r="T102" s="46">
        <v>109595</v>
      </c>
      <c r="U102" s="46">
        <v>21333</v>
      </c>
      <c r="V102" s="25">
        <v>433811.26648911083</v>
      </c>
      <c r="W102" s="25">
        <v>10385.862128765166</v>
      </c>
      <c r="X102" s="25">
        <v>3303.8713821240121</v>
      </c>
      <c r="Y102" s="46">
        <v>54637</v>
      </c>
      <c r="Z102" s="46">
        <v>179506</v>
      </c>
      <c r="AA102" s="46">
        <v>88308</v>
      </c>
      <c r="AB102" s="46">
        <v>50176</v>
      </c>
      <c r="AC102" s="46">
        <v>76244</v>
      </c>
      <c r="AD102" s="46">
        <v>121217</v>
      </c>
      <c r="AE102" s="46">
        <v>83888</v>
      </c>
      <c r="AF102" s="46">
        <v>150065</v>
      </c>
      <c r="AG102" s="46">
        <v>73148</v>
      </c>
      <c r="AH102" s="46">
        <v>101954</v>
      </c>
      <c r="AI102" s="46">
        <v>103544</v>
      </c>
      <c r="AJ102" s="46">
        <v>79945</v>
      </c>
      <c r="AK102" s="46">
        <v>129313</v>
      </c>
      <c r="AL102" s="46">
        <v>187915</v>
      </c>
      <c r="AM102" s="46">
        <v>105992</v>
      </c>
      <c r="AN102" s="46">
        <v>41813</v>
      </c>
      <c r="AO102" s="46">
        <v>75235</v>
      </c>
      <c r="AP102" s="46">
        <v>79968</v>
      </c>
      <c r="AQ102" s="25">
        <v>231741.35660714976</v>
      </c>
      <c r="AR102" s="25">
        <v>34484.752941129023</v>
      </c>
      <c r="AS102" s="25">
        <v>16753.735752267654</v>
      </c>
      <c r="AT102" s="25">
        <v>40159.15469945356</v>
      </c>
      <c r="AU102" s="46">
        <v>82220</v>
      </c>
      <c r="AV102" s="46">
        <v>552073</v>
      </c>
      <c r="AW102" s="46">
        <v>175093</v>
      </c>
      <c r="AX102" s="46">
        <v>1120579</v>
      </c>
      <c r="AY102" s="48">
        <f>AY101+AY88</f>
        <v>375440.95652151643</v>
      </c>
      <c r="AZ102" s="46">
        <v>23042</v>
      </c>
      <c r="BA102" s="46">
        <v>44807</v>
      </c>
      <c r="BB102" s="46">
        <v>138844</v>
      </c>
      <c r="BC102" s="46">
        <v>27787</v>
      </c>
      <c r="BD102" s="46">
        <v>276938</v>
      </c>
      <c r="BE102" s="46">
        <v>17903</v>
      </c>
      <c r="BF102" s="46">
        <v>43874</v>
      </c>
      <c r="BG102" s="46">
        <v>166879</v>
      </c>
      <c r="BH102" s="46">
        <v>167410</v>
      </c>
      <c r="BI102" s="46">
        <v>649009</v>
      </c>
      <c r="BJ102" s="46">
        <v>639752</v>
      </c>
      <c r="BK102" s="46">
        <v>228613</v>
      </c>
      <c r="BL102" s="46">
        <v>62891</v>
      </c>
      <c r="BM102" s="46">
        <v>104820</v>
      </c>
      <c r="BN102" s="46">
        <v>48479</v>
      </c>
      <c r="BO102" s="46">
        <v>261715</v>
      </c>
      <c r="BP102" s="46">
        <v>43096</v>
      </c>
      <c r="BQ102" s="46">
        <v>858764</v>
      </c>
      <c r="BR102" s="46">
        <v>351095</v>
      </c>
      <c r="BS102" s="46">
        <v>143437</v>
      </c>
      <c r="BT102" s="46">
        <v>202716</v>
      </c>
      <c r="BU102" s="46">
        <v>302873</v>
      </c>
      <c r="BV102" s="46">
        <v>40366</v>
      </c>
      <c r="BW102" s="46">
        <v>171919</v>
      </c>
      <c r="BX102" s="46">
        <v>74451</v>
      </c>
      <c r="BY102" s="25">
        <v>12010010</v>
      </c>
      <c r="BZ102" s="25">
        <v>0</v>
      </c>
      <c r="CA102" s="25">
        <v>0</v>
      </c>
      <c r="CB102" s="25">
        <v>0</v>
      </c>
      <c r="CC102" s="25">
        <v>0</v>
      </c>
      <c r="CD102" s="25">
        <v>0</v>
      </c>
      <c r="CE102" s="25">
        <v>0</v>
      </c>
      <c r="CF102" s="25">
        <v>0</v>
      </c>
      <c r="CG102" s="25">
        <v>12010010</v>
      </c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</row>
    <row r="103" spans="1:99" s="5" customFormat="1" x14ac:dyDescent="0.3">
      <c r="A103" s="28"/>
      <c r="B103" s="14" t="s">
        <v>198</v>
      </c>
      <c r="C103" s="5">
        <v>98</v>
      </c>
      <c r="D103" s="25">
        <v>6687599</v>
      </c>
      <c r="E103" s="25">
        <v>5891326</v>
      </c>
      <c r="F103" s="46">
        <v>801096</v>
      </c>
      <c r="G103" s="25">
        <v>118276</v>
      </c>
      <c r="H103" s="25">
        <v>50144</v>
      </c>
      <c r="I103" s="25">
        <v>35440</v>
      </c>
      <c r="J103" s="25">
        <v>28949</v>
      </c>
      <c r="K103" s="25">
        <v>765202</v>
      </c>
      <c r="L103" s="25">
        <v>156442</v>
      </c>
      <c r="M103" s="25">
        <v>1285134</v>
      </c>
      <c r="N103" s="25">
        <v>190956</v>
      </c>
      <c r="O103" s="25">
        <v>17784</v>
      </c>
      <c r="P103" s="25">
        <v>632157</v>
      </c>
      <c r="Q103" s="25">
        <v>1676586</v>
      </c>
      <c r="R103" s="25">
        <v>468535</v>
      </c>
      <c r="S103" s="25">
        <v>376397</v>
      </c>
      <c r="T103" s="25">
        <v>201777</v>
      </c>
      <c r="U103" s="25">
        <v>180593</v>
      </c>
      <c r="V103" s="25">
        <v>18842.967500000002</v>
      </c>
      <c r="W103" s="25">
        <v>2617.3804999999988</v>
      </c>
      <c r="X103" s="25">
        <v>260.65199999999999</v>
      </c>
      <c r="Y103" s="25">
        <v>98255</v>
      </c>
      <c r="Z103" s="25">
        <v>92285</v>
      </c>
      <c r="AA103" s="25">
        <v>85311</v>
      </c>
      <c r="AB103" s="25">
        <v>137454</v>
      </c>
      <c r="AC103" s="25">
        <v>104114</v>
      </c>
      <c r="AD103" s="25">
        <v>444627</v>
      </c>
      <c r="AE103" s="25">
        <v>563545</v>
      </c>
      <c r="AF103" s="25">
        <v>122810</v>
      </c>
      <c r="AG103" s="25">
        <v>100208</v>
      </c>
      <c r="AH103" s="25">
        <v>669483</v>
      </c>
      <c r="AI103" s="25">
        <v>127233</v>
      </c>
      <c r="AJ103" s="25">
        <v>198332</v>
      </c>
      <c r="AK103" s="25">
        <v>378379</v>
      </c>
      <c r="AL103" s="25">
        <v>160623</v>
      </c>
      <c r="AM103" s="25">
        <v>305020</v>
      </c>
      <c r="AN103" s="25">
        <v>81338</v>
      </c>
      <c r="AO103" s="25">
        <v>744311</v>
      </c>
      <c r="AP103" s="25">
        <v>532601</v>
      </c>
      <c r="AQ103" s="25">
        <v>102497.99157891489</v>
      </c>
      <c r="AR103" s="25">
        <v>16271.463246158866</v>
      </c>
      <c r="AS103" s="25">
        <v>12467.511832466309</v>
      </c>
      <c r="AT103" s="25">
        <v>27161.033342459919</v>
      </c>
      <c r="AU103" s="25">
        <v>563905</v>
      </c>
      <c r="AV103" s="25">
        <v>7617875</v>
      </c>
      <c r="AW103" s="25">
        <v>2968849</v>
      </c>
      <c r="AX103" s="25">
        <v>16293655</v>
      </c>
      <c r="AY103" s="40">
        <v>4076625</v>
      </c>
      <c r="AZ103" s="25">
        <v>52733</v>
      </c>
      <c r="BA103" s="25">
        <v>60529</v>
      </c>
      <c r="BB103" s="25">
        <v>808476</v>
      </c>
      <c r="BC103" s="25">
        <v>438611</v>
      </c>
      <c r="BD103" s="25">
        <v>5622208</v>
      </c>
      <c r="BE103" s="25">
        <v>136112</v>
      </c>
      <c r="BF103" s="25">
        <v>166605</v>
      </c>
      <c r="BG103" s="25">
        <v>252106</v>
      </c>
      <c r="BH103" s="25">
        <v>752017</v>
      </c>
      <c r="BI103" s="25">
        <v>1241143</v>
      </c>
      <c r="BJ103" s="25">
        <v>466409</v>
      </c>
      <c r="BK103" s="25">
        <v>1887743</v>
      </c>
      <c r="BL103" s="25">
        <v>630552</v>
      </c>
      <c r="BM103" s="25">
        <v>613009</v>
      </c>
      <c r="BN103" s="25">
        <v>298455</v>
      </c>
      <c r="BO103" s="25">
        <v>4178701</v>
      </c>
      <c r="BP103" s="25">
        <v>781913</v>
      </c>
      <c r="BQ103" s="25">
        <v>4825230</v>
      </c>
      <c r="BR103" s="25">
        <v>4202039</v>
      </c>
      <c r="BS103" s="25">
        <v>2878667</v>
      </c>
      <c r="BT103" s="25">
        <v>2218572</v>
      </c>
      <c r="BU103" s="25">
        <v>3428002</v>
      </c>
      <c r="BV103" s="25">
        <v>1122849</v>
      </c>
      <c r="BW103" s="25">
        <v>4502808</v>
      </c>
      <c r="BX103" s="25">
        <v>6563436</v>
      </c>
      <c r="BY103" s="25">
        <v>104340275</v>
      </c>
      <c r="BZ103" s="25">
        <v>0</v>
      </c>
      <c r="CA103" s="25">
        <v>0</v>
      </c>
      <c r="CB103" s="25">
        <v>0</v>
      </c>
      <c r="CC103" s="25">
        <v>0</v>
      </c>
      <c r="CD103" s="25">
        <v>0</v>
      </c>
      <c r="CE103" s="25">
        <v>0</v>
      </c>
      <c r="CF103" s="25">
        <v>0</v>
      </c>
      <c r="CG103" s="25">
        <v>104340275</v>
      </c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</row>
    <row r="105" spans="1:99" x14ac:dyDescent="0.3">
      <c r="AY105" s="29"/>
    </row>
    <row r="106" spans="1:99" x14ac:dyDescent="0.3">
      <c r="AY106" s="29"/>
    </row>
    <row r="108" spans="1:99" x14ac:dyDescent="0.3">
      <c r="AY108" s="29"/>
    </row>
  </sheetData>
  <mergeCells count="2">
    <mergeCell ref="A3:C3"/>
    <mergeCell ref="A4:C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AAB4B-F807-4758-BBDC-4D7A32232F99}">
  <sheetPr codeName="Planilha4"/>
  <dimension ref="A1:CU108"/>
  <sheetViews>
    <sheetView showGridLines="0" zoomScaleNormal="100" workbookViewId="0">
      <pane xSplit="2" ySplit="4" topLeftCell="AX86" activePane="bottomRight" state="frozen"/>
      <selection pane="topRight" activeCell="C1" sqref="C1"/>
      <selection pane="bottomLeft" activeCell="A7" sqref="A7"/>
      <selection pane="bottomRight" activeCell="AY102" sqref="AY102"/>
    </sheetView>
  </sheetViews>
  <sheetFormatPr defaultRowHeight="14.4" x14ac:dyDescent="0.3"/>
  <cols>
    <col min="1" max="1" width="9.44140625" style="33" customWidth="1"/>
    <col min="2" max="2" width="32.77734375" customWidth="1"/>
    <col min="4" max="5" width="11.6640625" bestFit="1" customWidth="1"/>
    <col min="6" max="8" width="10.109375" bestFit="1" customWidth="1"/>
    <col min="9" max="10" width="9.109375" bestFit="1" customWidth="1"/>
    <col min="11" max="12" width="10.109375" bestFit="1" customWidth="1"/>
    <col min="13" max="13" width="11.6640625" bestFit="1" customWidth="1"/>
    <col min="14" max="14" width="10.109375" bestFit="1" customWidth="1"/>
    <col min="15" max="15" width="9.109375" bestFit="1" customWidth="1"/>
    <col min="16" max="16" width="10.109375" bestFit="1" customWidth="1"/>
    <col min="17" max="17" width="11.6640625" bestFit="1" customWidth="1"/>
    <col min="18" max="22" width="10.109375" bestFit="1" customWidth="1"/>
    <col min="23" max="23" width="9.109375" bestFit="1" customWidth="1"/>
    <col min="24" max="24" width="9" bestFit="1" customWidth="1"/>
    <col min="25" max="25" width="9.109375" bestFit="1" customWidth="1"/>
    <col min="26" max="26" width="10.109375" bestFit="1" customWidth="1"/>
    <col min="27" max="27" width="9.109375" bestFit="1" customWidth="1"/>
    <col min="28" max="39" width="10.109375" bestFit="1" customWidth="1"/>
    <col min="40" max="40" width="9.109375" bestFit="1" customWidth="1"/>
    <col min="41" max="43" width="10.109375" bestFit="1" customWidth="1"/>
    <col min="44" max="46" width="9.109375" bestFit="1" customWidth="1"/>
    <col min="47" max="47" width="10.109375" bestFit="1" customWidth="1"/>
    <col min="48" max="49" width="11.6640625" bestFit="1" customWidth="1"/>
    <col min="50" max="50" width="12.6640625" bestFit="1" customWidth="1"/>
    <col min="51" max="51" width="11.6640625" bestFit="1" customWidth="1"/>
    <col min="52" max="53" width="9.109375" bestFit="1" customWidth="1"/>
    <col min="54" max="55" width="10.109375" bestFit="1" customWidth="1"/>
    <col min="56" max="56" width="11.6640625" bestFit="1" customWidth="1"/>
    <col min="57" max="60" width="10.109375" bestFit="1" customWidth="1"/>
    <col min="61" max="61" width="11.6640625" bestFit="1" customWidth="1"/>
    <col min="62" max="62" width="10.109375" bestFit="1" customWidth="1"/>
    <col min="63" max="63" width="11.6640625" bestFit="1" customWidth="1"/>
    <col min="64" max="66" width="10.109375" bestFit="1" customWidth="1"/>
    <col min="67" max="67" width="11.6640625" bestFit="1" customWidth="1"/>
    <col min="68" max="68" width="10.109375" bestFit="1" customWidth="1"/>
    <col min="69" max="76" width="11.6640625" bestFit="1" customWidth="1"/>
    <col min="77" max="77" width="13.77734375" bestFit="1" customWidth="1"/>
    <col min="78" max="79" width="11.6640625" bestFit="1" customWidth="1"/>
    <col min="80" max="80" width="10.109375" bestFit="1" customWidth="1"/>
    <col min="81" max="82" width="11.6640625" bestFit="1" customWidth="1"/>
    <col min="83" max="83" width="9.77734375" bestFit="1" customWidth="1"/>
    <col min="84" max="84" width="11.6640625" bestFit="1" customWidth="1"/>
    <col min="85" max="85" width="13.77734375" bestFit="1" customWidth="1"/>
    <col min="87" max="87" width="16.33203125" customWidth="1"/>
  </cols>
  <sheetData>
    <row r="1" spans="1:99" x14ac:dyDescent="0.3">
      <c r="A1" s="33" t="s">
        <v>0</v>
      </c>
    </row>
    <row r="3" spans="1:99" s="5" customFormat="1" x14ac:dyDescent="0.3">
      <c r="A3" s="75" t="s">
        <v>83</v>
      </c>
      <c r="B3" s="75"/>
      <c r="C3" s="75"/>
      <c r="D3" s="6" t="s">
        <v>10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  <c r="J3" s="6" t="s">
        <v>16</v>
      </c>
      <c r="K3" s="6" t="s">
        <v>17</v>
      </c>
      <c r="L3" s="6" t="s">
        <v>18</v>
      </c>
      <c r="M3" s="6" t="s">
        <v>19</v>
      </c>
      <c r="N3" s="6" t="s">
        <v>20</v>
      </c>
      <c r="O3" s="6" t="s">
        <v>21</v>
      </c>
      <c r="P3" s="6" t="s">
        <v>22</v>
      </c>
      <c r="Q3" s="6" t="s">
        <v>23</v>
      </c>
      <c r="R3" s="6" t="s">
        <v>24</v>
      </c>
      <c r="S3" s="6" t="s">
        <v>25</v>
      </c>
      <c r="T3" s="6" t="s">
        <v>26</v>
      </c>
      <c r="U3" s="6" t="s">
        <v>27</v>
      </c>
      <c r="V3" s="6" t="s">
        <v>28</v>
      </c>
      <c r="W3" s="6" t="s">
        <v>29</v>
      </c>
      <c r="X3" s="6" t="s">
        <v>30</v>
      </c>
      <c r="Y3" s="6" t="s">
        <v>31</v>
      </c>
      <c r="Z3" s="6" t="s">
        <v>32</v>
      </c>
      <c r="AA3" s="6" t="s">
        <v>33</v>
      </c>
      <c r="AB3" s="6" t="s">
        <v>34</v>
      </c>
      <c r="AC3" s="6" t="s">
        <v>35</v>
      </c>
      <c r="AD3" s="6" t="s">
        <v>36</v>
      </c>
      <c r="AE3" s="6" t="s">
        <v>37</v>
      </c>
      <c r="AF3" s="6" t="s">
        <v>38</v>
      </c>
      <c r="AG3" s="6" t="s">
        <v>39</v>
      </c>
      <c r="AH3" s="6" t="s">
        <v>40</v>
      </c>
      <c r="AI3" s="6" t="s">
        <v>41</v>
      </c>
      <c r="AJ3" s="6" t="s">
        <v>42</v>
      </c>
      <c r="AK3" s="6" t="s">
        <v>43</v>
      </c>
      <c r="AL3" s="6" t="s">
        <v>44</v>
      </c>
      <c r="AM3" s="6" t="s">
        <v>45</v>
      </c>
      <c r="AN3" s="6" t="s">
        <v>46</v>
      </c>
      <c r="AO3" s="6" t="s">
        <v>47</v>
      </c>
      <c r="AP3" s="6" t="s">
        <v>48</v>
      </c>
      <c r="AQ3" s="6" t="s">
        <v>49</v>
      </c>
      <c r="AR3" s="6" t="s">
        <v>50</v>
      </c>
      <c r="AS3" s="6" t="s">
        <v>51</v>
      </c>
      <c r="AT3" s="6" t="s">
        <v>52</v>
      </c>
      <c r="AU3" s="6" t="s">
        <v>53</v>
      </c>
      <c r="AV3" s="6" t="s">
        <v>54</v>
      </c>
      <c r="AW3" s="6" t="s">
        <v>55</v>
      </c>
      <c r="AX3" s="6" t="s">
        <v>56</v>
      </c>
      <c r="AY3" s="38" t="s">
        <v>57</v>
      </c>
      <c r="AZ3" s="6" t="s">
        <v>58</v>
      </c>
      <c r="BA3" s="6" t="s">
        <v>59</v>
      </c>
      <c r="BB3" s="6" t="s">
        <v>60</v>
      </c>
      <c r="BC3" s="6" t="s">
        <v>61</v>
      </c>
      <c r="BD3" s="6" t="s">
        <v>62</v>
      </c>
      <c r="BE3" s="6" t="s">
        <v>63</v>
      </c>
      <c r="BF3" s="6" t="s">
        <v>64</v>
      </c>
      <c r="BG3" s="6" t="s">
        <v>65</v>
      </c>
      <c r="BH3" s="6" t="s">
        <v>66</v>
      </c>
      <c r="BI3" s="6" t="s">
        <v>67</v>
      </c>
      <c r="BJ3" s="6" t="s">
        <v>68</v>
      </c>
      <c r="BK3" s="6" t="s">
        <v>69</v>
      </c>
      <c r="BL3" s="6" t="s">
        <v>70</v>
      </c>
      <c r="BM3" s="6" t="s">
        <v>71</v>
      </c>
      <c r="BN3" s="6" t="s">
        <v>72</v>
      </c>
      <c r="BO3" s="6" t="s">
        <v>73</v>
      </c>
      <c r="BP3" s="6" t="s">
        <v>74</v>
      </c>
      <c r="BQ3" s="6" t="s">
        <v>75</v>
      </c>
      <c r="BR3" s="6" t="s">
        <v>76</v>
      </c>
      <c r="BS3" s="6" t="s">
        <v>77</v>
      </c>
      <c r="BT3" s="6" t="s">
        <v>78</v>
      </c>
      <c r="BU3" s="6" t="s">
        <v>79</v>
      </c>
      <c r="BV3" s="6" t="s">
        <v>80</v>
      </c>
      <c r="BW3" s="6" t="s">
        <v>81</v>
      </c>
      <c r="BX3" s="6" t="s">
        <v>82</v>
      </c>
      <c r="BY3" s="3"/>
      <c r="BZ3" s="4"/>
      <c r="CA3" s="4"/>
      <c r="CB3" s="7"/>
      <c r="CC3" s="3"/>
      <c r="CD3" s="3"/>
      <c r="CE3" s="8"/>
      <c r="CF3" s="3"/>
      <c r="CG3" s="3"/>
      <c r="CH3"/>
      <c r="CI3"/>
      <c r="CJ3"/>
      <c r="CK3"/>
      <c r="CL3"/>
      <c r="CM3"/>
      <c r="CN3"/>
      <c r="CO3"/>
      <c r="CP3"/>
      <c r="CQ3"/>
      <c r="CR3"/>
      <c r="CS3"/>
      <c r="CT3"/>
      <c r="CU3"/>
    </row>
    <row r="4" spans="1:99" s="18" customFormat="1" ht="36.75" customHeight="1" x14ac:dyDescent="0.3">
      <c r="A4" s="73" t="s">
        <v>199</v>
      </c>
      <c r="B4" s="73"/>
      <c r="C4" s="74"/>
      <c r="D4" s="10" t="s">
        <v>84</v>
      </c>
      <c r="E4" s="10" t="s">
        <v>85</v>
      </c>
      <c r="F4" s="10" t="s">
        <v>86</v>
      </c>
      <c r="G4" s="10" t="s">
        <v>87</v>
      </c>
      <c r="H4" s="21" t="s">
        <v>88</v>
      </c>
      <c r="I4" s="10" t="s">
        <v>89</v>
      </c>
      <c r="J4" s="10" t="s">
        <v>90</v>
      </c>
      <c r="K4" s="10" t="s">
        <v>91</v>
      </c>
      <c r="L4" s="10" t="s">
        <v>92</v>
      </c>
      <c r="M4" s="10" t="s">
        <v>93</v>
      </c>
      <c r="N4" s="10" t="s">
        <v>94</v>
      </c>
      <c r="O4" s="10" t="s">
        <v>95</v>
      </c>
      <c r="P4" s="10" t="s">
        <v>96</v>
      </c>
      <c r="Q4" s="10" t="s">
        <v>97</v>
      </c>
      <c r="R4" s="10" t="s">
        <v>98</v>
      </c>
      <c r="S4" s="10" t="s">
        <v>99</v>
      </c>
      <c r="T4" s="10" t="s">
        <v>100</v>
      </c>
      <c r="U4" s="10" t="s">
        <v>101</v>
      </c>
      <c r="V4" s="21" t="s">
        <v>102</v>
      </c>
      <c r="W4" s="21" t="s">
        <v>103</v>
      </c>
      <c r="X4" s="10" t="s">
        <v>104</v>
      </c>
      <c r="Y4" s="21" t="s">
        <v>105</v>
      </c>
      <c r="Z4" s="10" t="s">
        <v>106</v>
      </c>
      <c r="AA4" s="10" t="s">
        <v>107</v>
      </c>
      <c r="AB4" s="10" t="s">
        <v>108</v>
      </c>
      <c r="AC4" s="10" t="s">
        <v>109</v>
      </c>
      <c r="AD4" s="10" t="s">
        <v>110</v>
      </c>
      <c r="AE4" s="10" t="s">
        <v>111</v>
      </c>
      <c r="AF4" s="10" t="s">
        <v>112</v>
      </c>
      <c r="AG4" s="10" t="s">
        <v>113</v>
      </c>
      <c r="AH4" s="10" t="s">
        <v>114</v>
      </c>
      <c r="AI4" s="10" t="s">
        <v>115</v>
      </c>
      <c r="AJ4" s="10" t="s">
        <v>116</v>
      </c>
      <c r="AK4" s="10" t="s">
        <v>117</v>
      </c>
      <c r="AL4" s="10" t="s">
        <v>118</v>
      </c>
      <c r="AM4" s="10" t="s">
        <v>119</v>
      </c>
      <c r="AN4" s="10" t="s">
        <v>120</v>
      </c>
      <c r="AO4" s="10" t="s">
        <v>121</v>
      </c>
      <c r="AP4" s="10" t="s">
        <v>122</v>
      </c>
      <c r="AQ4" s="21" t="s">
        <v>123</v>
      </c>
      <c r="AR4" s="21" t="s">
        <v>124</v>
      </c>
      <c r="AS4" s="21" t="s">
        <v>125</v>
      </c>
      <c r="AT4" s="21" t="s">
        <v>126</v>
      </c>
      <c r="AU4" s="10" t="s">
        <v>127</v>
      </c>
      <c r="AV4" s="10" t="s">
        <v>128</v>
      </c>
      <c r="AW4" s="10" t="s">
        <v>129</v>
      </c>
      <c r="AX4" s="10" t="s">
        <v>130</v>
      </c>
      <c r="AY4" s="32" t="s">
        <v>131</v>
      </c>
      <c r="AZ4" s="10" t="s">
        <v>132</v>
      </c>
      <c r="BA4" s="10" t="s">
        <v>133</v>
      </c>
      <c r="BB4" s="10" t="s">
        <v>134</v>
      </c>
      <c r="BC4" s="10" t="s">
        <v>135</v>
      </c>
      <c r="BD4" s="10" t="s">
        <v>136</v>
      </c>
      <c r="BE4" s="10" t="s">
        <v>137</v>
      </c>
      <c r="BF4" s="10" t="s">
        <v>138</v>
      </c>
      <c r="BG4" s="10" t="s">
        <v>139</v>
      </c>
      <c r="BH4" s="10" t="s">
        <v>140</v>
      </c>
      <c r="BI4" s="10" t="s">
        <v>141</v>
      </c>
      <c r="BJ4" s="10" t="s">
        <v>142</v>
      </c>
      <c r="BK4" s="10" t="s">
        <v>143</v>
      </c>
      <c r="BL4" s="10" t="s">
        <v>144</v>
      </c>
      <c r="BM4" s="10" t="s">
        <v>145</v>
      </c>
      <c r="BN4" s="10" t="s">
        <v>146</v>
      </c>
      <c r="BO4" s="10" t="s">
        <v>147</v>
      </c>
      <c r="BP4" s="10" t="s">
        <v>148</v>
      </c>
      <c r="BQ4" s="10" t="s">
        <v>149</v>
      </c>
      <c r="BR4" s="10" t="s">
        <v>150</v>
      </c>
      <c r="BS4" s="10" t="s">
        <v>151</v>
      </c>
      <c r="BT4" s="10" t="s">
        <v>152</v>
      </c>
      <c r="BU4" s="10" t="s">
        <v>153</v>
      </c>
      <c r="BV4" s="10" t="s">
        <v>154</v>
      </c>
      <c r="BW4" s="10" t="s">
        <v>155</v>
      </c>
      <c r="BX4" s="10" t="s">
        <v>156</v>
      </c>
      <c r="BY4" s="10" t="s">
        <v>157</v>
      </c>
      <c r="BZ4" s="10" t="s">
        <v>158</v>
      </c>
      <c r="CA4" s="10" t="s">
        <v>159</v>
      </c>
      <c r="CB4" s="10" t="s">
        <v>160</v>
      </c>
      <c r="CC4" s="10" t="s">
        <v>161</v>
      </c>
      <c r="CD4" s="10" t="s">
        <v>162</v>
      </c>
      <c r="CE4" s="10" t="s">
        <v>163</v>
      </c>
      <c r="CF4" s="10" t="s">
        <v>164</v>
      </c>
      <c r="CG4" s="22" t="s">
        <v>165</v>
      </c>
      <c r="CH4"/>
      <c r="CI4" s="23" t="s">
        <v>217</v>
      </c>
      <c r="CJ4"/>
      <c r="CK4"/>
      <c r="CL4"/>
      <c r="CM4"/>
      <c r="CN4"/>
      <c r="CO4"/>
      <c r="CP4"/>
      <c r="CQ4"/>
      <c r="CR4"/>
      <c r="CS4"/>
      <c r="CT4"/>
      <c r="CU4"/>
    </row>
    <row r="5" spans="1:99" s="5" customFormat="1" x14ac:dyDescent="0.3">
      <c r="A5" s="28"/>
      <c r="B5" s="5" t="s">
        <v>216</v>
      </c>
      <c r="C5" s="5">
        <v>0</v>
      </c>
      <c r="D5" s="25">
        <v>1</v>
      </c>
      <c r="E5" s="25">
        <v>2</v>
      </c>
      <c r="F5" s="25">
        <v>3</v>
      </c>
      <c r="G5" s="25">
        <v>4</v>
      </c>
      <c r="H5" s="25">
        <v>5</v>
      </c>
      <c r="I5" s="25">
        <v>6</v>
      </c>
      <c r="J5" s="25">
        <v>7</v>
      </c>
      <c r="K5" s="25">
        <v>8</v>
      </c>
      <c r="L5" s="25">
        <v>9</v>
      </c>
      <c r="M5" s="25">
        <v>10</v>
      </c>
      <c r="N5" s="25">
        <v>11</v>
      </c>
      <c r="O5" s="25">
        <v>12</v>
      </c>
      <c r="P5" s="25">
        <v>13</v>
      </c>
      <c r="Q5" s="25">
        <v>14</v>
      </c>
      <c r="R5" s="25">
        <v>15</v>
      </c>
      <c r="S5" s="25">
        <v>16</v>
      </c>
      <c r="T5" s="25">
        <v>17</v>
      </c>
      <c r="U5" s="25">
        <v>18</v>
      </c>
      <c r="V5" s="25">
        <v>19</v>
      </c>
      <c r="W5" s="25">
        <v>20</v>
      </c>
      <c r="X5" s="25">
        <v>21</v>
      </c>
      <c r="Y5" s="25">
        <v>22</v>
      </c>
      <c r="Z5" s="25">
        <v>23</v>
      </c>
      <c r="AA5" s="25">
        <v>24</v>
      </c>
      <c r="AB5" s="25">
        <v>25</v>
      </c>
      <c r="AC5" s="25">
        <v>26</v>
      </c>
      <c r="AD5" s="25">
        <v>27</v>
      </c>
      <c r="AE5" s="25">
        <v>28</v>
      </c>
      <c r="AF5" s="25">
        <v>29</v>
      </c>
      <c r="AG5" s="25">
        <v>30</v>
      </c>
      <c r="AH5" s="25">
        <v>31</v>
      </c>
      <c r="AI5" s="25">
        <v>32</v>
      </c>
      <c r="AJ5" s="25">
        <v>33</v>
      </c>
      <c r="AK5" s="25">
        <v>34</v>
      </c>
      <c r="AL5" s="25">
        <v>35</v>
      </c>
      <c r="AM5" s="25">
        <v>36</v>
      </c>
      <c r="AN5" s="25">
        <v>37</v>
      </c>
      <c r="AO5" s="25">
        <v>38</v>
      </c>
      <c r="AP5" s="25">
        <v>39</v>
      </c>
      <c r="AQ5" s="25">
        <v>40</v>
      </c>
      <c r="AR5" s="25">
        <v>41</v>
      </c>
      <c r="AS5" s="25">
        <v>42</v>
      </c>
      <c r="AT5" s="25">
        <v>43</v>
      </c>
      <c r="AU5" s="25">
        <v>44</v>
      </c>
      <c r="AV5" s="25">
        <v>45</v>
      </c>
      <c r="AW5" s="25">
        <v>46</v>
      </c>
      <c r="AX5" s="25">
        <v>47</v>
      </c>
      <c r="AY5" s="40">
        <v>48</v>
      </c>
      <c r="AZ5" s="25">
        <v>49</v>
      </c>
      <c r="BA5" s="25">
        <v>50</v>
      </c>
      <c r="BB5" s="25">
        <v>51</v>
      </c>
      <c r="BC5" s="25">
        <v>52</v>
      </c>
      <c r="BD5" s="25">
        <v>53</v>
      </c>
      <c r="BE5" s="25">
        <v>54</v>
      </c>
      <c r="BF5" s="25">
        <v>55</v>
      </c>
      <c r="BG5" s="25">
        <v>56</v>
      </c>
      <c r="BH5" s="25">
        <v>57</v>
      </c>
      <c r="BI5" s="25">
        <v>58</v>
      </c>
      <c r="BJ5" s="25">
        <v>59</v>
      </c>
      <c r="BK5" s="25">
        <v>60</v>
      </c>
      <c r="BL5" s="25">
        <v>61</v>
      </c>
      <c r="BM5" s="25">
        <v>62</v>
      </c>
      <c r="BN5" s="25">
        <v>63</v>
      </c>
      <c r="BO5" s="25">
        <v>64</v>
      </c>
      <c r="BP5" s="25">
        <v>65</v>
      </c>
      <c r="BQ5" s="25">
        <v>66</v>
      </c>
      <c r="BR5" s="25">
        <v>67</v>
      </c>
      <c r="BS5" s="25">
        <v>68</v>
      </c>
      <c r="BT5" s="25">
        <v>69</v>
      </c>
      <c r="BU5" s="25">
        <v>70</v>
      </c>
      <c r="BV5" s="25">
        <v>71</v>
      </c>
      <c r="BW5" s="25">
        <v>72</v>
      </c>
      <c r="BX5" s="25">
        <v>73</v>
      </c>
      <c r="BY5" s="25">
        <v>74</v>
      </c>
      <c r="BZ5" s="25">
        <v>75</v>
      </c>
      <c r="CA5" s="25">
        <v>76</v>
      </c>
      <c r="CB5" s="25">
        <v>77</v>
      </c>
      <c r="CC5" s="25">
        <v>78</v>
      </c>
      <c r="CD5" s="25">
        <v>79</v>
      </c>
      <c r="CE5" s="25">
        <v>80</v>
      </c>
      <c r="CF5" s="25">
        <v>81</v>
      </c>
      <c r="CG5" s="25">
        <v>82</v>
      </c>
      <c r="CH5"/>
      <c r="CI5"/>
      <c r="CJ5"/>
      <c r="CK5"/>
      <c r="CL5"/>
      <c r="CM5"/>
      <c r="CN5"/>
      <c r="CO5"/>
      <c r="CP5"/>
      <c r="CQ5"/>
      <c r="CR5"/>
      <c r="CS5"/>
      <c r="CT5"/>
      <c r="CU5"/>
    </row>
    <row r="6" spans="1:99" s="5" customFormat="1" x14ac:dyDescent="0.3">
      <c r="A6" s="35" t="s">
        <v>10</v>
      </c>
      <c r="B6" s="11" t="s">
        <v>84</v>
      </c>
      <c r="C6" s="5">
        <v>1</v>
      </c>
      <c r="D6" s="25">
        <v>8170.3585637550368</v>
      </c>
      <c r="E6" s="25">
        <v>5290.2246154753748</v>
      </c>
      <c r="F6" s="25">
        <v>156.75541627172311</v>
      </c>
      <c r="G6" s="25">
        <v>1.8265936654504866</v>
      </c>
      <c r="H6" s="25">
        <v>9.8692678733555947</v>
      </c>
      <c r="I6" s="25">
        <v>1.1434983751776158</v>
      </c>
      <c r="J6" s="25">
        <v>1.7841451108463606</v>
      </c>
      <c r="K6" s="25">
        <v>7264.3074217892336</v>
      </c>
      <c r="L6" s="25">
        <v>28021.779951859517</v>
      </c>
      <c r="M6" s="25">
        <v>76458.431982105394</v>
      </c>
      <c r="N6" s="25">
        <v>2089.301122965418</v>
      </c>
      <c r="O6" s="25">
        <v>4889.0334562745547</v>
      </c>
      <c r="P6" s="25">
        <v>5526.2619355557763</v>
      </c>
      <c r="Q6" s="25">
        <v>518.70182235905122</v>
      </c>
      <c r="R6" s="25">
        <v>6.6028531108425392</v>
      </c>
      <c r="S6" s="25">
        <v>90.994168979580451</v>
      </c>
      <c r="T6" s="25">
        <v>172.72947782361703</v>
      </c>
      <c r="U6" s="25">
        <v>0.25638422525185894</v>
      </c>
      <c r="V6" s="25">
        <v>8.6760448701173694</v>
      </c>
      <c r="W6" s="25">
        <v>5.1985351458124253E-2</v>
      </c>
      <c r="X6" s="25">
        <v>4.1880585965028361E-2</v>
      </c>
      <c r="Y6" s="25">
        <v>22484.789844317234</v>
      </c>
      <c r="Z6" s="25">
        <v>15.129223292162088</v>
      </c>
      <c r="AA6" s="25">
        <v>18.049511164446795</v>
      </c>
      <c r="AB6" s="25">
        <v>2.2091674518525384</v>
      </c>
      <c r="AC6" s="25">
        <v>13.484793956070876</v>
      </c>
      <c r="AD6" s="25">
        <v>38.146982219297641</v>
      </c>
      <c r="AE6" s="25">
        <v>14.41800402514575</v>
      </c>
      <c r="AF6" s="25">
        <v>42.241869048424284</v>
      </c>
      <c r="AG6" s="25">
        <v>26.216601753861756</v>
      </c>
      <c r="AH6" s="25">
        <v>2.7665426077325765</v>
      </c>
      <c r="AI6" s="25">
        <v>0.27528051354986038</v>
      </c>
      <c r="AJ6" s="25">
        <v>0.30007580998381012</v>
      </c>
      <c r="AK6" s="25">
        <v>0.76078595478699595</v>
      </c>
      <c r="AL6" s="25">
        <v>0.62121564876030877</v>
      </c>
      <c r="AM6" s="25">
        <v>0.40229090929930417</v>
      </c>
      <c r="AN6" s="25">
        <v>0.52416478719133319</v>
      </c>
      <c r="AO6" s="25">
        <v>10.450240451838136</v>
      </c>
      <c r="AP6" s="25">
        <v>6.5167124309798277E-2</v>
      </c>
      <c r="AQ6" s="25">
        <v>0.47598928642375304</v>
      </c>
      <c r="AR6" s="25">
        <v>7.775328236648224E-2</v>
      </c>
      <c r="AS6" s="25">
        <v>5.5707325295208235E-2</v>
      </c>
      <c r="AT6" s="25">
        <v>6.2671932577787817E-2</v>
      </c>
      <c r="AU6" s="25">
        <v>28.709259395886477</v>
      </c>
      <c r="AV6" s="25">
        <v>402.52784558732344</v>
      </c>
      <c r="AW6" s="25">
        <v>2.6558165118985206</v>
      </c>
      <c r="AX6" s="25">
        <v>12090.688466642019</v>
      </c>
      <c r="AY6" s="40">
        <v>0.96387780989135174</v>
      </c>
      <c r="AZ6" s="25">
        <v>2.8456625428414355E-2</v>
      </c>
      <c r="BA6" s="25">
        <v>0.29297864919859229</v>
      </c>
      <c r="BB6" s="25">
        <v>12.456639228872454</v>
      </c>
      <c r="BC6" s="25">
        <v>277.13534060042315</v>
      </c>
      <c r="BD6" s="25">
        <v>4385.9633781037455</v>
      </c>
      <c r="BE6" s="25">
        <v>8.8943907571197967E-2</v>
      </c>
      <c r="BF6" s="25">
        <v>0.61952656697168762</v>
      </c>
      <c r="BG6" s="25">
        <v>44.855834635168591</v>
      </c>
      <c r="BH6" s="25">
        <v>2.1532612042301911</v>
      </c>
      <c r="BI6" s="25">
        <v>14.762971379241696</v>
      </c>
      <c r="BJ6" s="25">
        <v>20.406510384138318</v>
      </c>
      <c r="BK6" s="25">
        <v>7.4743083771072696</v>
      </c>
      <c r="BL6" s="25">
        <v>12.024632225077942</v>
      </c>
      <c r="BM6" s="25">
        <v>0.80278957521532313</v>
      </c>
      <c r="BN6" s="25">
        <v>0.68757086229482445</v>
      </c>
      <c r="BO6" s="25">
        <v>133.6113996922229</v>
      </c>
      <c r="BP6" s="25">
        <v>0.22205855349642836</v>
      </c>
      <c r="BQ6" s="25">
        <v>947.5703167868362</v>
      </c>
      <c r="BR6" s="25">
        <v>357.35735790290295</v>
      </c>
      <c r="BS6" s="25">
        <v>43.808220731163033</v>
      </c>
      <c r="BT6" s="25">
        <v>354.48804759054798</v>
      </c>
      <c r="BU6" s="25">
        <v>180.63426154222449</v>
      </c>
      <c r="BV6" s="25">
        <v>2.8571215276014543</v>
      </c>
      <c r="BW6" s="25">
        <v>249.9117666841272</v>
      </c>
      <c r="BX6" s="25">
        <v>0</v>
      </c>
      <c r="BY6" s="25">
        <v>180926.41543052823</v>
      </c>
      <c r="BZ6" s="25">
        <v>150718.72070721895</v>
      </c>
      <c r="CA6" s="25">
        <v>48.304677811300436</v>
      </c>
      <c r="CB6" s="25">
        <v>0</v>
      </c>
      <c r="CC6" s="25">
        <v>71191.69865990871</v>
      </c>
      <c r="CD6" s="25">
        <v>3188.2578459532156</v>
      </c>
      <c r="CE6" s="25">
        <v>-8036.3973214191938</v>
      </c>
      <c r="CF6" s="25">
        <v>217110.58456947276</v>
      </c>
      <c r="CG6" s="25">
        <v>398037</v>
      </c>
      <c r="CH6"/>
      <c r="CI6">
        <f>CF6/CG6</f>
        <v>0.54545327336270943</v>
      </c>
      <c r="CJ6"/>
      <c r="CK6"/>
      <c r="CL6"/>
      <c r="CM6"/>
      <c r="CN6"/>
      <c r="CO6"/>
      <c r="CP6"/>
      <c r="CQ6"/>
      <c r="CR6"/>
      <c r="CS6"/>
      <c r="CT6"/>
      <c r="CU6"/>
    </row>
    <row r="7" spans="1:99" s="5" customFormat="1" x14ac:dyDescent="0.3">
      <c r="A7" s="35" t="s">
        <v>11</v>
      </c>
      <c r="B7" s="13" t="s">
        <v>85</v>
      </c>
      <c r="C7" s="5">
        <v>2</v>
      </c>
      <c r="D7" s="25">
        <v>1004.9599480586429</v>
      </c>
      <c r="E7" s="25">
        <v>6106.8110826632919</v>
      </c>
      <c r="F7" s="25">
        <v>183.36264177324406</v>
      </c>
      <c r="G7" s="25">
        <v>3.7251917417697502</v>
      </c>
      <c r="H7" s="25">
        <v>22.938999760799192</v>
      </c>
      <c r="I7" s="25">
        <v>1.9494383646877278</v>
      </c>
      <c r="J7" s="25">
        <v>3.2441343482799234</v>
      </c>
      <c r="K7" s="25">
        <v>84046.278778938227</v>
      </c>
      <c r="L7" s="25">
        <v>152.99908415771603</v>
      </c>
      <c r="M7" s="25">
        <v>4376.6754683023546</v>
      </c>
      <c r="N7" s="25">
        <v>64.457871783543212</v>
      </c>
      <c r="O7" s="25">
        <v>192.81142734628352</v>
      </c>
      <c r="P7" s="25">
        <v>250.24140175138066</v>
      </c>
      <c r="Q7" s="25">
        <v>190.38282124822351</v>
      </c>
      <c r="R7" s="25">
        <v>6.6377087169135978</v>
      </c>
      <c r="S7" s="25">
        <v>143.03866277632443</v>
      </c>
      <c r="T7" s="25">
        <v>239.09947093450924</v>
      </c>
      <c r="U7" s="25">
        <v>0.46679487836281836</v>
      </c>
      <c r="V7" s="25">
        <v>0.72657441686736923</v>
      </c>
      <c r="W7" s="25">
        <v>1.8633166065896906E-2</v>
      </c>
      <c r="X7" s="25">
        <v>1.1905970261005054E-4</v>
      </c>
      <c r="Y7" s="25">
        <v>178.77565097574035</v>
      </c>
      <c r="Z7" s="25">
        <v>46.126671784309423</v>
      </c>
      <c r="AA7" s="25">
        <v>7.8961204788321702</v>
      </c>
      <c r="AB7" s="25">
        <v>5.0532194762631137</v>
      </c>
      <c r="AC7" s="25">
        <v>5.4165196403264799</v>
      </c>
      <c r="AD7" s="25">
        <v>52.888428128073755</v>
      </c>
      <c r="AE7" s="25">
        <v>56.619523615988562</v>
      </c>
      <c r="AF7" s="25">
        <v>70.623100029612473</v>
      </c>
      <c r="AG7" s="25">
        <v>49.444453849785951</v>
      </c>
      <c r="AH7" s="25">
        <v>2.5281526123934794</v>
      </c>
      <c r="AI7" s="25">
        <v>0.71683903192758858</v>
      </c>
      <c r="AJ7" s="25">
        <v>0.95724033340132586</v>
      </c>
      <c r="AK7" s="25">
        <v>1.7317396507557885</v>
      </c>
      <c r="AL7" s="25">
        <v>1.2427439826314215</v>
      </c>
      <c r="AM7" s="25">
        <v>0.99247142732795113</v>
      </c>
      <c r="AN7" s="25">
        <v>0.87514562835797638</v>
      </c>
      <c r="AO7" s="25">
        <v>7.2734053036547248</v>
      </c>
      <c r="AP7" s="25">
        <v>0.23085892359978147</v>
      </c>
      <c r="AQ7" s="25">
        <v>0.79136221645248883</v>
      </c>
      <c r="AR7" s="25">
        <v>0.12926973699827596</v>
      </c>
      <c r="AS7" s="25">
        <v>9.2616942598596805E-2</v>
      </c>
      <c r="AT7" s="25">
        <v>0.16790002300394893</v>
      </c>
      <c r="AU7" s="25">
        <v>5.6993906819098523</v>
      </c>
      <c r="AV7" s="25">
        <v>751.86310402788058</v>
      </c>
      <c r="AW7" s="25">
        <v>3.5113748444759909</v>
      </c>
      <c r="AX7" s="25">
        <v>386.7819921050762</v>
      </c>
      <c r="AY7" s="40">
        <v>1.0736839243328027</v>
      </c>
      <c r="AZ7" s="25">
        <v>3.7829303623082386E-2</v>
      </c>
      <c r="BA7" s="25">
        <v>0.34145151276670077</v>
      </c>
      <c r="BB7" s="25">
        <v>22.136467538097708</v>
      </c>
      <c r="BC7" s="25">
        <v>331.24358668682538</v>
      </c>
      <c r="BD7" s="25">
        <v>1919.4590430805827</v>
      </c>
      <c r="BE7" s="25">
        <v>0.2161854615611089</v>
      </c>
      <c r="BF7" s="25">
        <v>1.1913409292001311</v>
      </c>
      <c r="BG7" s="25">
        <v>80.686602968630282</v>
      </c>
      <c r="BH7" s="25">
        <v>4.2899017804822597</v>
      </c>
      <c r="BI7" s="25">
        <v>25.488379421314729</v>
      </c>
      <c r="BJ7" s="25">
        <v>38.429739375891096</v>
      </c>
      <c r="BK7" s="25">
        <v>6.8296279889470402</v>
      </c>
      <c r="BL7" s="25">
        <v>14.525770311032861</v>
      </c>
      <c r="BM7" s="25">
        <v>6.4682791513961932</v>
      </c>
      <c r="BN7" s="25">
        <v>1.1312263065100876</v>
      </c>
      <c r="BO7" s="25">
        <v>36.689298254266326</v>
      </c>
      <c r="BP7" s="25">
        <v>0.34850965765194736</v>
      </c>
      <c r="BQ7" s="25">
        <v>301.7084388258184</v>
      </c>
      <c r="BR7" s="25">
        <v>120.20425464728527</v>
      </c>
      <c r="BS7" s="25">
        <v>17.20442615350531</v>
      </c>
      <c r="BT7" s="25">
        <v>110.89111706924955</v>
      </c>
      <c r="BU7" s="25">
        <v>110.42371512129856</v>
      </c>
      <c r="BV7" s="25">
        <v>3.3228891676786421</v>
      </c>
      <c r="BW7" s="25">
        <v>37.971526631359737</v>
      </c>
      <c r="BX7" s="25">
        <v>0</v>
      </c>
      <c r="BY7" s="25">
        <v>101821.56884090786</v>
      </c>
      <c r="BZ7" s="25">
        <v>7635.5156799557371</v>
      </c>
      <c r="CA7" s="25">
        <v>3.1875318976939022</v>
      </c>
      <c r="CB7" s="25">
        <v>0</v>
      </c>
      <c r="CC7" s="25">
        <v>27053.775013630471</v>
      </c>
      <c r="CD7" s="25">
        <v>16625.080155780848</v>
      </c>
      <c r="CE7" s="25">
        <v>-1180.127222172031</v>
      </c>
      <c r="CF7" s="25">
        <v>50137.431159092717</v>
      </c>
      <c r="CG7" s="25">
        <v>151959</v>
      </c>
      <c r="CH7"/>
      <c r="CI7">
        <f t="shared" ref="CI7:CI70" si="0">CF7/CG7</f>
        <v>0.32994051789688478</v>
      </c>
      <c r="CJ7"/>
      <c r="CK7"/>
      <c r="CL7"/>
      <c r="CM7"/>
      <c r="CN7"/>
      <c r="CO7"/>
      <c r="CP7"/>
      <c r="CQ7"/>
      <c r="CR7"/>
      <c r="CS7"/>
      <c r="CT7"/>
      <c r="CU7"/>
    </row>
    <row r="8" spans="1:99" s="5" customFormat="1" x14ac:dyDescent="0.3">
      <c r="A8" s="35" t="s">
        <v>12</v>
      </c>
      <c r="B8" s="11" t="s">
        <v>86</v>
      </c>
      <c r="C8" s="5">
        <v>3</v>
      </c>
      <c r="D8" s="25">
        <v>1414.9162471721204</v>
      </c>
      <c r="E8" s="25">
        <v>1437.2819167483406</v>
      </c>
      <c r="F8" s="25">
        <v>2063.4116713835965</v>
      </c>
      <c r="G8" s="25">
        <v>1.7907537375428697</v>
      </c>
      <c r="H8" s="25">
        <v>1.8236877020896338</v>
      </c>
      <c r="I8" s="25">
        <v>0.17010572661289142</v>
      </c>
      <c r="J8" s="25">
        <v>0.24112750829763532</v>
      </c>
      <c r="K8" s="25">
        <v>1830.0669762429854</v>
      </c>
      <c r="L8" s="25">
        <v>0.62916373472518561</v>
      </c>
      <c r="M8" s="25">
        <v>261.16769046085176</v>
      </c>
      <c r="N8" s="25">
        <v>13.874287846282671</v>
      </c>
      <c r="O8" s="25">
        <v>13.08516513910569</v>
      </c>
      <c r="P8" s="25">
        <v>25.024371787544709</v>
      </c>
      <c r="Q8" s="25">
        <v>8.2471144472668492</v>
      </c>
      <c r="R8" s="25">
        <v>6.7889500096319866</v>
      </c>
      <c r="S8" s="25">
        <v>1995.4594845151778</v>
      </c>
      <c r="T8" s="25">
        <v>3242.7460529296191</v>
      </c>
      <c r="U8" s="25">
        <v>3.5396002003790672E-2</v>
      </c>
      <c r="V8" s="25">
        <v>5.6630046727920477E-2</v>
      </c>
      <c r="W8" s="25">
        <v>1.4522904199549627E-3</v>
      </c>
      <c r="X8" s="25">
        <v>9.2796503230724744E-6</v>
      </c>
      <c r="Y8" s="25">
        <v>3.6633905640805215</v>
      </c>
      <c r="Z8" s="25">
        <v>162.13204369687799</v>
      </c>
      <c r="AA8" s="25">
        <v>2.8177034898405644</v>
      </c>
      <c r="AB8" s="25">
        <v>8.4317616603028514E-2</v>
      </c>
      <c r="AC8" s="25">
        <v>0.12671282335646378</v>
      </c>
      <c r="AD8" s="25">
        <v>713.86171172111449</v>
      </c>
      <c r="AE8" s="25">
        <v>59.563968889639597</v>
      </c>
      <c r="AF8" s="25">
        <v>910.44283339304809</v>
      </c>
      <c r="AG8" s="25">
        <v>3.7053404847024716</v>
      </c>
      <c r="AH8" s="25">
        <v>5.5140516538674165</v>
      </c>
      <c r="AI8" s="25">
        <v>6.9501985583974399E-2</v>
      </c>
      <c r="AJ8" s="25">
        <v>8.8522362408470917E-2</v>
      </c>
      <c r="AK8" s="25">
        <v>0.17941950541561633</v>
      </c>
      <c r="AL8" s="25">
        <v>0.11471484227311096</v>
      </c>
      <c r="AM8" s="25">
        <v>9.3657763570745303E-2</v>
      </c>
      <c r="AN8" s="25">
        <v>7.69524083446088E-2</v>
      </c>
      <c r="AO8" s="25">
        <v>2.7733870366838729</v>
      </c>
      <c r="AP8" s="25">
        <v>2.5223990108438052E-2</v>
      </c>
      <c r="AQ8" s="25">
        <v>9.4589682079335602E-2</v>
      </c>
      <c r="AR8" s="25">
        <v>1.5451310500973812E-2</v>
      </c>
      <c r="AS8" s="25">
        <v>1.1070287377167583E-2</v>
      </c>
      <c r="AT8" s="25">
        <v>1.9459657359411225E-2</v>
      </c>
      <c r="AU8" s="25">
        <v>0.42571360073375503</v>
      </c>
      <c r="AV8" s="25">
        <v>759.42361424331023</v>
      </c>
      <c r="AW8" s="25">
        <v>0.27333370517085248</v>
      </c>
      <c r="AX8" s="25">
        <v>161.92522609786855</v>
      </c>
      <c r="AY8" s="40">
        <v>9.9740227752357191E-2</v>
      </c>
      <c r="AZ8" s="25">
        <v>3.0144069070318692E-3</v>
      </c>
      <c r="BA8" s="25">
        <v>2.7363156919616407E-2</v>
      </c>
      <c r="BB8" s="25">
        <v>1.658527227286452</v>
      </c>
      <c r="BC8" s="25">
        <v>42.674553406755052</v>
      </c>
      <c r="BD8" s="25">
        <v>549.53667873059203</v>
      </c>
      <c r="BE8" s="25">
        <v>2.1951251293934292E-2</v>
      </c>
      <c r="BF8" s="25">
        <v>0.10959412749709906</v>
      </c>
      <c r="BG8" s="25">
        <v>5.9766223809669254</v>
      </c>
      <c r="BH8" s="25">
        <v>0.36575555478757793</v>
      </c>
      <c r="BI8" s="25">
        <v>1.9402982242055844</v>
      </c>
      <c r="BJ8" s="25">
        <v>2.9162218583507364</v>
      </c>
      <c r="BK8" s="25">
        <v>0.52073672703949758</v>
      </c>
      <c r="BL8" s="25">
        <v>3.7816157695125314</v>
      </c>
      <c r="BM8" s="25">
        <v>8.3967238846812273E-2</v>
      </c>
      <c r="BN8" s="25">
        <v>9.5237421802415026E-2</v>
      </c>
      <c r="BO8" s="25">
        <v>2.6303824415515304</v>
      </c>
      <c r="BP8" s="25">
        <v>2.9566698016518424E-2</v>
      </c>
      <c r="BQ8" s="25">
        <v>91.342913757021137</v>
      </c>
      <c r="BR8" s="25">
        <v>66.866054201546447</v>
      </c>
      <c r="BS8" s="25">
        <v>8.8889307885185183</v>
      </c>
      <c r="BT8" s="25">
        <v>63.403734529167671</v>
      </c>
      <c r="BU8" s="25">
        <v>19.813852317385631</v>
      </c>
      <c r="BV8" s="25">
        <v>0.24397311000560906</v>
      </c>
      <c r="BW8" s="25">
        <v>2.9434756273310647</v>
      </c>
      <c r="BX8" s="25">
        <v>0</v>
      </c>
      <c r="BY8" s="25">
        <v>15970.314928703579</v>
      </c>
      <c r="BZ8" s="25">
        <v>3068.1585803453418</v>
      </c>
      <c r="CA8" s="25">
        <v>2.4427055863110838</v>
      </c>
      <c r="CB8" s="25">
        <v>0</v>
      </c>
      <c r="CC8" s="25">
        <v>17611.770193053253</v>
      </c>
      <c r="CD8" s="25">
        <v>1054.0029907200783</v>
      </c>
      <c r="CE8" s="25">
        <v>163.31060159146062</v>
      </c>
      <c r="CF8" s="25">
        <v>21899.685071296459</v>
      </c>
      <c r="CG8" s="25">
        <v>37870</v>
      </c>
      <c r="CH8"/>
      <c r="CI8">
        <f t="shared" si="0"/>
        <v>0.57828584819900863</v>
      </c>
      <c r="CJ8"/>
      <c r="CK8"/>
      <c r="CL8"/>
      <c r="CM8"/>
      <c r="CN8"/>
      <c r="CO8"/>
      <c r="CP8"/>
      <c r="CQ8"/>
      <c r="CR8"/>
      <c r="CS8"/>
      <c r="CT8"/>
      <c r="CU8"/>
    </row>
    <row r="9" spans="1:99" s="5" customFormat="1" x14ac:dyDescent="0.3">
      <c r="A9" s="35" t="s">
        <v>13</v>
      </c>
      <c r="B9" s="11" t="s">
        <v>87</v>
      </c>
      <c r="C9" s="5">
        <v>4</v>
      </c>
      <c r="D9" s="25">
        <v>154.57131376529347</v>
      </c>
      <c r="E9" s="25">
        <v>418.65628402609394</v>
      </c>
      <c r="F9" s="25">
        <v>13.284636075544938</v>
      </c>
      <c r="G9" s="25">
        <v>255.38746246030166</v>
      </c>
      <c r="H9" s="25">
        <v>731.23871623221146</v>
      </c>
      <c r="I9" s="25">
        <v>0.30874707823958225</v>
      </c>
      <c r="J9" s="25">
        <v>1.3587157738685831</v>
      </c>
      <c r="K9" s="25">
        <v>53.244166376163598</v>
      </c>
      <c r="L9" s="25">
        <v>8.1587146912698358</v>
      </c>
      <c r="M9" s="25">
        <v>279.65589011728434</v>
      </c>
      <c r="N9" s="25">
        <v>16.421368346699659</v>
      </c>
      <c r="O9" s="25">
        <v>6.5622521024227554E-2</v>
      </c>
      <c r="P9" s="25">
        <v>0.97438319472738943</v>
      </c>
      <c r="Q9" s="25">
        <v>0.29823966512713124</v>
      </c>
      <c r="R9" s="25">
        <v>0.94713612624020704</v>
      </c>
      <c r="S9" s="25">
        <v>0.22325808785089243</v>
      </c>
      <c r="T9" s="25">
        <v>18.581952337523674</v>
      </c>
      <c r="U9" s="25">
        <v>0.14003745618907645</v>
      </c>
      <c r="V9" s="25">
        <v>6.1948654536750576</v>
      </c>
      <c r="W9" s="25">
        <v>0.158992803732706</v>
      </c>
      <c r="X9" s="25">
        <v>5.8538919004757833E-3</v>
      </c>
      <c r="Y9" s="25">
        <v>219.1058134802478</v>
      </c>
      <c r="Z9" s="25">
        <v>2854.8663427970951</v>
      </c>
      <c r="AA9" s="25">
        <v>68.70210082228671</v>
      </c>
      <c r="AB9" s="25">
        <v>8.0050702989689366</v>
      </c>
      <c r="AC9" s="25">
        <v>1.896008344817854</v>
      </c>
      <c r="AD9" s="25">
        <v>6.7281210803029419</v>
      </c>
      <c r="AE9" s="25">
        <v>4463.2487053152718</v>
      </c>
      <c r="AF9" s="25">
        <v>1496.0180009201461</v>
      </c>
      <c r="AG9" s="25">
        <v>337.50822352508135</v>
      </c>
      <c r="AH9" s="25">
        <v>3.5700793297345141</v>
      </c>
      <c r="AI9" s="25">
        <v>0.34796091611728114</v>
      </c>
      <c r="AJ9" s="25">
        <v>35.919486164414046</v>
      </c>
      <c r="AK9" s="25">
        <v>2.5200509016477124</v>
      </c>
      <c r="AL9" s="25">
        <v>18.623403632807602</v>
      </c>
      <c r="AM9" s="25">
        <v>34.401273191417253</v>
      </c>
      <c r="AN9" s="25">
        <v>1.7813221916018431</v>
      </c>
      <c r="AO9" s="25">
        <v>31.983518530124996</v>
      </c>
      <c r="AP9" s="25">
        <v>2.7992513774817689</v>
      </c>
      <c r="AQ9" s="25">
        <v>235.19415880813608</v>
      </c>
      <c r="AR9" s="25">
        <v>5.7714330882458826</v>
      </c>
      <c r="AS9" s="25">
        <v>1.1845960473087798</v>
      </c>
      <c r="AT9" s="25">
        <v>1.256351504422764</v>
      </c>
      <c r="AU9" s="25">
        <v>356.51608415843594</v>
      </c>
      <c r="AV9" s="25">
        <v>5769.2379564424718</v>
      </c>
      <c r="AW9" s="25">
        <v>2.9175715971672043</v>
      </c>
      <c r="AX9" s="25">
        <v>79.436082710535814</v>
      </c>
      <c r="AY9" s="40">
        <v>0.65802408997632589</v>
      </c>
      <c r="AZ9" s="25">
        <v>2.8112910422818906E-2</v>
      </c>
      <c r="BA9" s="25">
        <v>5.7457623439081819E-2</v>
      </c>
      <c r="BB9" s="25">
        <v>4.3639196286859692</v>
      </c>
      <c r="BC9" s="25">
        <v>2.438230238240485</v>
      </c>
      <c r="BD9" s="25">
        <v>15.584105920703134</v>
      </c>
      <c r="BE9" s="25">
        <v>8.7448574017034958E-2</v>
      </c>
      <c r="BF9" s="25">
        <v>0.16450929915036772</v>
      </c>
      <c r="BG9" s="25">
        <v>0.76492018421036334</v>
      </c>
      <c r="BH9" s="25">
        <v>0.61648427768988201</v>
      </c>
      <c r="BI9" s="25">
        <v>1.6296090751950834</v>
      </c>
      <c r="BJ9" s="25">
        <v>369.75981527196274</v>
      </c>
      <c r="BK9" s="25">
        <v>1.5956915528861471</v>
      </c>
      <c r="BL9" s="25">
        <v>1.1474393182785314</v>
      </c>
      <c r="BM9" s="25">
        <v>0.42774142421122563</v>
      </c>
      <c r="BN9" s="25">
        <v>0.35090323468008289</v>
      </c>
      <c r="BO9" s="25">
        <v>2.1063879786607207</v>
      </c>
      <c r="BP9" s="25">
        <v>8.6702236953693612E-2</v>
      </c>
      <c r="BQ9" s="25">
        <v>71.223802448817224</v>
      </c>
      <c r="BR9" s="25">
        <v>16.960068813518546</v>
      </c>
      <c r="BS9" s="25">
        <v>1.5619518298257609</v>
      </c>
      <c r="BT9" s="25">
        <v>6.8222988771079134</v>
      </c>
      <c r="BU9" s="25">
        <v>5.500218499872763</v>
      </c>
      <c r="BV9" s="25">
        <v>1.1191405236272542</v>
      </c>
      <c r="BW9" s="25">
        <v>4.3106319845372205</v>
      </c>
      <c r="BX9" s="25">
        <v>0</v>
      </c>
      <c r="BY9" s="25">
        <v>18508.780939473923</v>
      </c>
      <c r="BZ9" s="25">
        <v>1808.1263468965512</v>
      </c>
      <c r="CA9" s="25">
        <v>7.4826886493532085E-2</v>
      </c>
      <c r="CB9" s="25">
        <v>0</v>
      </c>
      <c r="CC9" s="25">
        <v>199.54564961426397</v>
      </c>
      <c r="CD9" s="25">
        <v>9.7663345531448016</v>
      </c>
      <c r="CE9" s="25">
        <v>-515.29409742372206</v>
      </c>
      <c r="CF9" s="25">
        <v>1502.219060526731</v>
      </c>
      <c r="CG9" s="25">
        <v>20011</v>
      </c>
      <c r="CH9"/>
      <c r="CI9">
        <f t="shared" si="0"/>
        <v>7.5069664710745637E-2</v>
      </c>
      <c r="CJ9"/>
      <c r="CK9"/>
      <c r="CL9"/>
      <c r="CM9"/>
      <c r="CN9"/>
      <c r="CO9"/>
      <c r="CP9"/>
      <c r="CQ9"/>
      <c r="CR9"/>
      <c r="CS9"/>
      <c r="CT9"/>
      <c r="CU9"/>
    </row>
    <row r="10" spans="1:99" s="18" customFormat="1" x14ac:dyDescent="0.3">
      <c r="A10" s="35" t="s">
        <v>14</v>
      </c>
      <c r="B10" s="4" t="s">
        <v>88</v>
      </c>
      <c r="C10" s="18">
        <v>5</v>
      </c>
      <c r="D10" s="46">
        <v>21.840529156148218</v>
      </c>
      <c r="E10" s="46">
        <v>15.400400614883161</v>
      </c>
      <c r="F10" s="46">
        <v>0.88883243232383691</v>
      </c>
      <c r="G10" s="46">
        <v>2.8557716462244058</v>
      </c>
      <c r="H10" s="46">
        <v>6630.1612088235315</v>
      </c>
      <c r="I10" s="46">
        <v>276.15336287009848</v>
      </c>
      <c r="J10" s="46">
        <v>28.805250505293394</v>
      </c>
      <c r="K10" s="46">
        <v>63.705838666513223</v>
      </c>
      <c r="L10" s="46">
        <v>0.44529788306225443</v>
      </c>
      <c r="M10" s="46">
        <v>591.27168210260413</v>
      </c>
      <c r="N10" s="46">
        <v>106.02011136393205</v>
      </c>
      <c r="O10" s="46">
        <v>0.12079150775006751</v>
      </c>
      <c r="P10" s="46">
        <v>91.397968424161249</v>
      </c>
      <c r="Q10" s="46">
        <v>0.9859828821998885</v>
      </c>
      <c r="R10" s="46">
        <v>1.5852200747158953</v>
      </c>
      <c r="S10" s="46">
        <v>39.944558328694711</v>
      </c>
      <c r="T10" s="46">
        <v>541.21669558565713</v>
      </c>
      <c r="U10" s="46">
        <v>0.14283781759447525</v>
      </c>
      <c r="V10" s="46">
        <v>106597.07169103523</v>
      </c>
      <c r="W10" s="46">
        <v>2746.859928965142</v>
      </c>
      <c r="X10" s="46">
        <v>590.10146142342774</v>
      </c>
      <c r="Y10" s="46">
        <v>1.2543755826208123</v>
      </c>
      <c r="Z10" s="46">
        <v>1369.8244545530101</v>
      </c>
      <c r="AA10" s="46">
        <v>67.887326730768507</v>
      </c>
      <c r="AB10" s="46">
        <v>24.388557536390959</v>
      </c>
      <c r="AC10" s="46">
        <v>28.616612248902094</v>
      </c>
      <c r="AD10" s="46">
        <v>80.815093895843745</v>
      </c>
      <c r="AE10" s="46">
        <v>444.9047330096729</v>
      </c>
      <c r="AF10" s="46">
        <v>358.13112480767455</v>
      </c>
      <c r="AG10" s="46">
        <v>243.10479667412577</v>
      </c>
      <c r="AH10" s="46">
        <v>282.12759953735406</v>
      </c>
      <c r="AI10" s="46">
        <v>1.1289920258050867</v>
      </c>
      <c r="AJ10" s="46">
        <v>26.624932580698125</v>
      </c>
      <c r="AK10" s="46">
        <v>19.39617063302661</v>
      </c>
      <c r="AL10" s="46">
        <v>62.055892692773291</v>
      </c>
      <c r="AM10" s="46">
        <v>126.58879315468714</v>
      </c>
      <c r="AN10" s="46">
        <v>1.6722904165548684</v>
      </c>
      <c r="AO10" s="46">
        <v>2.9946627049901835</v>
      </c>
      <c r="AP10" s="46">
        <v>6.2288933402661524</v>
      </c>
      <c r="AQ10" s="46">
        <v>3962.6267490105643</v>
      </c>
      <c r="AR10" s="46">
        <v>1.0026425015018887</v>
      </c>
      <c r="AS10" s="46">
        <v>0.71835593670119713</v>
      </c>
      <c r="AT10" s="46">
        <v>5204.7213082855596</v>
      </c>
      <c r="AU10" s="46">
        <v>522.87686453940887</v>
      </c>
      <c r="AV10" s="46">
        <v>571.58374784241619</v>
      </c>
      <c r="AW10" s="46">
        <v>9.6259107950591485</v>
      </c>
      <c r="AX10" s="46">
        <v>157.08908899541788</v>
      </c>
      <c r="AY10" s="47">
        <v>72.420509151887714</v>
      </c>
      <c r="AZ10" s="46">
        <v>0.79119726022833792</v>
      </c>
      <c r="BA10" s="46">
        <v>0.27180433402135079</v>
      </c>
      <c r="BB10" s="46">
        <v>47.629023225729306</v>
      </c>
      <c r="BC10" s="46">
        <v>3.4384093391053674</v>
      </c>
      <c r="BD10" s="46">
        <v>49.277023471172583</v>
      </c>
      <c r="BE10" s="46">
        <v>0.46020693542067409</v>
      </c>
      <c r="BF10" s="46">
        <v>1.2321138297038736</v>
      </c>
      <c r="BG10" s="46">
        <v>87.263751367838168</v>
      </c>
      <c r="BH10" s="46">
        <v>4.8051068332729354</v>
      </c>
      <c r="BI10" s="46">
        <v>13.42873287781198</v>
      </c>
      <c r="BJ10" s="46">
        <v>6.8459631171730635</v>
      </c>
      <c r="BK10" s="46">
        <v>13.309644485303563</v>
      </c>
      <c r="BL10" s="46">
        <v>55.84941687290231</v>
      </c>
      <c r="BM10" s="46">
        <v>3.1144653032179401</v>
      </c>
      <c r="BN10" s="46">
        <v>5.7667873410487926</v>
      </c>
      <c r="BO10" s="46">
        <v>9.2018492340023048</v>
      </c>
      <c r="BP10" s="46">
        <v>0.72124886305557712</v>
      </c>
      <c r="BQ10" s="46">
        <v>1045.7361704016769</v>
      </c>
      <c r="BR10" s="46">
        <v>8.0402547944220171</v>
      </c>
      <c r="BS10" s="46">
        <v>12.284844878600811</v>
      </c>
      <c r="BT10" s="46">
        <v>1.4955079432515803</v>
      </c>
      <c r="BU10" s="46">
        <v>7.5123371166669539</v>
      </c>
      <c r="BV10" s="46">
        <v>9.5743713507298249</v>
      </c>
      <c r="BW10" s="46">
        <v>21.701481886008551</v>
      </c>
      <c r="BX10" s="46">
        <v>0</v>
      </c>
      <c r="BY10" s="46">
        <v>133407.13761435516</v>
      </c>
      <c r="BZ10" s="46">
        <v>92727.090257778167</v>
      </c>
      <c r="CA10" s="46">
        <v>0</v>
      </c>
      <c r="CB10" s="46">
        <v>0</v>
      </c>
      <c r="CC10" s="46">
        <v>602.27835410534612</v>
      </c>
      <c r="CD10" s="46">
        <v>11369.449471675794</v>
      </c>
      <c r="CE10" s="46">
        <v>-12167.955697914464</v>
      </c>
      <c r="CF10" s="46">
        <v>92530.862385644839</v>
      </c>
      <c r="CG10" s="46">
        <v>225938</v>
      </c>
      <c r="CH10"/>
      <c r="CI10">
        <f t="shared" si="0"/>
        <v>0.4095409465678409</v>
      </c>
      <c r="CJ10"/>
      <c r="CK10"/>
      <c r="CL10"/>
      <c r="CM10"/>
      <c r="CN10"/>
      <c r="CO10"/>
      <c r="CP10"/>
      <c r="CQ10"/>
      <c r="CR10"/>
      <c r="CS10"/>
      <c r="CT10"/>
      <c r="CU10"/>
    </row>
    <row r="11" spans="1:99" s="5" customFormat="1" x14ac:dyDescent="0.3">
      <c r="A11" s="35" t="s">
        <v>15</v>
      </c>
      <c r="B11" s="11" t="s">
        <v>89</v>
      </c>
      <c r="C11" s="5">
        <v>6</v>
      </c>
      <c r="D11" s="25">
        <v>0.13674265992418938</v>
      </c>
      <c r="E11" s="25">
        <v>7.7076579237451356E-2</v>
      </c>
      <c r="F11" s="25">
        <v>7.9907095159552737E-3</v>
      </c>
      <c r="G11" s="25">
        <v>2.1964979988157055E-2</v>
      </c>
      <c r="H11" s="25">
        <v>2.3512302778406555</v>
      </c>
      <c r="I11" s="25">
        <v>1793.5446680277946</v>
      </c>
      <c r="J11" s="25">
        <v>45.052166072018551</v>
      </c>
      <c r="K11" s="25">
        <v>0.48557035056860143</v>
      </c>
      <c r="L11" s="25">
        <v>3.2457224077284408E-2</v>
      </c>
      <c r="M11" s="25">
        <v>0.34478481658447679</v>
      </c>
      <c r="N11" s="25">
        <v>0.27770406268595904</v>
      </c>
      <c r="O11" s="25">
        <v>6.3359672467056719E-2</v>
      </c>
      <c r="P11" s="25">
        <v>4.3394836605403636E-2</v>
      </c>
      <c r="Q11" s="25">
        <v>9.5809719255202166E-2</v>
      </c>
      <c r="R11" s="25">
        <v>0.10896932523635733</v>
      </c>
      <c r="S11" s="25">
        <v>7.4421837428328225E-2</v>
      </c>
      <c r="T11" s="25">
        <v>0.14841066512926848</v>
      </c>
      <c r="U11" s="25">
        <v>1.4610974710545475E-2</v>
      </c>
      <c r="V11" s="25">
        <v>0.14103174954363348</v>
      </c>
      <c r="W11" s="25">
        <v>3.616791272586468E-3</v>
      </c>
      <c r="X11" s="25">
        <v>2.3110087238738054E-5</v>
      </c>
      <c r="Y11" s="25">
        <v>1.758844896028158E-2</v>
      </c>
      <c r="Z11" s="25">
        <v>0.3441422741410653</v>
      </c>
      <c r="AA11" s="25">
        <v>0.11931617995440563</v>
      </c>
      <c r="AB11" s="25">
        <v>0.21383962892644981</v>
      </c>
      <c r="AC11" s="25">
        <v>0.70292247376864159</v>
      </c>
      <c r="AD11" s="25">
        <v>0.20161083267503888</v>
      </c>
      <c r="AE11" s="25">
        <v>106.29352494890139</v>
      </c>
      <c r="AF11" s="25">
        <v>16914.009290101829</v>
      </c>
      <c r="AG11" s="25">
        <v>123.08644919276587</v>
      </c>
      <c r="AH11" s="25">
        <v>9.6515193252221299E-2</v>
      </c>
      <c r="AI11" s="25">
        <v>0.2311133980093566</v>
      </c>
      <c r="AJ11" s="25">
        <v>0.55081086408176261</v>
      </c>
      <c r="AK11" s="25">
        <v>4.5165856691169601</v>
      </c>
      <c r="AL11" s="25">
        <v>1.1407708638242533</v>
      </c>
      <c r="AM11" s="25">
        <v>0.6648090811878542</v>
      </c>
      <c r="AN11" s="25">
        <v>0.23246827901084524</v>
      </c>
      <c r="AO11" s="25">
        <v>0.11436778901434212</v>
      </c>
      <c r="AP11" s="25">
        <v>2.6358291933710922</v>
      </c>
      <c r="AQ11" s="25">
        <v>0.28979804949630938</v>
      </c>
      <c r="AR11" s="25">
        <v>4.7338774662424629E-2</v>
      </c>
      <c r="AS11" s="25">
        <v>3.391646550388018E-2</v>
      </c>
      <c r="AT11" s="25">
        <v>1.988170756914235E-2</v>
      </c>
      <c r="AU11" s="25">
        <v>7.234069782709901E-2</v>
      </c>
      <c r="AV11" s="25">
        <v>1.2898289321037097</v>
      </c>
      <c r="AW11" s="25">
        <v>0.20090651102872664</v>
      </c>
      <c r="AX11" s="25">
        <v>1.887658810240807</v>
      </c>
      <c r="AY11" s="40">
        <v>0.11844738050404721</v>
      </c>
      <c r="AZ11" s="25">
        <v>4.2493869978530906E-2</v>
      </c>
      <c r="BA11" s="25">
        <v>9.9650457093768633E-3</v>
      </c>
      <c r="BB11" s="25">
        <v>0.14510724830900434</v>
      </c>
      <c r="BC11" s="25">
        <v>4.3813445033068006E-2</v>
      </c>
      <c r="BD11" s="25">
        <v>0.31459912276088531</v>
      </c>
      <c r="BE11" s="25">
        <v>2.0385269425681325E-2</v>
      </c>
      <c r="BF11" s="25">
        <v>2.0853742805391956E-2</v>
      </c>
      <c r="BG11" s="25">
        <v>0.29065393793936506</v>
      </c>
      <c r="BH11" s="25">
        <v>0.36060677130944191</v>
      </c>
      <c r="BI11" s="25">
        <v>0.19109174329379947</v>
      </c>
      <c r="BJ11" s="25">
        <v>7.4650669733284547E-2</v>
      </c>
      <c r="BK11" s="25">
        <v>0.16290205665120142</v>
      </c>
      <c r="BL11" s="25">
        <v>6.5571965664593153</v>
      </c>
      <c r="BM11" s="25">
        <v>5.3040757670002957E-2</v>
      </c>
      <c r="BN11" s="25">
        <v>0.12392834524204648</v>
      </c>
      <c r="BO11" s="25">
        <v>0.64194196661380931</v>
      </c>
      <c r="BP11" s="25">
        <v>1.0178673142548091E-2</v>
      </c>
      <c r="BQ11" s="25">
        <v>0.1429922842223047</v>
      </c>
      <c r="BR11" s="25">
        <v>5.2338502546912274E-2</v>
      </c>
      <c r="BS11" s="25">
        <v>0.14785892586383659</v>
      </c>
      <c r="BT11" s="25">
        <v>9.1322142724599098E-2</v>
      </c>
      <c r="BU11" s="25">
        <v>0.22754425096440167</v>
      </c>
      <c r="BV11" s="25">
        <v>0.11034237079522521</v>
      </c>
      <c r="BW11" s="25">
        <v>0.13327856122098622</v>
      </c>
      <c r="BX11" s="25">
        <v>0</v>
      </c>
      <c r="BY11" s="25">
        <v>19012.127162454108</v>
      </c>
      <c r="BZ11" s="25">
        <v>65510.696678506043</v>
      </c>
      <c r="CA11" s="25">
        <v>1.4070934149824032E-2</v>
      </c>
      <c r="CB11" s="25">
        <v>0</v>
      </c>
      <c r="CC11" s="25">
        <v>7.1161250435648888</v>
      </c>
      <c r="CD11" s="25">
        <v>145.98410861954713</v>
      </c>
      <c r="CE11" s="25">
        <v>7650.0618544429026</v>
      </c>
      <c r="CF11" s="25">
        <v>73313.872837546209</v>
      </c>
      <c r="CG11" s="25">
        <v>92326</v>
      </c>
      <c r="CH11"/>
      <c r="CI11">
        <f t="shared" si="0"/>
        <v>0.79407613064084015</v>
      </c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5" customFormat="1" x14ac:dyDescent="0.3">
      <c r="A12" s="35" t="s">
        <v>16</v>
      </c>
      <c r="B12" s="11" t="s">
        <v>90</v>
      </c>
      <c r="C12" s="5">
        <v>7</v>
      </c>
      <c r="D12" s="25">
        <v>4.6695014758879445</v>
      </c>
      <c r="E12" s="25">
        <v>2.6283039561679735</v>
      </c>
      <c r="F12" s="25">
        <v>0.12435657689505802</v>
      </c>
      <c r="G12" s="25">
        <v>1.2402922594017085</v>
      </c>
      <c r="H12" s="25">
        <v>68.177003420436364</v>
      </c>
      <c r="I12" s="25">
        <v>10.656377563750246</v>
      </c>
      <c r="J12" s="25">
        <v>810.56588004422406</v>
      </c>
      <c r="K12" s="25">
        <v>6.0089168764356895</v>
      </c>
      <c r="L12" s="25">
        <v>0.15093812670459369</v>
      </c>
      <c r="M12" s="25">
        <v>12.9722183949743</v>
      </c>
      <c r="N12" s="25">
        <v>1.4659626299990833</v>
      </c>
      <c r="O12" s="25">
        <v>3.0025646907243879E-3</v>
      </c>
      <c r="P12" s="25">
        <v>0.1647001896778941</v>
      </c>
      <c r="Q12" s="25">
        <v>3.7493815255573659E-2</v>
      </c>
      <c r="R12" s="25">
        <v>0.28587825633002129</v>
      </c>
      <c r="S12" s="25">
        <v>0.12078566972039449</v>
      </c>
      <c r="T12" s="25">
        <v>5.8959538641400995</v>
      </c>
      <c r="U12" s="25">
        <v>3.4978878823679715</v>
      </c>
      <c r="V12" s="25">
        <v>4.5892973046511618E-2</v>
      </c>
      <c r="W12" s="25">
        <v>1.1822535605055414E-3</v>
      </c>
      <c r="X12" s="25">
        <v>2.1491581320449266E-4</v>
      </c>
      <c r="Y12" s="25">
        <v>0.99308581171159349</v>
      </c>
      <c r="Z12" s="25">
        <v>30.317772802696538</v>
      </c>
      <c r="AA12" s="25">
        <v>5.2720189638343404</v>
      </c>
      <c r="AB12" s="25">
        <v>1.707652177148723</v>
      </c>
      <c r="AC12" s="25">
        <v>0.54015883269519149</v>
      </c>
      <c r="AD12" s="25">
        <v>7.8003983154097618</v>
      </c>
      <c r="AE12" s="25">
        <v>52.370365079400145</v>
      </c>
      <c r="AF12" s="25">
        <v>1602.2276965246788</v>
      </c>
      <c r="AG12" s="25">
        <v>5411.8108357352558</v>
      </c>
      <c r="AH12" s="25">
        <v>31.658928989281709</v>
      </c>
      <c r="AI12" s="25">
        <v>2.4799909024659503</v>
      </c>
      <c r="AJ12" s="25">
        <v>79.430200149974439</v>
      </c>
      <c r="AK12" s="25">
        <v>12.403471412807637</v>
      </c>
      <c r="AL12" s="25">
        <v>8.4362246418490709</v>
      </c>
      <c r="AM12" s="25">
        <v>49.25245291236304</v>
      </c>
      <c r="AN12" s="25">
        <v>12.922169743007423</v>
      </c>
      <c r="AO12" s="25">
        <v>30.016131454804242</v>
      </c>
      <c r="AP12" s="25">
        <v>5.5688268546337119</v>
      </c>
      <c r="AQ12" s="25">
        <v>0.38191835058480461</v>
      </c>
      <c r="AR12" s="25">
        <v>6.2386709535148889E-2</v>
      </c>
      <c r="AS12" s="25">
        <v>4.4697749296181193E-2</v>
      </c>
      <c r="AT12" s="25">
        <v>2.7479529782933219E-3</v>
      </c>
      <c r="AU12" s="25">
        <v>3.6386313509995625</v>
      </c>
      <c r="AV12" s="25">
        <v>59.821666220413704</v>
      </c>
      <c r="AW12" s="25">
        <v>0.56351330548292067</v>
      </c>
      <c r="AX12" s="25">
        <v>3.5850875870764098</v>
      </c>
      <c r="AY12" s="40">
        <v>0.16152433475438327</v>
      </c>
      <c r="AZ12" s="25">
        <v>0</v>
      </c>
      <c r="BA12" s="25">
        <v>3.6377032630939723E-3</v>
      </c>
      <c r="BB12" s="25">
        <v>7.3311620754241066E-2</v>
      </c>
      <c r="BC12" s="25">
        <v>4.6298041530286917E-3</v>
      </c>
      <c r="BD12" s="25">
        <v>0.25629272989980256</v>
      </c>
      <c r="BE12" s="25">
        <v>3.7532058634054849E-4</v>
      </c>
      <c r="BF12" s="25">
        <v>0</v>
      </c>
      <c r="BG12" s="25">
        <v>1.2010258762897552E-2</v>
      </c>
      <c r="BH12" s="25">
        <v>1.9382809620621597E-2</v>
      </c>
      <c r="BI12" s="25">
        <v>1.5203034511277993E-2</v>
      </c>
      <c r="BJ12" s="25">
        <v>2.003248905706124</v>
      </c>
      <c r="BK12" s="25">
        <v>0.23876561417762249</v>
      </c>
      <c r="BL12" s="25">
        <v>0.70972306863846413</v>
      </c>
      <c r="BM12" s="25">
        <v>1.6222906532518441E-3</v>
      </c>
      <c r="BN12" s="25">
        <v>5.442148501937953E-3</v>
      </c>
      <c r="BO12" s="25">
        <v>0.26001967374228785</v>
      </c>
      <c r="BP12" s="25">
        <v>0</v>
      </c>
      <c r="BQ12" s="25">
        <v>0.51230206414437374</v>
      </c>
      <c r="BR12" s="25">
        <v>0.19266821059269967</v>
      </c>
      <c r="BS12" s="25">
        <v>1.8766029317027425E-4</v>
      </c>
      <c r="BT12" s="25">
        <v>0.4111017478166531</v>
      </c>
      <c r="BU12" s="25">
        <v>0.71872298895310616</v>
      </c>
      <c r="BV12" s="25">
        <v>0</v>
      </c>
      <c r="BW12" s="25">
        <v>0.38814582574989026</v>
      </c>
      <c r="BX12" s="25">
        <v>0</v>
      </c>
      <c r="BY12" s="25">
        <v>8348.0100920551376</v>
      </c>
      <c r="BZ12" s="25">
        <v>11140.000522732968</v>
      </c>
      <c r="CA12" s="25">
        <v>0</v>
      </c>
      <c r="CB12" s="25">
        <v>0</v>
      </c>
      <c r="CC12" s="25">
        <v>7.4490403929319573</v>
      </c>
      <c r="CD12" s="25">
        <v>8.4306386705310778</v>
      </c>
      <c r="CE12" s="25">
        <v>-1230.8902938517319</v>
      </c>
      <c r="CF12" s="25">
        <v>9924.989907944695</v>
      </c>
      <c r="CG12" s="25">
        <v>18273</v>
      </c>
      <c r="CH12"/>
      <c r="CI12">
        <f t="shared" si="0"/>
        <v>0.54315054495401383</v>
      </c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5" customFormat="1" x14ac:dyDescent="0.3">
      <c r="A13" s="35" t="s">
        <v>17</v>
      </c>
      <c r="B13" s="13" t="s">
        <v>91</v>
      </c>
      <c r="C13" s="5">
        <v>8</v>
      </c>
      <c r="D13" s="25">
        <v>73.154869703102293</v>
      </c>
      <c r="E13" s="25">
        <v>2090.4666127383612</v>
      </c>
      <c r="F13" s="25">
        <v>38.303223606085048</v>
      </c>
      <c r="G13" s="25">
        <v>9.9476144270842912</v>
      </c>
      <c r="H13" s="25">
        <v>19.441015207789729</v>
      </c>
      <c r="I13" s="25">
        <v>17.034336759545571</v>
      </c>
      <c r="J13" s="25">
        <v>3.2840564241838339</v>
      </c>
      <c r="K13" s="25">
        <v>22154.159039236492</v>
      </c>
      <c r="L13" s="25">
        <v>1.082347910381634</v>
      </c>
      <c r="M13" s="25">
        <v>2486.5335612008021</v>
      </c>
      <c r="N13" s="25">
        <v>47.12680801295101</v>
      </c>
      <c r="O13" s="25">
        <v>2.4639671818900046</v>
      </c>
      <c r="P13" s="25">
        <v>7.060412577559898</v>
      </c>
      <c r="Q13" s="25">
        <v>8.6616937343683915</v>
      </c>
      <c r="R13" s="25">
        <v>1473.7108621562193</v>
      </c>
      <c r="S13" s="25">
        <v>5.5399254119356467</v>
      </c>
      <c r="T13" s="25">
        <v>15.727026465846638</v>
      </c>
      <c r="U13" s="25">
        <v>3.1952587031855946</v>
      </c>
      <c r="V13" s="25">
        <v>23.045816579540215</v>
      </c>
      <c r="W13" s="25">
        <v>0.59120438239645301</v>
      </c>
      <c r="X13" s="25">
        <v>1.1154333921446673E-2</v>
      </c>
      <c r="Y13" s="25">
        <v>737.52754758680226</v>
      </c>
      <c r="Z13" s="25">
        <v>29.649496648953853</v>
      </c>
      <c r="AA13" s="25">
        <v>44.06311680020827</v>
      </c>
      <c r="AB13" s="25">
        <v>1728.7212004490052</v>
      </c>
      <c r="AC13" s="25">
        <v>13.395568380291248</v>
      </c>
      <c r="AD13" s="25">
        <v>28.418666331113954</v>
      </c>
      <c r="AE13" s="25">
        <v>9.9546155048647833</v>
      </c>
      <c r="AF13" s="25">
        <v>10.27433090791676</v>
      </c>
      <c r="AG13" s="25">
        <v>5.7880679952824563</v>
      </c>
      <c r="AH13" s="25">
        <v>65.983484351678669</v>
      </c>
      <c r="AI13" s="25">
        <v>13.052513084827927</v>
      </c>
      <c r="AJ13" s="25">
        <v>11.427341327966367</v>
      </c>
      <c r="AK13" s="25">
        <v>65.885115946016057</v>
      </c>
      <c r="AL13" s="25">
        <v>13.947593713978753</v>
      </c>
      <c r="AM13" s="25">
        <v>8.0334682308256546</v>
      </c>
      <c r="AN13" s="25">
        <v>3.9970415496921299</v>
      </c>
      <c r="AO13" s="25">
        <v>12.233521469074882</v>
      </c>
      <c r="AP13" s="25">
        <v>40.66630068883353</v>
      </c>
      <c r="AQ13" s="25">
        <v>4.9078318601301127</v>
      </c>
      <c r="AR13" s="25">
        <v>0.80169879304424541</v>
      </c>
      <c r="AS13" s="25">
        <v>0.57438726821060582</v>
      </c>
      <c r="AT13" s="25">
        <v>0.39508867755127919</v>
      </c>
      <c r="AU13" s="25">
        <v>3.2880462758082873</v>
      </c>
      <c r="AV13" s="25">
        <v>58.979780993144523</v>
      </c>
      <c r="AW13" s="25">
        <v>7.2079814180050006</v>
      </c>
      <c r="AX13" s="25">
        <v>448.87840910454804</v>
      </c>
      <c r="AY13" s="40">
        <v>13.177597734156844</v>
      </c>
      <c r="AZ13" s="25">
        <v>0.87761198330752599</v>
      </c>
      <c r="BA13" s="25">
        <v>1.2127732024502407</v>
      </c>
      <c r="BB13" s="25">
        <v>4.6743078731159482</v>
      </c>
      <c r="BC13" s="25">
        <v>445.42571341750192</v>
      </c>
      <c r="BD13" s="25">
        <v>17469.214563864898</v>
      </c>
      <c r="BE13" s="25">
        <v>1.6282579133193542</v>
      </c>
      <c r="BF13" s="25">
        <v>1.6628425525433661</v>
      </c>
      <c r="BG13" s="25">
        <v>6.3279885834616953</v>
      </c>
      <c r="BH13" s="25">
        <v>4.6611580152642542</v>
      </c>
      <c r="BI13" s="25">
        <v>8.4847062924333017</v>
      </c>
      <c r="BJ13" s="25">
        <v>4.2251628748492873</v>
      </c>
      <c r="BK13" s="25">
        <v>7.7048874320347664</v>
      </c>
      <c r="BL13" s="25">
        <v>6.6234745742587275</v>
      </c>
      <c r="BM13" s="25">
        <v>5.7445293810847424</v>
      </c>
      <c r="BN13" s="25">
        <v>2.4002706741584565</v>
      </c>
      <c r="BO13" s="25">
        <v>15.89183431792314</v>
      </c>
      <c r="BP13" s="25">
        <v>0.73876872676470495</v>
      </c>
      <c r="BQ13" s="25">
        <v>2176.6448294629563</v>
      </c>
      <c r="BR13" s="25">
        <v>1294.0752073496703</v>
      </c>
      <c r="BS13" s="25">
        <v>207.92015422828754</v>
      </c>
      <c r="BT13" s="25">
        <v>1280.2889393214916</v>
      </c>
      <c r="BU13" s="25">
        <v>750.19254504153946</v>
      </c>
      <c r="BV13" s="25">
        <v>7.8726989669171097</v>
      </c>
      <c r="BW13" s="25">
        <v>194.08997714598203</v>
      </c>
      <c r="BX13" s="25">
        <v>0</v>
      </c>
      <c r="BY13" s="25">
        <v>55760.353823041805</v>
      </c>
      <c r="BZ13" s="25">
        <v>46170.634193654907</v>
      </c>
      <c r="CA13" s="25">
        <v>72.403106847664276</v>
      </c>
      <c r="CB13" s="25">
        <v>0</v>
      </c>
      <c r="CC13" s="25">
        <v>189902.00684124397</v>
      </c>
      <c r="CD13" s="25">
        <v>408.57985322996069</v>
      </c>
      <c r="CE13" s="25">
        <v>92.02218198479143</v>
      </c>
      <c r="CF13" s="25">
        <v>236645.64617696131</v>
      </c>
      <c r="CG13" s="25">
        <v>292406</v>
      </c>
      <c r="CH13"/>
      <c r="CI13">
        <f t="shared" si="0"/>
        <v>0.80930502854579356</v>
      </c>
      <c r="CJ13"/>
      <c r="CK13"/>
      <c r="CL13"/>
      <c r="CM13"/>
      <c r="CN13"/>
      <c r="CO13"/>
      <c r="CP13"/>
      <c r="CQ13"/>
      <c r="CR13"/>
      <c r="CS13"/>
      <c r="CT13"/>
      <c r="CU13"/>
    </row>
    <row r="14" spans="1:99" s="5" customFormat="1" x14ac:dyDescent="0.3">
      <c r="A14" s="35" t="s">
        <v>18</v>
      </c>
      <c r="B14" s="11" t="s">
        <v>92</v>
      </c>
      <c r="C14" s="5">
        <v>9</v>
      </c>
      <c r="D14" s="25">
        <v>53.525245661495106</v>
      </c>
      <c r="E14" s="25">
        <v>87.091629096935279</v>
      </c>
      <c r="F14" s="25">
        <v>2.3933686114067809</v>
      </c>
      <c r="G14" s="25">
        <v>1.6267936485293737</v>
      </c>
      <c r="H14" s="25">
        <v>330.37378178183957</v>
      </c>
      <c r="I14" s="25">
        <v>22.213349808506475</v>
      </c>
      <c r="J14" s="25">
        <v>3.8758144062349711</v>
      </c>
      <c r="K14" s="25">
        <v>291.48502026670752</v>
      </c>
      <c r="L14" s="25">
        <v>755.0705522263853</v>
      </c>
      <c r="M14" s="25">
        <v>3193.1450846768516</v>
      </c>
      <c r="N14" s="25">
        <v>671.87756873897501</v>
      </c>
      <c r="O14" s="25">
        <v>0.80970769237717621</v>
      </c>
      <c r="P14" s="25">
        <v>2.0182717111439166</v>
      </c>
      <c r="Q14" s="25">
        <v>2.6748804352580842</v>
      </c>
      <c r="R14" s="25">
        <v>2.0719631351791987</v>
      </c>
      <c r="S14" s="25">
        <v>14.517455004906177</v>
      </c>
      <c r="T14" s="25">
        <v>5.7074960129299406</v>
      </c>
      <c r="U14" s="25">
        <v>0.69458070858489607</v>
      </c>
      <c r="V14" s="25">
        <v>7507.7581622523867</v>
      </c>
      <c r="W14" s="25">
        <v>38.065828560668251</v>
      </c>
      <c r="X14" s="25">
        <v>37.884552806870992</v>
      </c>
      <c r="Y14" s="25">
        <v>641.94530772094413</v>
      </c>
      <c r="Z14" s="25">
        <v>141.833331788035</v>
      </c>
      <c r="AA14" s="25">
        <v>414.07002298252723</v>
      </c>
      <c r="AB14" s="25">
        <v>612.6548674591528</v>
      </c>
      <c r="AC14" s="25">
        <v>355.93828927093591</v>
      </c>
      <c r="AD14" s="25">
        <v>4.1415098105530657</v>
      </c>
      <c r="AE14" s="25">
        <v>3.0130158993046825</v>
      </c>
      <c r="AF14" s="25">
        <v>3.8189358232853383</v>
      </c>
      <c r="AG14" s="25">
        <v>2.1825390449694484</v>
      </c>
      <c r="AH14" s="25">
        <v>17.07074375611057</v>
      </c>
      <c r="AI14" s="25">
        <v>4.3963944431650885</v>
      </c>
      <c r="AJ14" s="25">
        <v>6.2673356968479901</v>
      </c>
      <c r="AK14" s="25">
        <v>94.892959214485501</v>
      </c>
      <c r="AL14" s="25">
        <v>16.375697215791359</v>
      </c>
      <c r="AM14" s="25">
        <v>2.8484953587445792</v>
      </c>
      <c r="AN14" s="25">
        <v>3.8857595632279263</v>
      </c>
      <c r="AO14" s="25">
        <v>3.4125173590272073</v>
      </c>
      <c r="AP14" s="25">
        <v>59.620441036581269</v>
      </c>
      <c r="AQ14" s="25">
        <v>4.5778112444269441</v>
      </c>
      <c r="AR14" s="25">
        <v>0.74778962565032936</v>
      </c>
      <c r="AS14" s="25">
        <v>0.53576336150205395</v>
      </c>
      <c r="AT14" s="25">
        <v>0.18604366840390935</v>
      </c>
      <c r="AU14" s="25">
        <v>10.534485195693792</v>
      </c>
      <c r="AV14" s="25">
        <v>172.49428311674274</v>
      </c>
      <c r="AW14" s="25">
        <v>139.72003194266006</v>
      </c>
      <c r="AX14" s="25">
        <v>273.44868017972459</v>
      </c>
      <c r="AY14" s="40">
        <v>351.8825270706414</v>
      </c>
      <c r="AZ14" s="25">
        <v>3.0478342772881142</v>
      </c>
      <c r="BA14" s="25">
        <v>9.5131123396482042</v>
      </c>
      <c r="BB14" s="25">
        <v>24.925261680434858</v>
      </c>
      <c r="BC14" s="25">
        <v>7.1586322599458212</v>
      </c>
      <c r="BD14" s="25">
        <v>795.99698416713557</v>
      </c>
      <c r="BE14" s="25">
        <v>2.2736975853333132</v>
      </c>
      <c r="BF14" s="25">
        <v>4.3632644457122938</v>
      </c>
      <c r="BG14" s="25">
        <v>12.172918758611727</v>
      </c>
      <c r="BH14" s="25">
        <v>17.104176004586161</v>
      </c>
      <c r="BI14" s="25">
        <v>62.695756696538133</v>
      </c>
      <c r="BJ14" s="25">
        <v>8.9417937468582913</v>
      </c>
      <c r="BK14" s="25">
        <v>62.340633001693277</v>
      </c>
      <c r="BL14" s="25">
        <v>49.822365940225048</v>
      </c>
      <c r="BM14" s="25">
        <v>19.535257662348876</v>
      </c>
      <c r="BN14" s="25">
        <v>47.389974559885005</v>
      </c>
      <c r="BO14" s="25">
        <v>66.91695313610424</v>
      </c>
      <c r="BP14" s="25">
        <v>31.905778702229004</v>
      </c>
      <c r="BQ14" s="25">
        <v>347.62689946182672</v>
      </c>
      <c r="BR14" s="25">
        <v>93.441802498041852</v>
      </c>
      <c r="BS14" s="25">
        <v>10.050684204698621</v>
      </c>
      <c r="BT14" s="25">
        <v>71.418104846656192</v>
      </c>
      <c r="BU14" s="25">
        <v>65.577576241430791</v>
      </c>
      <c r="BV14" s="25">
        <v>9.0821777582515093</v>
      </c>
      <c r="BW14" s="25">
        <v>75.349417288470065</v>
      </c>
      <c r="BX14" s="25">
        <v>0</v>
      </c>
      <c r="BY14" s="25">
        <v>18266.027743357266</v>
      </c>
      <c r="BZ14" s="25">
        <v>16586.094099334223</v>
      </c>
      <c r="CA14" s="25">
        <v>0.75832747333979078</v>
      </c>
      <c r="CB14" s="25">
        <v>0</v>
      </c>
      <c r="CC14" s="25">
        <v>16804.060038089898</v>
      </c>
      <c r="CD14" s="25">
        <v>332.26540144204876</v>
      </c>
      <c r="CE14" s="25">
        <v>-434.20560969345934</v>
      </c>
      <c r="CF14" s="25">
        <v>33288.972256646048</v>
      </c>
      <c r="CG14" s="25">
        <v>51555</v>
      </c>
      <c r="CH14"/>
      <c r="CI14">
        <f t="shared" si="0"/>
        <v>0.64569823017449424</v>
      </c>
      <c r="CJ14"/>
      <c r="CK14"/>
      <c r="CL14"/>
      <c r="CM14"/>
      <c r="CN14"/>
      <c r="CO14"/>
      <c r="CP14"/>
      <c r="CQ14"/>
      <c r="CR14"/>
      <c r="CS14"/>
      <c r="CT14"/>
      <c r="CU14"/>
    </row>
    <row r="15" spans="1:99" s="5" customFormat="1" x14ac:dyDescent="0.3">
      <c r="A15" s="35" t="s">
        <v>19</v>
      </c>
      <c r="B15" s="11" t="s">
        <v>93</v>
      </c>
      <c r="C15" s="5">
        <v>10</v>
      </c>
      <c r="D15" s="25">
        <v>1901.0054801064068</v>
      </c>
      <c r="E15" s="25">
        <v>13289.224940089322</v>
      </c>
      <c r="F15" s="25">
        <v>896.41032663354997</v>
      </c>
      <c r="G15" s="25">
        <v>153.24329869233779</v>
      </c>
      <c r="H15" s="25">
        <v>190.88614623268415</v>
      </c>
      <c r="I15" s="25">
        <v>51.948534499783051</v>
      </c>
      <c r="J15" s="25">
        <v>15.388238981782578</v>
      </c>
      <c r="K15" s="25">
        <v>23451.189481979363</v>
      </c>
      <c r="L15" s="25">
        <v>23.734989674378149</v>
      </c>
      <c r="M15" s="25">
        <v>28439.299882070107</v>
      </c>
      <c r="N15" s="25">
        <v>2077.0624840713945</v>
      </c>
      <c r="O15" s="25">
        <v>14.848455391706466</v>
      </c>
      <c r="P15" s="25">
        <v>56.298102691011167</v>
      </c>
      <c r="Q15" s="25">
        <v>48.649656419391995</v>
      </c>
      <c r="R15" s="25">
        <v>64.823663411944551</v>
      </c>
      <c r="S15" s="25">
        <v>57.154408794491836</v>
      </c>
      <c r="T15" s="25">
        <v>656.92771831569246</v>
      </c>
      <c r="U15" s="25">
        <v>23.745029528523716</v>
      </c>
      <c r="V15" s="25">
        <v>2090.5259077506907</v>
      </c>
      <c r="W15" s="25">
        <v>13.73414675388981</v>
      </c>
      <c r="X15" s="25">
        <v>9.9100745733107036</v>
      </c>
      <c r="Y15" s="25">
        <v>3052.5007492955879</v>
      </c>
      <c r="Z15" s="25">
        <v>488.08572102873586</v>
      </c>
      <c r="AA15" s="25">
        <v>802.79042948388508</v>
      </c>
      <c r="AB15" s="25">
        <v>1071.7383300275353</v>
      </c>
      <c r="AC15" s="25">
        <v>229.2972298924555</v>
      </c>
      <c r="AD15" s="25">
        <v>175.30799702257426</v>
      </c>
      <c r="AE15" s="25">
        <v>93.455962438569458</v>
      </c>
      <c r="AF15" s="25">
        <v>91.502096291676054</v>
      </c>
      <c r="AG15" s="25">
        <v>40.730425944808665</v>
      </c>
      <c r="AH15" s="25">
        <v>88.811442634074723</v>
      </c>
      <c r="AI15" s="25">
        <v>75.800275198075241</v>
      </c>
      <c r="AJ15" s="25">
        <v>60.469386724199659</v>
      </c>
      <c r="AK15" s="25">
        <v>109.61639448495571</v>
      </c>
      <c r="AL15" s="25">
        <v>56.823494247557683</v>
      </c>
      <c r="AM15" s="25">
        <v>43.043402590615294</v>
      </c>
      <c r="AN15" s="25">
        <v>18.514591250608341</v>
      </c>
      <c r="AO15" s="25">
        <v>81.249431479102569</v>
      </c>
      <c r="AP15" s="25">
        <v>72.461506322889448</v>
      </c>
      <c r="AQ15" s="25">
        <v>32.640494572908288</v>
      </c>
      <c r="AR15" s="25">
        <v>5.3318544418867022</v>
      </c>
      <c r="AS15" s="25">
        <v>3.8200747387215621</v>
      </c>
      <c r="AT15" s="25">
        <v>1.9974554253192676</v>
      </c>
      <c r="AU15" s="25">
        <v>32.438762555338485</v>
      </c>
      <c r="AV15" s="25">
        <v>362.30878240192641</v>
      </c>
      <c r="AW15" s="25">
        <v>131.80171804385978</v>
      </c>
      <c r="AX15" s="25">
        <v>3488.1785582675088</v>
      </c>
      <c r="AY15" s="40">
        <v>177.6154836162865</v>
      </c>
      <c r="AZ15" s="25">
        <v>2.5711517369963683</v>
      </c>
      <c r="BA15" s="25">
        <v>31.863843857922333</v>
      </c>
      <c r="BB15" s="25">
        <v>38.202177692526462</v>
      </c>
      <c r="BC15" s="25">
        <v>243.18734776607369</v>
      </c>
      <c r="BD15" s="25">
        <v>12354.485424699224</v>
      </c>
      <c r="BE15" s="25">
        <v>10.176693194556073</v>
      </c>
      <c r="BF15" s="25">
        <v>10.564222448678519</v>
      </c>
      <c r="BG15" s="25">
        <v>46.146674799237587</v>
      </c>
      <c r="BH15" s="25">
        <v>27.975880013120232</v>
      </c>
      <c r="BI15" s="25">
        <v>179.04353123604918</v>
      </c>
      <c r="BJ15" s="25">
        <v>39.398784795906302</v>
      </c>
      <c r="BK15" s="25">
        <v>74.566393195743473</v>
      </c>
      <c r="BL15" s="25">
        <v>36.341616639785727</v>
      </c>
      <c r="BM15" s="25">
        <v>66.425930366935887</v>
      </c>
      <c r="BN15" s="25">
        <v>23.287124561336029</v>
      </c>
      <c r="BO15" s="25">
        <v>77.880837953171621</v>
      </c>
      <c r="BP15" s="25">
        <v>12.251409229017842</v>
      </c>
      <c r="BQ15" s="25">
        <v>1527.9070113543858</v>
      </c>
      <c r="BR15" s="25">
        <v>1168.2631270201375</v>
      </c>
      <c r="BS15" s="25">
        <v>166.10330946360509</v>
      </c>
      <c r="BT15" s="25">
        <v>1598.3146954592717</v>
      </c>
      <c r="BU15" s="25">
        <v>711.43383081315847</v>
      </c>
      <c r="BV15" s="25">
        <v>52.378456412215172</v>
      </c>
      <c r="BW15" s="25">
        <v>738.01510177075443</v>
      </c>
      <c r="BX15" s="25">
        <v>0</v>
      </c>
      <c r="BY15" s="25">
        <v>103651.12759356326</v>
      </c>
      <c r="BZ15" s="25">
        <v>40248.489598205342</v>
      </c>
      <c r="CA15" s="25">
        <v>79.511138156412954</v>
      </c>
      <c r="CB15" s="25">
        <v>0</v>
      </c>
      <c r="CC15" s="25">
        <v>177717.30735024565</v>
      </c>
      <c r="CD15" s="25">
        <v>617.39769461445042</v>
      </c>
      <c r="CE15" s="25">
        <v>2629.1666252119085</v>
      </c>
      <c r="CF15" s="25">
        <v>221291.87240643374</v>
      </c>
      <c r="CG15" s="25">
        <v>324943</v>
      </c>
      <c r="CH15"/>
      <c r="CI15">
        <f t="shared" si="0"/>
        <v>0.68101750893674817</v>
      </c>
      <c r="CJ15"/>
      <c r="CK15"/>
      <c r="CL15"/>
      <c r="CM15"/>
      <c r="CN15"/>
      <c r="CO15"/>
      <c r="CP15"/>
      <c r="CQ15"/>
      <c r="CR15"/>
      <c r="CS15"/>
      <c r="CT15"/>
      <c r="CU15"/>
    </row>
    <row r="16" spans="1:99" s="5" customFormat="1" x14ac:dyDescent="0.3">
      <c r="A16" s="35" t="s">
        <v>20</v>
      </c>
      <c r="B16" s="11" t="s">
        <v>94</v>
      </c>
      <c r="C16" s="5">
        <v>11</v>
      </c>
      <c r="D16" s="25">
        <v>14.738989616009871</v>
      </c>
      <c r="E16" s="25">
        <v>9.3559628566249522</v>
      </c>
      <c r="F16" s="25">
        <v>0.76997093908372072</v>
      </c>
      <c r="G16" s="25">
        <v>5.2965240863765537</v>
      </c>
      <c r="H16" s="25">
        <v>13.258631367879314</v>
      </c>
      <c r="I16" s="25">
        <v>7.7752003622939307</v>
      </c>
      <c r="J16" s="25">
        <v>1.7552233619762363</v>
      </c>
      <c r="K16" s="25">
        <v>397.93740052882697</v>
      </c>
      <c r="L16" s="25">
        <v>1.2398412004481818</v>
      </c>
      <c r="M16" s="25">
        <v>99.164788907422874</v>
      </c>
      <c r="N16" s="25">
        <v>6639.8139459170734</v>
      </c>
      <c r="O16" s="25">
        <v>1.6073509897261555</v>
      </c>
      <c r="P16" s="25">
        <v>4.5283349087940703</v>
      </c>
      <c r="Q16" s="25">
        <v>5.5452055450162003</v>
      </c>
      <c r="R16" s="25">
        <v>4.332433091559972</v>
      </c>
      <c r="S16" s="25">
        <v>4.1709141399226111</v>
      </c>
      <c r="T16" s="25">
        <v>8.1110653190751663</v>
      </c>
      <c r="U16" s="25">
        <v>1.6440958479037435</v>
      </c>
      <c r="V16" s="25">
        <v>62.724309273939141</v>
      </c>
      <c r="W16" s="25">
        <v>0.63813413401866848</v>
      </c>
      <c r="X16" s="25">
        <v>0.24728806370822448</v>
      </c>
      <c r="Y16" s="25">
        <v>3.2332953034574743</v>
      </c>
      <c r="Z16" s="25">
        <v>10.807878362967745</v>
      </c>
      <c r="AA16" s="25">
        <v>13.785349231611255</v>
      </c>
      <c r="AB16" s="25">
        <v>11.28593901371301</v>
      </c>
      <c r="AC16" s="25">
        <v>8.4070269539693641</v>
      </c>
      <c r="AD16" s="25">
        <v>10.372939319485088</v>
      </c>
      <c r="AE16" s="25">
        <v>5.7335930661251897</v>
      </c>
      <c r="AF16" s="25">
        <v>10.690564754255435</v>
      </c>
      <c r="AG16" s="25">
        <v>3.6727053557939886</v>
      </c>
      <c r="AH16" s="25">
        <v>20.532547002031617</v>
      </c>
      <c r="AI16" s="25">
        <v>9.8421770671883415</v>
      </c>
      <c r="AJ16" s="25">
        <v>9.6817179914882701</v>
      </c>
      <c r="AK16" s="25">
        <v>31.591530962644072</v>
      </c>
      <c r="AL16" s="25">
        <v>12.546867209198936</v>
      </c>
      <c r="AM16" s="25">
        <v>8.0829596045852554</v>
      </c>
      <c r="AN16" s="25">
        <v>5.407992938744381</v>
      </c>
      <c r="AO16" s="25">
        <v>8.3460780589867074</v>
      </c>
      <c r="AP16" s="25">
        <v>19.980902844651798</v>
      </c>
      <c r="AQ16" s="25">
        <v>8.2460963667313756</v>
      </c>
      <c r="AR16" s="25">
        <v>1.3470073329610392</v>
      </c>
      <c r="AS16" s="25">
        <v>0.96508048777422217</v>
      </c>
      <c r="AT16" s="25">
        <v>0.45259474803304378</v>
      </c>
      <c r="AU16" s="25">
        <v>3.0293874354188697</v>
      </c>
      <c r="AV16" s="25">
        <v>69.490475030276087</v>
      </c>
      <c r="AW16" s="25">
        <v>10.121867206807233</v>
      </c>
      <c r="AX16" s="25">
        <v>107.19137678328732</v>
      </c>
      <c r="AY16" s="40">
        <v>17.004469945780773</v>
      </c>
      <c r="AZ16" s="25">
        <v>0.45098488593686104</v>
      </c>
      <c r="BA16" s="25">
        <v>8.1017402306451949</v>
      </c>
      <c r="BB16" s="25">
        <v>6.2954672198081303</v>
      </c>
      <c r="BC16" s="25">
        <v>450.04095222912139</v>
      </c>
      <c r="BD16" s="25">
        <v>26011.35330764388</v>
      </c>
      <c r="BE16" s="25">
        <v>1.2831511983985373</v>
      </c>
      <c r="BF16" s="25">
        <v>1.6703355696329378</v>
      </c>
      <c r="BG16" s="25">
        <v>6.639948261941079</v>
      </c>
      <c r="BH16" s="25">
        <v>5.1156865831042113</v>
      </c>
      <c r="BI16" s="25">
        <v>98.337037634416632</v>
      </c>
      <c r="BJ16" s="25">
        <v>6.2222204663183387</v>
      </c>
      <c r="BK16" s="25">
        <v>12.418989797104674</v>
      </c>
      <c r="BL16" s="25">
        <v>3.0201910223074115</v>
      </c>
      <c r="BM16" s="25">
        <v>4.3590942128361103</v>
      </c>
      <c r="BN16" s="25">
        <v>2.9262015060654649</v>
      </c>
      <c r="BO16" s="25">
        <v>13.385941024795088</v>
      </c>
      <c r="BP16" s="25">
        <v>1.1279802772267595</v>
      </c>
      <c r="BQ16" s="25">
        <v>100.98309553695751</v>
      </c>
      <c r="BR16" s="25">
        <v>69.203497212669163</v>
      </c>
      <c r="BS16" s="25">
        <v>17.627628060822449</v>
      </c>
      <c r="BT16" s="25">
        <v>72.575287811944762</v>
      </c>
      <c r="BU16" s="25">
        <v>174.85302763201307</v>
      </c>
      <c r="BV16" s="25">
        <v>28.677201679237029</v>
      </c>
      <c r="BW16" s="25">
        <v>19.690719496694626</v>
      </c>
      <c r="BX16" s="25">
        <v>0</v>
      </c>
      <c r="BY16" s="25">
        <v>34822.865718029527</v>
      </c>
      <c r="BZ16" s="25">
        <v>2978.2515255170383</v>
      </c>
      <c r="CA16" s="25">
        <v>1.711930760683654</v>
      </c>
      <c r="CB16" s="25">
        <v>0</v>
      </c>
      <c r="CC16" s="25">
        <v>40937.659906730412</v>
      </c>
      <c r="CD16" s="25">
        <v>99.164105981748065</v>
      </c>
      <c r="CE16" s="25">
        <v>-295.65318701065814</v>
      </c>
      <c r="CF16" s="25">
        <v>43721.134281979219</v>
      </c>
      <c r="CG16" s="25">
        <v>78544</v>
      </c>
      <c r="CH16"/>
      <c r="CI16">
        <f t="shared" si="0"/>
        <v>0.55664511970334107</v>
      </c>
      <c r="CJ16"/>
      <c r="CK16"/>
      <c r="CL16"/>
      <c r="CM16"/>
      <c r="CN16"/>
      <c r="CO16"/>
      <c r="CP16"/>
      <c r="CQ16"/>
      <c r="CR16"/>
      <c r="CS16"/>
      <c r="CT16"/>
      <c r="CU16"/>
    </row>
    <row r="17" spans="1:99" s="5" customFormat="1" x14ac:dyDescent="0.3">
      <c r="A17" s="35" t="s">
        <v>21</v>
      </c>
      <c r="B17" s="11" t="s">
        <v>95</v>
      </c>
      <c r="C17" s="5">
        <v>12</v>
      </c>
      <c r="D17" s="25">
        <v>1.8863691688160806</v>
      </c>
      <c r="E17" s="25">
        <v>0.98094149694974564</v>
      </c>
      <c r="F17" s="25">
        <v>8.9514122424551451E-2</v>
      </c>
      <c r="G17" s="25">
        <v>8.8027856520601772E-2</v>
      </c>
      <c r="H17" s="25">
        <v>2.1983798045019105</v>
      </c>
      <c r="I17" s="25">
        <v>2.4823701771170765</v>
      </c>
      <c r="J17" s="25">
        <v>0.38449654161175145</v>
      </c>
      <c r="K17" s="25">
        <v>3.1242665359212305</v>
      </c>
      <c r="L17" s="25">
        <v>8.7243129884883114E-2</v>
      </c>
      <c r="M17" s="25">
        <v>3.0183844464507614</v>
      </c>
      <c r="N17" s="25">
        <v>0.69678188723731094</v>
      </c>
      <c r="O17" s="25">
        <v>304.40931111676258</v>
      </c>
      <c r="P17" s="25">
        <v>0.50326688931054453</v>
      </c>
      <c r="Q17" s="25">
        <v>0.69276169613652694</v>
      </c>
      <c r="R17" s="25">
        <v>0.57329707009926212</v>
      </c>
      <c r="S17" s="25">
        <v>0.29665772502281579</v>
      </c>
      <c r="T17" s="25">
        <v>0.77841527883959816</v>
      </c>
      <c r="U17" s="25">
        <v>0.14759259718021084</v>
      </c>
      <c r="V17" s="25">
        <v>1.9269421902803952</v>
      </c>
      <c r="W17" s="25">
        <v>4.9416870450355976E-2</v>
      </c>
      <c r="X17" s="25">
        <v>3.1575728348748398E-4</v>
      </c>
      <c r="Y17" s="25">
        <v>0.17235201458619911</v>
      </c>
      <c r="Z17" s="25">
        <v>1.107047151565081</v>
      </c>
      <c r="AA17" s="25">
        <v>0.63432236052340329</v>
      </c>
      <c r="AB17" s="25">
        <v>0.48493659722363391</v>
      </c>
      <c r="AC17" s="25">
        <v>0.79277348067123543</v>
      </c>
      <c r="AD17" s="25">
        <v>0.99845903316703566</v>
      </c>
      <c r="AE17" s="25">
        <v>0.6455418969998038</v>
      </c>
      <c r="AF17" s="25">
        <v>0.712524191046642</v>
      </c>
      <c r="AG17" s="25">
        <v>0.61963993182403332</v>
      </c>
      <c r="AH17" s="25">
        <v>0.72265568027218996</v>
      </c>
      <c r="AI17" s="25">
        <v>1.1712195262487939</v>
      </c>
      <c r="AJ17" s="25">
        <v>1.1271924243504921</v>
      </c>
      <c r="AK17" s="25">
        <v>9.9519577058698854</v>
      </c>
      <c r="AL17" s="25">
        <v>1.7055667632146216</v>
      </c>
      <c r="AM17" s="25">
        <v>0.71215731551300565</v>
      </c>
      <c r="AN17" s="25">
        <v>0.50240733713544983</v>
      </c>
      <c r="AO17" s="25">
        <v>0.67606474613185774</v>
      </c>
      <c r="AP17" s="25">
        <v>6.0422709799356547</v>
      </c>
      <c r="AQ17" s="25">
        <v>0.4634018470298451</v>
      </c>
      <c r="AR17" s="25">
        <v>7.5697112705986572E-2</v>
      </c>
      <c r="AS17" s="25">
        <v>5.4234156463576412E-2</v>
      </c>
      <c r="AT17" s="25">
        <v>3.1969707392013345E-2</v>
      </c>
      <c r="AU17" s="25">
        <v>0.18846966514968422</v>
      </c>
      <c r="AV17" s="25">
        <v>5.1648106730527434</v>
      </c>
      <c r="AW17" s="25">
        <v>0.45008788726776994</v>
      </c>
      <c r="AX17" s="25">
        <v>3.61602930689922</v>
      </c>
      <c r="AY17" s="40">
        <v>1.1145936349456742</v>
      </c>
      <c r="AZ17" s="25">
        <v>0.10844203309535461</v>
      </c>
      <c r="BA17" s="25">
        <v>0.10146144957095145</v>
      </c>
      <c r="BB17" s="25">
        <v>0.28571453627037663</v>
      </c>
      <c r="BC17" s="25">
        <v>0.14313380238001955</v>
      </c>
      <c r="BD17" s="25">
        <v>2.3330807425444964</v>
      </c>
      <c r="BE17" s="25">
        <v>0.14060471532909452</v>
      </c>
      <c r="BF17" s="25">
        <v>0.12207897960738018</v>
      </c>
      <c r="BG17" s="25">
        <v>0.53625142339661203</v>
      </c>
      <c r="BH17" s="25">
        <v>0.43983916719084837</v>
      </c>
      <c r="BI17" s="25">
        <v>0.45998093840233023</v>
      </c>
      <c r="BJ17" s="25">
        <v>0.24562702079061452</v>
      </c>
      <c r="BK17" s="25">
        <v>0.3710081829810753</v>
      </c>
      <c r="BL17" s="25">
        <v>1.3352301796625763</v>
      </c>
      <c r="BM17" s="25">
        <v>0.34056162756002412</v>
      </c>
      <c r="BN17" s="25">
        <v>0.16603915433191185</v>
      </c>
      <c r="BO17" s="25">
        <v>1.6680395415370559</v>
      </c>
      <c r="BP17" s="25">
        <v>4.7183572022464225E-2</v>
      </c>
      <c r="BQ17" s="25">
        <v>0.7308086747581809</v>
      </c>
      <c r="BR17" s="25">
        <v>0.48670412463528373</v>
      </c>
      <c r="BS17" s="25">
        <v>0.26664793898329137</v>
      </c>
      <c r="BT17" s="25">
        <v>0.69125629899785723</v>
      </c>
      <c r="BU17" s="25">
        <v>1.7783446644125542</v>
      </c>
      <c r="BV17" s="25">
        <v>0.1676868662129688</v>
      </c>
      <c r="BW17" s="25">
        <v>0.52694908987627909</v>
      </c>
      <c r="BX17" s="25">
        <v>0</v>
      </c>
      <c r="BY17" s="25">
        <v>377.84581021053685</v>
      </c>
      <c r="BZ17" s="25">
        <v>6460.6450810491788</v>
      </c>
      <c r="CA17" s="25">
        <v>0.1990032115475113</v>
      </c>
      <c r="CB17" s="25">
        <v>0</v>
      </c>
      <c r="CC17" s="25">
        <v>7980.5129275240461</v>
      </c>
      <c r="CD17" s="25">
        <v>100.82735960011679</v>
      </c>
      <c r="CE17" s="25">
        <v>773.96981840481578</v>
      </c>
      <c r="CF17" s="25">
        <v>15316.154189789704</v>
      </c>
      <c r="CG17" s="25">
        <v>15694</v>
      </c>
      <c r="CH17"/>
      <c r="CI17">
        <f t="shared" si="0"/>
        <v>0.9759241869370272</v>
      </c>
      <c r="CJ17"/>
      <c r="CK17"/>
      <c r="CL17"/>
      <c r="CM17"/>
      <c r="CN17"/>
      <c r="CO17"/>
      <c r="CP17"/>
      <c r="CQ17"/>
      <c r="CR17"/>
      <c r="CS17"/>
      <c r="CT17"/>
      <c r="CU17"/>
    </row>
    <row r="18" spans="1:99" s="5" customFormat="1" x14ac:dyDescent="0.3">
      <c r="A18" s="35" t="s">
        <v>22</v>
      </c>
      <c r="B18" s="11" t="s">
        <v>96</v>
      </c>
      <c r="C18" s="5">
        <v>13</v>
      </c>
      <c r="D18" s="25">
        <v>642.38995914991267</v>
      </c>
      <c r="E18" s="25">
        <v>14.399924056563151</v>
      </c>
      <c r="F18" s="25">
        <v>1.8905924010699628</v>
      </c>
      <c r="G18" s="25">
        <v>137.05393396576258</v>
      </c>
      <c r="H18" s="25">
        <v>128.57781705556366</v>
      </c>
      <c r="I18" s="25">
        <v>4.1265763935516064</v>
      </c>
      <c r="J18" s="25">
        <v>4.1160996444608555</v>
      </c>
      <c r="K18" s="25">
        <v>27.277179168998604</v>
      </c>
      <c r="L18" s="25">
        <v>67.026326943523443</v>
      </c>
      <c r="M18" s="25">
        <v>244.79517413636665</v>
      </c>
      <c r="N18" s="25">
        <v>21.13741749931685</v>
      </c>
      <c r="O18" s="25">
        <v>0.8988048875095489</v>
      </c>
      <c r="P18" s="25">
        <v>8509.6725027076536</v>
      </c>
      <c r="Q18" s="25">
        <v>13628.942665461169</v>
      </c>
      <c r="R18" s="25">
        <v>2606.6689982240227</v>
      </c>
      <c r="S18" s="25">
        <v>11.305036241085562</v>
      </c>
      <c r="T18" s="25">
        <v>100.30504670143124</v>
      </c>
      <c r="U18" s="25">
        <v>4.970703710477153</v>
      </c>
      <c r="V18" s="25">
        <v>6.6119015002143851</v>
      </c>
      <c r="W18" s="25">
        <v>0.16966481583260196</v>
      </c>
      <c r="X18" s="25">
        <v>5.0263172570893799E-3</v>
      </c>
      <c r="Y18" s="25">
        <v>1.8458565298817506</v>
      </c>
      <c r="Z18" s="25">
        <v>35.196951389219521</v>
      </c>
      <c r="AA18" s="25">
        <v>48.249939392082702</v>
      </c>
      <c r="AB18" s="25">
        <v>20.283491721844559</v>
      </c>
      <c r="AC18" s="25">
        <v>108.51910475628955</v>
      </c>
      <c r="AD18" s="25">
        <v>616.57318395515813</v>
      </c>
      <c r="AE18" s="25">
        <v>37.796868736825743</v>
      </c>
      <c r="AF18" s="25">
        <v>8.8171957354994692</v>
      </c>
      <c r="AG18" s="25">
        <v>8.8828561755614253</v>
      </c>
      <c r="AH18" s="25">
        <v>67.883698788691959</v>
      </c>
      <c r="AI18" s="25">
        <v>11.98417717571572</v>
      </c>
      <c r="AJ18" s="25">
        <v>48.90490793791956</v>
      </c>
      <c r="AK18" s="25">
        <v>27.805664903220933</v>
      </c>
      <c r="AL18" s="25">
        <v>109.61916120841816</v>
      </c>
      <c r="AM18" s="25">
        <v>1418.3854685829376</v>
      </c>
      <c r="AN18" s="25">
        <v>76.782373121700076</v>
      </c>
      <c r="AO18" s="25">
        <v>1187.0203638690459</v>
      </c>
      <c r="AP18" s="25">
        <v>15.387052665470677</v>
      </c>
      <c r="AQ18" s="25">
        <v>17.872047667931913</v>
      </c>
      <c r="AR18" s="25">
        <v>2.9194152230452302</v>
      </c>
      <c r="AS18" s="25">
        <v>2.0916520634512921</v>
      </c>
      <c r="AT18" s="25">
        <v>10.512230026557557</v>
      </c>
      <c r="AU18" s="25">
        <v>10.389171028392157</v>
      </c>
      <c r="AV18" s="25">
        <v>480.37903467491014</v>
      </c>
      <c r="AW18" s="25">
        <v>45.60364462376473</v>
      </c>
      <c r="AX18" s="25">
        <v>208.38349727630995</v>
      </c>
      <c r="AY18" s="40">
        <v>65.056099808123761</v>
      </c>
      <c r="AZ18" s="25">
        <v>8.9390976009789842</v>
      </c>
      <c r="BA18" s="25">
        <v>2.0078706719482891</v>
      </c>
      <c r="BB18" s="25">
        <v>8.1661732111813912</v>
      </c>
      <c r="BC18" s="25">
        <v>204.64517883027327</v>
      </c>
      <c r="BD18" s="25">
        <v>171.47627033416506</v>
      </c>
      <c r="BE18" s="25">
        <v>1.8465202748561564</v>
      </c>
      <c r="BF18" s="25">
        <v>6.3454807842654946</v>
      </c>
      <c r="BG18" s="25">
        <v>6.815066617547167</v>
      </c>
      <c r="BH18" s="25">
        <v>5.4954300931416684</v>
      </c>
      <c r="BI18" s="25">
        <v>16.869637392032264</v>
      </c>
      <c r="BJ18" s="25">
        <v>8.8629152153000383</v>
      </c>
      <c r="BK18" s="25">
        <v>15.976461100229219</v>
      </c>
      <c r="BL18" s="25">
        <v>7.7212776824614524</v>
      </c>
      <c r="BM18" s="25">
        <v>6.6896441313662214</v>
      </c>
      <c r="BN18" s="25">
        <v>5.9205044364051247</v>
      </c>
      <c r="BO18" s="25">
        <v>21.534404552321512</v>
      </c>
      <c r="BP18" s="25">
        <v>1.8455538107723242</v>
      </c>
      <c r="BQ18" s="25">
        <v>53.257851822872077</v>
      </c>
      <c r="BR18" s="25">
        <v>39.209568468264159</v>
      </c>
      <c r="BS18" s="25">
        <v>10.574144275761332</v>
      </c>
      <c r="BT18" s="25">
        <v>31.833748900786112</v>
      </c>
      <c r="BU18" s="25">
        <v>90.553749147484865</v>
      </c>
      <c r="BV18" s="25">
        <v>9.5336882944586403</v>
      </c>
      <c r="BW18" s="25">
        <v>638.62633407498538</v>
      </c>
      <c r="BX18" s="25">
        <v>0</v>
      </c>
      <c r="BY18" s="25">
        <v>32230.233031743588</v>
      </c>
      <c r="BZ18" s="25">
        <v>1908.2790781185861</v>
      </c>
      <c r="CA18" s="25">
        <v>0.66153601031069831</v>
      </c>
      <c r="CB18" s="25">
        <v>0</v>
      </c>
      <c r="CC18" s="25">
        <v>17845.997661049816</v>
      </c>
      <c r="CD18" s="25">
        <v>154.41796757896583</v>
      </c>
      <c r="CE18" s="25">
        <v>2653.4107255098629</v>
      </c>
      <c r="CF18" s="25">
        <v>22562.766968267551</v>
      </c>
      <c r="CG18" s="25">
        <v>54793</v>
      </c>
      <c r="CH18"/>
      <c r="CI18">
        <f t="shared" si="0"/>
        <v>0.41178192411927711</v>
      </c>
      <c r="CJ18"/>
      <c r="CK18"/>
      <c r="CL18"/>
      <c r="CM18"/>
      <c r="CN18"/>
      <c r="CO18"/>
      <c r="CP18"/>
      <c r="CQ18"/>
      <c r="CR18"/>
      <c r="CS18"/>
      <c r="CT18"/>
      <c r="CU18"/>
    </row>
    <row r="19" spans="1:99" s="5" customFormat="1" x14ac:dyDescent="0.3">
      <c r="A19" s="35" t="s">
        <v>23</v>
      </c>
      <c r="B19" s="11" t="s">
        <v>97</v>
      </c>
      <c r="C19" s="5">
        <v>14</v>
      </c>
      <c r="D19" s="25">
        <v>17.323867278338266</v>
      </c>
      <c r="E19" s="25">
        <v>5.2372681576537436</v>
      </c>
      <c r="F19" s="25">
        <v>7.6339939120000473</v>
      </c>
      <c r="G19" s="25">
        <v>3.9947180824234816</v>
      </c>
      <c r="H19" s="25">
        <v>81.492116957727674</v>
      </c>
      <c r="I19" s="25">
        <v>1.7349413267799365</v>
      </c>
      <c r="J19" s="25">
        <v>0.37286519447378519</v>
      </c>
      <c r="K19" s="25">
        <v>18.331541964755786</v>
      </c>
      <c r="L19" s="25">
        <v>1.20864935888813</v>
      </c>
      <c r="M19" s="25">
        <v>21.930676856322304</v>
      </c>
      <c r="N19" s="25">
        <v>3.1827196661696102</v>
      </c>
      <c r="O19" s="25">
        <v>1.0036996056339746</v>
      </c>
      <c r="P19" s="25">
        <v>71.691779280916506</v>
      </c>
      <c r="Q19" s="25">
        <v>1582.839850525208</v>
      </c>
      <c r="R19" s="25">
        <v>79.577090979978095</v>
      </c>
      <c r="S19" s="25">
        <v>1.1238955661117997</v>
      </c>
      <c r="T19" s="25">
        <v>4.3220354059665489</v>
      </c>
      <c r="U19" s="25">
        <v>0.78414974565975548</v>
      </c>
      <c r="V19" s="25">
        <v>8.8092295994456364</v>
      </c>
      <c r="W19" s="25">
        <v>0.22591754355993365</v>
      </c>
      <c r="X19" s="25">
        <v>1.554599391776372E-3</v>
      </c>
      <c r="Y19" s="25">
        <v>0.84125992911619984</v>
      </c>
      <c r="Z19" s="25">
        <v>5.0384603621065223</v>
      </c>
      <c r="AA19" s="25">
        <v>9.2754544251901656</v>
      </c>
      <c r="AB19" s="25">
        <v>2.1569417902720929</v>
      </c>
      <c r="AC19" s="25">
        <v>3.0755750545452463</v>
      </c>
      <c r="AD19" s="25">
        <v>8.2808849483007059</v>
      </c>
      <c r="AE19" s="25">
        <v>12.293952929940946</v>
      </c>
      <c r="AF19" s="25">
        <v>6.8007572114167489</v>
      </c>
      <c r="AG19" s="25">
        <v>2.1716691948156548</v>
      </c>
      <c r="AH19" s="25">
        <v>32.08815229965802</v>
      </c>
      <c r="AI19" s="25">
        <v>5.1657705704295518</v>
      </c>
      <c r="AJ19" s="25">
        <v>4.3884581940304495</v>
      </c>
      <c r="AK19" s="25">
        <v>8.4582379120234634</v>
      </c>
      <c r="AL19" s="25">
        <v>4.0511339901024614</v>
      </c>
      <c r="AM19" s="25">
        <v>35.390150127345009</v>
      </c>
      <c r="AN19" s="25">
        <v>1.9237426830195898</v>
      </c>
      <c r="AO19" s="25">
        <v>28.012600750207895</v>
      </c>
      <c r="AP19" s="25">
        <v>4.0830233869151051</v>
      </c>
      <c r="AQ19" s="25">
        <v>36.995596931237564</v>
      </c>
      <c r="AR19" s="25">
        <v>6.0432643686652794</v>
      </c>
      <c r="AS19" s="25">
        <v>4.3297734035637605</v>
      </c>
      <c r="AT19" s="25">
        <v>46.230723305515419</v>
      </c>
      <c r="AU19" s="25">
        <v>82.420701023561051</v>
      </c>
      <c r="AV19" s="25">
        <v>45.417060820707015</v>
      </c>
      <c r="AW19" s="25">
        <v>2.783118926733442</v>
      </c>
      <c r="AX19" s="25">
        <v>296.41425629013008</v>
      </c>
      <c r="AY19" s="40">
        <v>155.30225042612614</v>
      </c>
      <c r="AZ19" s="25">
        <v>6.0432338911520471</v>
      </c>
      <c r="BA19" s="25">
        <v>115.64312662153408</v>
      </c>
      <c r="BB19" s="25">
        <v>75.069671703947307</v>
      </c>
      <c r="BC19" s="25">
        <v>72.007671784655074</v>
      </c>
      <c r="BD19" s="25">
        <v>180.00493869988927</v>
      </c>
      <c r="BE19" s="25">
        <v>0.67414260808286297</v>
      </c>
      <c r="BF19" s="25">
        <v>97.39334038397088</v>
      </c>
      <c r="BG19" s="25">
        <v>28.506800092102779</v>
      </c>
      <c r="BH19" s="25">
        <v>2.156438786700603</v>
      </c>
      <c r="BI19" s="25">
        <v>420.91592743514707</v>
      </c>
      <c r="BJ19" s="25">
        <v>27.273078320231107</v>
      </c>
      <c r="BK19" s="25">
        <v>9.382601561667073</v>
      </c>
      <c r="BL19" s="25">
        <v>113.5439691610773</v>
      </c>
      <c r="BM19" s="25">
        <v>27.862324383504191</v>
      </c>
      <c r="BN19" s="25">
        <v>2.3152493295037635</v>
      </c>
      <c r="BO19" s="25">
        <v>114.83274158687838</v>
      </c>
      <c r="BP19" s="25">
        <v>148.98131377198752</v>
      </c>
      <c r="BQ19" s="25">
        <v>473.71644863317158</v>
      </c>
      <c r="BR19" s="25">
        <v>417.50202608154927</v>
      </c>
      <c r="BS19" s="25">
        <v>2.4802471084087681</v>
      </c>
      <c r="BT19" s="25">
        <v>40.228511835473206</v>
      </c>
      <c r="BU19" s="25">
        <v>75.033604900615117</v>
      </c>
      <c r="BV19" s="25">
        <v>90.855037879581531</v>
      </c>
      <c r="BW19" s="25">
        <v>713.71251247909129</v>
      </c>
      <c r="BX19" s="25">
        <v>0</v>
      </c>
      <c r="BY19" s="25">
        <v>6018.390491903001</v>
      </c>
      <c r="BZ19" s="25">
        <v>1487.0023533941203</v>
      </c>
      <c r="CA19" s="25">
        <v>18.256368632936255</v>
      </c>
      <c r="CB19" s="25">
        <v>0</v>
      </c>
      <c r="CC19" s="25">
        <v>56258.295320507816</v>
      </c>
      <c r="CD19" s="25">
        <v>119.90141429200371</v>
      </c>
      <c r="CE19" s="25">
        <v>2530.1540512722554</v>
      </c>
      <c r="CF19" s="25">
        <v>60413.609508099093</v>
      </c>
      <c r="CG19" s="25">
        <v>66432</v>
      </c>
      <c r="CH19"/>
      <c r="CI19">
        <f t="shared" si="0"/>
        <v>0.90940524909831244</v>
      </c>
      <c r="CJ19"/>
      <c r="CK19"/>
      <c r="CL19"/>
      <c r="CM19"/>
      <c r="CN19"/>
      <c r="CO19"/>
      <c r="CP19"/>
      <c r="CQ19"/>
      <c r="CR19"/>
      <c r="CS19"/>
      <c r="CT19"/>
      <c r="CU19"/>
    </row>
    <row r="20" spans="1:99" s="5" customFormat="1" x14ac:dyDescent="0.3">
      <c r="A20" s="35" t="s">
        <v>24</v>
      </c>
      <c r="B20" s="13" t="s">
        <v>98</v>
      </c>
      <c r="C20" s="5">
        <v>15</v>
      </c>
      <c r="D20" s="25">
        <v>3.1656503368254212</v>
      </c>
      <c r="E20" s="25">
        <v>3.5016145817022655</v>
      </c>
      <c r="F20" s="25">
        <v>0.11250466792074208</v>
      </c>
      <c r="G20" s="25">
        <v>1.2552648448728361</v>
      </c>
      <c r="H20" s="25">
        <v>7.230083457881797</v>
      </c>
      <c r="I20" s="25">
        <v>3.1731176114512492</v>
      </c>
      <c r="J20" s="25">
        <v>0.2911685720237227</v>
      </c>
      <c r="K20" s="25">
        <v>14.205273766469926</v>
      </c>
      <c r="L20" s="25">
        <v>0.35946420768424214</v>
      </c>
      <c r="M20" s="25">
        <v>18.63153693478959</v>
      </c>
      <c r="N20" s="25">
        <v>4.7600469544155501</v>
      </c>
      <c r="O20" s="25">
        <v>0.20646677645055178</v>
      </c>
      <c r="P20" s="25">
        <v>4.6290137458726655</v>
      </c>
      <c r="Q20" s="25">
        <v>3.9448713309004133</v>
      </c>
      <c r="R20" s="25">
        <v>4155.6638549254176</v>
      </c>
      <c r="S20" s="25">
        <v>0.76695931972554121</v>
      </c>
      <c r="T20" s="25">
        <v>61.973868951911165</v>
      </c>
      <c r="U20" s="25">
        <v>1.8174690548495949</v>
      </c>
      <c r="V20" s="25">
        <v>1.0066646767342782</v>
      </c>
      <c r="W20" s="25">
        <v>2.5850075389228028E-2</v>
      </c>
      <c r="X20" s="25">
        <v>1.4882634456147273E-3</v>
      </c>
      <c r="Y20" s="25">
        <v>1.1895828463229976</v>
      </c>
      <c r="Z20" s="25">
        <v>3.0979993367822507</v>
      </c>
      <c r="AA20" s="25">
        <v>4.0532564004503708</v>
      </c>
      <c r="AB20" s="25">
        <v>5.6541105554984581</v>
      </c>
      <c r="AC20" s="25">
        <v>2.9261179072739241</v>
      </c>
      <c r="AD20" s="25">
        <v>20.455284808029276</v>
      </c>
      <c r="AE20" s="25">
        <v>2.9266939546275155</v>
      </c>
      <c r="AF20" s="25">
        <v>1.6093491459344706</v>
      </c>
      <c r="AG20" s="25">
        <v>1.0869083119438476</v>
      </c>
      <c r="AH20" s="25">
        <v>21.021282281114541</v>
      </c>
      <c r="AI20" s="25">
        <v>2.0171853123896883</v>
      </c>
      <c r="AJ20" s="25">
        <v>3.6322328564495923</v>
      </c>
      <c r="AK20" s="25">
        <v>6.1046983499278547</v>
      </c>
      <c r="AL20" s="25">
        <v>32.39202355927673</v>
      </c>
      <c r="AM20" s="25">
        <v>14.553318255000438</v>
      </c>
      <c r="AN20" s="25">
        <v>2.2000245250973318</v>
      </c>
      <c r="AO20" s="25">
        <v>34.980015712238689</v>
      </c>
      <c r="AP20" s="25">
        <v>3.5512269715090663</v>
      </c>
      <c r="AQ20" s="25">
        <v>48.542151785512054</v>
      </c>
      <c r="AR20" s="25">
        <v>7.9294045939837607</v>
      </c>
      <c r="AS20" s="25">
        <v>5.6811224898820534</v>
      </c>
      <c r="AT20" s="25">
        <v>62.416992316027851</v>
      </c>
      <c r="AU20" s="25">
        <v>0.97683659044505045</v>
      </c>
      <c r="AV20" s="25">
        <v>38.909173635655499</v>
      </c>
      <c r="AW20" s="25">
        <v>8.9998049757904486</v>
      </c>
      <c r="AX20" s="25">
        <v>18.534076538664536</v>
      </c>
      <c r="AY20" s="40">
        <v>16.556329365011656</v>
      </c>
      <c r="AZ20" s="25">
        <v>8.0811358525520044E-2</v>
      </c>
      <c r="BA20" s="25">
        <v>1.6804029088899453</v>
      </c>
      <c r="BB20" s="25">
        <v>0.60163347377445087</v>
      </c>
      <c r="BC20" s="25">
        <v>1.5930623870171838</v>
      </c>
      <c r="BD20" s="25">
        <v>19.165198497563843</v>
      </c>
      <c r="BE20" s="25">
        <v>1.0106411104110542</v>
      </c>
      <c r="BF20" s="25">
        <v>21.927959997995146</v>
      </c>
      <c r="BG20" s="25">
        <v>1.2906255395217827</v>
      </c>
      <c r="BH20" s="25">
        <v>3.3661820209957516</v>
      </c>
      <c r="BI20" s="25">
        <v>2.4523121619275736</v>
      </c>
      <c r="BJ20" s="25">
        <v>0.71811162448815435</v>
      </c>
      <c r="BK20" s="25">
        <v>1.4974092179878471</v>
      </c>
      <c r="BL20" s="25">
        <v>6.3304120503115779</v>
      </c>
      <c r="BM20" s="25">
        <v>1.975185981076947</v>
      </c>
      <c r="BN20" s="25">
        <v>1.1834953655319842</v>
      </c>
      <c r="BO20" s="25">
        <v>5.4848328294669395</v>
      </c>
      <c r="BP20" s="25">
        <v>49.192873267605989</v>
      </c>
      <c r="BQ20" s="25">
        <v>23.113457894109349</v>
      </c>
      <c r="BR20" s="25">
        <v>3.4092172432266792</v>
      </c>
      <c r="BS20" s="25">
        <v>0.5726037308362002</v>
      </c>
      <c r="BT20" s="25">
        <v>3.6907174135698084</v>
      </c>
      <c r="BU20" s="25">
        <v>5.9127732555703849</v>
      </c>
      <c r="BV20" s="25">
        <v>0.71157968631764146</v>
      </c>
      <c r="BW20" s="25">
        <v>3.5661619901216595</v>
      </c>
      <c r="BX20" s="25">
        <v>0</v>
      </c>
      <c r="BY20" s="25">
        <v>4819.2470974444177</v>
      </c>
      <c r="BZ20" s="25">
        <v>6665.3743838161636</v>
      </c>
      <c r="CA20" s="25">
        <v>0.18919681769293806</v>
      </c>
      <c r="CB20" s="25">
        <v>0</v>
      </c>
      <c r="CC20" s="25">
        <v>30701.253822498617</v>
      </c>
      <c r="CD20" s="25">
        <v>358.76273421774158</v>
      </c>
      <c r="CE20" s="25">
        <v>1303.1727652059487</v>
      </c>
      <c r="CF20" s="25">
        <v>39028.752902556174</v>
      </c>
      <c r="CG20" s="25">
        <v>43848</v>
      </c>
      <c r="CH20"/>
      <c r="CI20">
        <f t="shared" si="0"/>
        <v>0.89009197460673628</v>
      </c>
      <c r="CJ20"/>
      <c r="CK20"/>
      <c r="CL20"/>
      <c r="CM20"/>
      <c r="CN20"/>
      <c r="CO20"/>
      <c r="CP20"/>
      <c r="CQ20"/>
      <c r="CR20"/>
      <c r="CS20"/>
      <c r="CT20"/>
      <c r="CU20"/>
    </row>
    <row r="21" spans="1:99" s="5" customFormat="1" x14ac:dyDescent="0.3">
      <c r="A21" s="35" t="s">
        <v>25</v>
      </c>
      <c r="B21" s="13" t="s">
        <v>99</v>
      </c>
      <c r="C21" s="5">
        <v>16</v>
      </c>
      <c r="D21" s="25">
        <v>575.89959297462758</v>
      </c>
      <c r="E21" s="25">
        <v>408.86174245243643</v>
      </c>
      <c r="F21" s="25">
        <v>27.078125575125597</v>
      </c>
      <c r="G21" s="25">
        <v>5.0211369652671012</v>
      </c>
      <c r="H21" s="25">
        <v>3.1760824510168657</v>
      </c>
      <c r="I21" s="25">
        <v>1.225781096353548</v>
      </c>
      <c r="J21" s="25">
        <v>0.26039057385195663</v>
      </c>
      <c r="K21" s="25">
        <v>57.13450516522834</v>
      </c>
      <c r="L21" s="25">
        <v>0.62410237435219007</v>
      </c>
      <c r="M21" s="25">
        <v>405.6063431206822</v>
      </c>
      <c r="N21" s="25">
        <v>91.150689799000702</v>
      </c>
      <c r="O21" s="25">
        <v>0.29916003822419512</v>
      </c>
      <c r="P21" s="25">
        <v>31.360025702729924</v>
      </c>
      <c r="Q21" s="25">
        <v>2.5333417873788457</v>
      </c>
      <c r="R21" s="25">
        <v>0.97262586335494794</v>
      </c>
      <c r="S21" s="25">
        <v>3561.053935604044</v>
      </c>
      <c r="T21" s="25">
        <v>551.46127657983902</v>
      </c>
      <c r="U21" s="25">
        <v>0.56589008260184981</v>
      </c>
      <c r="V21" s="25">
        <v>2.0630228964122397</v>
      </c>
      <c r="W21" s="25">
        <v>5.2923185107571026E-2</v>
      </c>
      <c r="X21" s="25">
        <v>9.8132278302966972E-4</v>
      </c>
      <c r="Y21" s="25">
        <v>0.99085793010736489</v>
      </c>
      <c r="Z21" s="25">
        <v>24.669118147257489</v>
      </c>
      <c r="AA21" s="25">
        <v>49.781551585969268</v>
      </c>
      <c r="AB21" s="25">
        <v>1.8465129933731801</v>
      </c>
      <c r="AC21" s="25">
        <v>1.8269033600244682</v>
      </c>
      <c r="AD21" s="25">
        <v>4.9169045298608154</v>
      </c>
      <c r="AE21" s="25">
        <v>38.360309208720174</v>
      </c>
      <c r="AF21" s="25">
        <v>20.559373261957724</v>
      </c>
      <c r="AG21" s="25">
        <v>0.48397907430069476</v>
      </c>
      <c r="AH21" s="25">
        <v>244.31850088754982</v>
      </c>
      <c r="AI21" s="25">
        <v>2.0560778944507638</v>
      </c>
      <c r="AJ21" s="25">
        <v>5.5533200993508265</v>
      </c>
      <c r="AK21" s="25">
        <v>268.62275604968454</v>
      </c>
      <c r="AL21" s="25">
        <v>139.86950335432778</v>
      </c>
      <c r="AM21" s="25">
        <v>94.283122241299196</v>
      </c>
      <c r="AN21" s="25">
        <v>114.49865904488344</v>
      </c>
      <c r="AO21" s="25">
        <v>5155.4476853721289</v>
      </c>
      <c r="AP21" s="25">
        <v>2.9704190557009564</v>
      </c>
      <c r="AQ21" s="25">
        <v>303.96864307328116</v>
      </c>
      <c r="AR21" s="25">
        <v>49.653553996995726</v>
      </c>
      <c r="AS21" s="25">
        <v>35.574918516446054</v>
      </c>
      <c r="AT21" s="25">
        <v>28.219834389706026</v>
      </c>
      <c r="AU21" s="25">
        <v>6.525193357906546</v>
      </c>
      <c r="AV21" s="25">
        <v>5272.3530022514924</v>
      </c>
      <c r="AW21" s="25">
        <v>15.796129529045754</v>
      </c>
      <c r="AX21" s="25">
        <v>2542.947086809711</v>
      </c>
      <c r="AY21" s="40">
        <v>6.0463049545752678</v>
      </c>
      <c r="AZ21" s="25">
        <v>0.38099368759197688</v>
      </c>
      <c r="BA21" s="25">
        <v>0.50376783023816563</v>
      </c>
      <c r="BB21" s="25">
        <v>111.10870455918798</v>
      </c>
      <c r="BC21" s="25">
        <v>5.2650195955158399</v>
      </c>
      <c r="BD21" s="25">
        <v>27.278433124969197</v>
      </c>
      <c r="BE21" s="25">
        <v>0.92471510396970635</v>
      </c>
      <c r="BF21" s="25">
        <v>117.467944899315</v>
      </c>
      <c r="BG21" s="25">
        <v>9.4640346180192836</v>
      </c>
      <c r="BH21" s="25">
        <v>7.9710762440111775</v>
      </c>
      <c r="BI21" s="25">
        <v>22.249568143588508</v>
      </c>
      <c r="BJ21" s="25">
        <v>451.81329834525707</v>
      </c>
      <c r="BK21" s="25">
        <v>22.141556094672666</v>
      </c>
      <c r="BL21" s="25">
        <v>4.3252286635431245</v>
      </c>
      <c r="BM21" s="25">
        <v>4.8999483457747859</v>
      </c>
      <c r="BN21" s="25">
        <v>4.9439587295902365</v>
      </c>
      <c r="BO21" s="25">
        <v>143.49876687177465</v>
      </c>
      <c r="BP21" s="25">
        <v>1.1495339044149535</v>
      </c>
      <c r="BQ21" s="25">
        <v>85.991655433995788</v>
      </c>
      <c r="BR21" s="25">
        <v>26.267861447526954</v>
      </c>
      <c r="BS21" s="25">
        <v>20.108720825582562</v>
      </c>
      <c r="BT21" s="25">
        <v>5.5608174430738391</v>
      </c>
      <c r="BU21" s="25">
        <v>17.945372646197391</v>
      </c>
      <c r="BV21" s="25">
        <v>15.604886622927555</v>
      </c>
      <c r="BW21" s="25">
        <v>231.26643156306363</v>
      </c>
      <c r="BX21" s="25">
        <v>0</v>
      </c>
      <c r="BY21" s="25">
        <v>21496.674191324331</v>
      </c>
      <c r="BZ21" s="25">
        <v>8988.4962240800105</v>
      </c>
      <c r="CA21" s="25">
        <v>0.12378141963519998</v>
      </c>
      <c r="CB21" s="25">
        <v>0</v>
      </c>
      <c r="CC21" s="25">
        <v>2436.8813076685633</v>
      </c>
      <c r="CD21" s="25">
        <v>124.74319635612343</v>
      </c>
      <c r="CE21" s="25">
        <v>-359.91870082642885</v>
      </c>
      <c r="CF21" s="25">
        <v>11190.325808697906</v>
      </c>
      <c r="CG21" s="25">
        <v>32687</v>
      </c>
      <c r="CH21"/>
      <c r="CI21">
        <f t="shared" si="0"/>
        <v>0.34234790004276644</v>
      </c>
      <c r="CJ21"/>
      <c r="CK21"/>
      <c r="CL21"/>
      <c r="CM21"/>
      <c r="CN21"/>
      <c r="CO21"/>
      <c r="CP21"/>
      <c r="CQ21"/>
      <c r="CR21"/>
      <c r="CS21"/>
      <c r="CT21"/>
      <c r="CU21"/>
    </row>
    <row r="22" spans="1:99" s="5" customFormat="1" x14ac:dyDescent="0.3">
      <c r="A22" s="35" t="s">
        <v>26</v>
      </c>
      <c r="B22" s="11" t="s">
        <v>100</v>
      </c>
      <c r="C22" s="5">
        <v>17</v>
      </c>
      <c r="D22" s="25">
        <v>484.47657908812602</v>
      </c>
      <c r="E22" s="25">
        <v>163.41992247595826</v>
      </c>
      <c r="F22" s="25">
        <v>20.615260347114198</v>
      </c>
      <c r="G22" s="25">
        <v>5.8578921770495143</v>
      </c>
      <c r="H22" s="25">
        <v>63.998590091409142</v>
      </c>
      <c r="I22" s="25">
        <v>116.44933324596096</v>
      </c>
      <c r="J22" s="25">
        <v>19.522373066008036</v>
      </c>
      <c r="K22" s="25">
        <v>2946.450864063343</v>
      </c>
      <c r="L22" s="25">
        <v>16.792677936772492</v>
      </c>
      <c r="M22" s="25">
        <v>3579.4642539699116</v>
      </c>
      <c r="N22" s="25">
        <v>227.40911400973994</v>
      </c>
      <c r="O22" s="25">
        <v>527.10497440370898</v>
      </c>
      <c r="P22" s="25">
        <v>533.58149741546777</v>
      </c>
      <c r="Q22" s="25">
        <v>304.23519179800036</v>
      </c>
      <c r="R22" s="25">
        <v>599.12898950250974</v>
      </c>
      <c r="S22" s="25">
        <v>997.05550669050319</v>
      </c>
      <c r="T22" s="25">
        <v>17336.141523292394</v>
      </c>
      <c r="U22" s="25">
        <v>1080.5644362790067</v>
      </c>
      <c r="V22" s="25">
        <v>149.69532659309297</v>
      </c>
      <c r="W22" s="25">
        <v>3.8398047693873503</v>
      </c>
      <c r="X22" s="25">
        <v>5.7059413013689622E-2</v>
      </c>
      <c r="Y22" s="25">
        <v>55.80084979190098</v>
      </c>
      <c r="Z22" s="25">
        <v>109.13595645361006</v>
      </c>
      <c r="AA22" s="25">
        <v>203.32754747843759</v>
      </c>
      <c r="AB22" s="25">
        <v>1479.5944059635219</v>
      </c>
      <c r="AC22" s="25">
        <v>881.64015201840959</v>
      </c>
      <c r="AD22" s="25">
        <v>2148.3735267543443</v>
      </c>
      <c r="AE22" s="25">
        <v>1464.0260625544502</v>
      </c>
      <c r="AF22" s="25">
        <v>44.193157211983952</v>
      </c>
      <c r="AG22" s="25">
        <v>18.777785833759225</v>
      </c>
      <c r="AH22" s="25">
        <v>1188.0628875288216</v>
      </c>
      <c r="AI22" s="25">
        <v>697.10906438325617</v>
      </c>
      <c r="AJ22" s="25">
        <v>368.93227969774961</v>
      </c>
      <c r="AK22" s="25">
        <v>132.28754563704774</v>
      </c>
      <c r="AL22" s="25">
        <v>290.31712655254341</v>
      </c>
      <c r="AM22" s="25">
        <v>705.04817118748031</v>
      </c>
      <c r="AN22" s="25">
        <v>47.987182601319333</v>
      </c>
      <c r="AO22" s="25">
        <v>861.40980278848042</v>
      </c>
      <c r="AP22" s="25">
        <v>24.287570788032568</v>
      </c>
      <c r="AQ22" s="25">
        <v>60.292344010331433</v>
      </c>
      <c r="AR22" s="25">
        <v>9.8488091687822603</v>
      </c>
      <c r="AS22" s="25">
        <v>7.056304241276564</v>
      </c>
      <c r="AT22" s="25">
        <v>3.9153997106606142</v>
      </c>
      <c r="AU22" s="25">
        <v>57.548798715221388</v>
      </c>
      <c r="AV22" s="25">
        <v>341.38662747232547</v>
      </c>
      <c r="AW22" s="25">
        <v>605.5091366437631</v>
      </c>
      <c r="AX22" s="25">
        <v>5757.9757212547684</v>
      </c>
      <c r="AY22" s="40">
        <v>172.26839729477263</v>
      </c>
      <c r="AZ22" s="25">
        <v>44.88445765631959</v>
      </c>
      <c r="BA22" s="25">
        <v>16.699982283057626</v>
      </c>
      <c r="BB22" s="25">
        <v>301.23450955963051</v>
      </c>
      <c r="BC22" s="25">
        <v>179.6825292729275</v>
      </c>
      <c r="BD22" s="25">
        <v>1295.139463873573</v>
      </c>
      <c r="BE22" s="25">
        <v>769.85663133136416</v>
      </c>
      <c r="BF22" s="25">
        <v>121.38809587312124</v>
      </c>
      <c r="BG22" s="25">
        <v>60.099533494634706</v>
      </c>
      <c r="BH22" s="25">
        <v>566.53763841641342</v>
      </c>
      <c r="BI22" s="25">
        <v>1394.2435368236875</v>
      </c>
      <c r="BJ22" s="25">
        <v>292.67537925035981</v>
      </c>
      <c r="BK22" s="25">
        <v>1496.7377422322315</v>
      </c>
      <c r="BL22" s="25">
        <v>375.26764977143358</v>
      </c>
      <c r="BM22" s="25">
        <v>516.77110522424675</v>
      </c>
      <c r="BN22" s="25">
        <v>441.52115269618628</v>
      </c>
      <c r="BO22" s="25">
        <v>1897.0610850099845</v>
      </c>
      <c r="BP22" s="25">
        <v>35.822763577414072</v>
      </c>
      <c r="BQ22" s="25">
        <v>843.65663235393299</v>
      </c>
      <c r="BR22" s="25">
        <v>646.23875732468036</v>
      </c>
      <c r="BS22" s="25">
        <v>483.89953808075313</v>
      </c>
      <c r="BT22" s="25">
        <v>130.78637323516386</v>
      </c>
      <c r="BU22" s="25">
        <v>839.06053927534674</v>
      </c>
      <c r="BV22" s="25">
        <v>66.767841390422049</v>
      </c>
      <c r="BW22" s="25">
        <v>558.64345554160946</v>
      </c>
      <c r="BX22" s="25">
        <v>0</v>
      </c>
      <c r="BY22" s="25">
        <v>60286.650177914038</v>
      </c>
      <c r="BZ22" s="25">
        <v>34160.217659532369</v>
      </c>
      <c r="CA22" s="25">
        <v>0.21114252305990536</v>
      </c>
      <c r="CB22" s="25">
        <v>0</v>
      </c>
      <c r="CC22" s="25">
        <v>14142.497722479031</v>
      </c>
      <c r="CD22" s="25">
        <v>218.06720880545404</v>
      </c>
      <c r="CE22" s="25">
        <v>787.35608879618803</v>
      </c>
      <c r="CF22" s="25">
        <v>49308.349822136122</v>
      </c>
      <c r="CG22" s="25">
        <v>109595</v>
      </c>
      <c r="CH22"/>
      <c r="CI22">
        <f t="shared" si="0"/>
        <v>0.44991422804084241</v>
      </c>
      <c r="CJ22"/>
      <c r="CK22"/>
      <c r="CL22"/>
      <c r="CM22"/>
      <c r="CN22"/>
      <c r="CO22"/>
      <c r="CP22"/>
      <c r="CQ22"/>
      <c r="CR22"/>
      <c r="CS22"/>
      <c r="CT22"/>
      <c r="CU22"/>
    </row>
    <row r="23" spans="1:99" s="5" customFormat="1" x14ac:dyDescent="0.3">
      <c r="A23" s="35" t="s">
        <v>27</v>
      </c>
      <c r="B23" s="11" t="s">
        <v>101</v>
      </c>
      <c r="C23" s="5">
        <v>18</v>
      </c>
      <c r="D23" s="25">
        <v>13.339322336485235</v>
      </c>
      <c r="E23" s="25">
        <v>3.1329613532081737</v>
      </c>
      <c r="F23" s="25">
        <v>2.4387295803335323</v>
      </c>
      <c r="G23" s="25">
        <v>0.41174963220345551</v>
      </c>
      <c r="H23" s="25">
        <v>6.6182739715733696</v>
      </c>
      <c r="I23" s="25">
        <v>14.804113355511834</v>
      </c>
      <c r="J23" s="25">
        <v>3.8701544742412097</v>
      </c>
      <c r="K23" s="25">
        <v>85.186409952943919</v>
      </c>
      <c r="L23" s="25">
        <v>11.087753283561041</v>
      </c>
      <c r="M23" s="25">
        <v>114.11040389106206</v>
      </c>
      <c r="N23" s="25">
        <v>221.79900535780783</v>
      </c>
      <c r="O23" s="25">
        <v>5.157676783603768</v>
      </c>
      <c r="P23" s="25">
        <v>17.391981351023837</v>
      </c>
      <c r="Q23" s="25">
        <v>19.532918733880258</v>
      </c>
      <c r="R23" s="25">
        <v>12.239218348222984</v>
      </c>
      <c r="S23" s="25">
        <v>28.70140216483221</v>
      </c>
      <c r="T23" s="25">
        <v>196.93695866879804</v>
      </c>
      <c r="U23" s="25">
        <v>996.48161893031045</v>
      </c>
      <c r="V23" s="25">
        <v>8.9755705319727976</v>
      </c>
      <c r="W23" s="25">
        <v>0.23020988411853741</v>
      </c>
      <c r="X23" s="25">
        <v>2.6149486501612427E-3</v>
      </c>
      <c r="Y23" s="25">
        <v>9.8994416833193135</v>
      </c>
      <c r="Z23" s="25">
        <v>5.5179686526019465</v>
      </c>
      <c r="AA23" s="25">
        <v>23.272288452989464</v>
      </c>
      <c r="AB23" s="25">
        <v>16.904612099165309</v>
      </c>
      <c r="AC23" s="25">
        <v>18.810886334988925</v>
      </c>
      <c r="AD23" s="25">
        <v>61.632086605662025</v>
      </c>
      <c r="AE23" s="25">
        <v>25.16405186894179</v>
      </c>
      <c r="AF23" s="25">
        <v>18.243604821766155</v>
      </c>
      <c r="AG23" s="25">
        <v>1.7709165931754178</v>
      </c>
      <c r="AH23" s="25">
        <v>31.445401191103375</v>
      </c>
      <c r="AI23" s="25">
        <v>194.60325009516066</v>
      </c>
      <c r="AJ23" s="25">
        <v>13.867940817486756</v>
      </c>
      <c r="AK23" s="25">
        <v>22.023420020685744</v>
      </c>
      <c r="AL23" s="25">
        <v>28.005185858666746</v>
      </c>
      <c r="AM23" s="25">
        <v>28.21837239817825</v>
      </c>
      <c r="AN23" s="25">
        <v>5.3995950654618863</v>
      </c>
      <c r="AO23" s="25">
        <v>39.211127289602899</v>
      </c>
      <c r="AP23" s="25">
        <v>3.8478854595298939</v>
      </c>
      <c r="AQ23" s="25">
        <v>22.346285787186023</v>
      </c>
      <c r="AR23" s="25">
        <v>3.6502860846039376</v>
      </c>
      <c r="AS23" s="25">
        <v>2.6152937618394665</v>
      </c>
      <c r="AT23" s="25">
        <v>5.3059561107700794</v>
      </c>
      <c r="AU23" s="25">
        <v>11.366928333523759</v>
      </c>
      <c r="AV23" s="25">
        <v>71.515593522430578</v>
      </c>
      <c r="AW23" s="25">
        <v>111.40668932156279</v>
      </c>
      <c r="AX23" s="25">
        <v>6729.9426449456223</v>
      </c>
      <c r="AY23" s="40">
        <v>56.85771285147267</v>
      </c>
      <c r="AZ23" s="25">
        <v>1.7187503961847612</v>
      </c>
      <c r="BA23" s="25">
        <v>33.680218153388793</v>
      </c>
      <c r="BB23" s="25">
        <v>63.906744764856342</v>
      </c>
      <c r="BC23" s="25">
        <v>10.455078327361646</v>
      </c>
      <c r="BD23" s="25">
        <v>101.21687459716247</v>
      </c>
      <c r="BE23" s="25">
        <v>1189.4141458884806</v>
      </c>
      <c r="BF23" s="25">
        <v>211.93620447332046</v>
      </c>
      <c r="BG23" s="25">
        <v>605.27134125392308</v>
      </c>
      <c r="BH23" s="25">
        <v>538.32545311209321</v>
      </c>
      <c r="BI23" s="25">
        <v>1458.0065591688883</v>
      </c>
      <c r="BJ23" s="25">
        <v>330.83616985435003</v>
      </c>
      <c r="BK23" s="25">
        <v>556.47460661289415</v>
      </c>
      <c r="BL23" s="25">
        <v>226.79438734614351</v>
      </c>
      <c r="BM23" s="25">
        <v>2104.0793969167003</v>
      </c>
      <c r="BN23" s="25">
        <v>63.744541446255411</v>
      </c>
      <c r="BO23" s="25">
        <v>1293.0832488715801</v>
      </c>
      <c r="BP23" s="25">
        <v>2.9332676004145624</v>
      </c>
      <c r="BQ23" s="25">
        <v>1054.3198988395673</v>
      </c>
      <c r="BR23" s="25">
        <v>222.82941521498168</v>
      </c>
      <c r="BS23" s="25">
        <v>41.714129950786727</v>
      </c>
      <c r="BT23" s="25">
        <v>89.605469705838274</v>
      </c>
      <c r="BU23" s="25">
        <v>103.38244922351554</v>
      </c>
      <c r="BV23" s="25">
        <v>328.68184010140919</v>
      </c>
      <c r="BW23" s="25">
        <v>344.79312245990695</v>
      </c>
      <c r="BX23" s="25">
        <v>0</v>
      </c>
      <c r="BY23" s="25">
        <v>20302.49778784185</v>
      </c>
      <c r="BZ23" s="25">
        <v>176.53574298205356</v>
      </c>
      <c r="CA23" s="25">
        <v>0.26935788229663143</v>
      </c>
      <c r="CB23" s="25">
        <v>0</v>
      </c>
      <c r="CC23" s="25">
        <v>1258.4005468510047</v>
      </c>
      <c r="CD23" s="25">
        <v>40.666815602113267</v>
      </c>
      <c r="CE23" s="25">
        <v>-445.37025112817054</v>
      </c>
      <c r="CF23" s="25">
        <v>1030.5022121892976</v>
      </c>
      <c r="CG23" s="25">
        <v>21333</v>
      </c>
      <c r="CH23"/>
      <c r="CI23">
        <f t="shared" si="0"/>
        <v>4.8305545970529114E-2</v>
      </c>
      <c r="CJ23"/>
      <c r="CK23"/>
      <c r="CL23"/>
      <c r="CM23"/>
      <c r="CN23"/>
      <c r="CO23"/>
      <c r="CP23"/>
      <c r="CQ23"/>
      <c r="CR23"/>
      <c r="CS23"/>
      <c r="CT23"/>
      <c r="CU23"/>
    </row>
    <row r="24" spans="1:99" s="18" customFormat="1" x14ac:dyDescent="0.3">
      <c r="A24" s="35" t="s">
        <v>28</v>
      </c>
      <c r="B24" s="4" t="s">
        <v>102</v>
      </c>
      <c r="C24" s="18">
        <v>19</v>
      </c>
      <c r="D24" s="46">
        <v>12522.632519533092</v>
      </c>
      <c r="E24" s="46">
        <v>4529.1576882829731</v>
      </c>
      <c r="F24" s="46">
        <v>691.20360658459242</v>
      </c>
      <c r="G24" s="46">
        <v>1123.6606102339751</v>
      </c>
      <c r="H24" s="46">
        <v>3436.5901396139275</v>
      </c>
      <c r="I24" s="46">
        <v>4990.8881594386366</v>
      </c>
      <c r="J24" s="46">
        <v>1243.4586100658526</v>
      </c>
      <c r="K24" s="46">
        <v>3099.5978747182226</v>
      </c>
      <c r="L24" s="46">
        <v>901.23197496123021</v>
      </c>
      <c r="M24" s="46">
        <v>3777.5560112972616</v>
      </c>
      <c r="N24" s="46">
        <v>721.48778110527439</v>
      </c>
      <c r="O24" s="46">
        <v>19.753751511316885</v>
      </c>
      <c r="P24" s="46">
        <v>252.82664097451064</v>
      </c>
      <c r="Q24" s="46">
        <v>105.1450681065524</v>
      </c>
      <c r="R24" s="46">
        <v>196.64050937947721</v>
      </c>
      <c r="S24" s="46">
        <v>273.71901313171429</v>
      </c>
      <c r="T24" s="46">
        <v>2024.9337788883145</v>
      </c>
      <c r="U24" s="46">
        <v>22.932426491456628</v>
      </c>
      <c r="V24" s="46">
        <v>110832.26105709503</v>
      </c>
      <c r="W24" s="46">
        <v>2852.6018414340801</v>
      </c>
      <c r="X24" s="46">
        <v>913.18108339073501</v>
      </c>
      <c r="Y24" s="46">
        <v>372.77800864538665</v>
      </c>
      <c r="Z24" s="46">
        <v>10873.963150608515</v>
      </c>
      <c r="AA24" s="46">
        <v>960.79738217402087</v>
      </c>
      <c r="AB24" s="46">
        <v>470.1262062355666</v>
      </c>
      <c r="AC24" s="46">
        <v>187.46501781303067</v>
      </c>
      <c r="AD24" s="46">
        <v>1671.0651731823252</v>
      </c>
      <c r="AE24" s="46">
        <v>2993.1382155248989</v>
      </c>
      <c r="AF24" s="46">
        <v>1853.8128862687497</v>
      </c>
      <c r="AG24" s="46">
        <v>2401.590078444216</v>
      </c>
      <c r="AH24" s="46">
        <v>412.73978207336182</v>
      </c>
      <c r="AI24" s="46">
        <v>196.80683430812857</v>
      </c>
      <c r="AJ24" s="46">
        <v>532.91945425261213</v>
      </c>
      <c r="AK24" s="46">
        <v>438.35205049141177</v>
      </c>
      <c r="AL24" s="46">
        <v>997.16558673446275</v>
      </c>
      <c r="AM24" s="46">
        <v>366.59462089235251</v>
      </c>
      <c r="AN24" s="46">
        <v>99.828542069340401</v>
      </c>
      <c r="AO24" s="46">
        <v>264.11533615702814</v>
      </c>
      <c r="AP24" s="46">
        <v>340.00152047639358</v>
      </c>
      <c r="AQ24" s="46">
        <v>2403.6211238173555</v>
      </c>
      <c r="AR24" s="46">
        <v>392.5613967492672</v>
      </c>
      <c r="AS24" s="46">
        <v>281.2555915514609</v>
      </c>
      <c r="AT24" s="46">
        <v>39.351034825142662</v>
      </c>
      <c r="AU24" s="46">
        <v>1057.6584168554284</v>
      </c>
      <c r="AV24" s="46">
        <v>6560.9161595641526</v>
      </c>
      <c r="AW24" s="46">
        <v>959.18197134293257</v>
      </c>
      <c r="AX24" s="46">
        <v>15601.925063646577</v>
      </c>
      <c r="AY24" s="48">
        <f>'Fluxos Energia'!P17</f>
        <v>0</v>
      </c>
      <c r="AZ24" s="46">
        <v>1664.3254032695027</v>
      </c>
      <c r="BA24" s="46">
        <v>6710.988050768251</v>
      </c>
      <c r="BB24" s="46">
        <v>2004.3535197355434</v>
      </c>
      <c r="BC24" s="46">
        <v>84.590635668237184</v>
      </c>
      <c r="BD24" s="46">
        <v>2272.97567882577</v>
      </c>
      <c r="BE24" s="46">
        <v>23.045753027364938</v>
      </c>
      <c r="BF24" s="46">
        <v>58.727794531367806</v>
      </c>
      <c r="BG24" s="46">
        <v>89.357006794270276</v>
      </c>
      <c r="BH24" s="46">
        <v>172.01030491538387</v>
      </c>
      <c r="BI24" s="46">
        <v>598.21743042017511</v>
      </c>
      <c r="BJ24" s="46">
        <v>101.5923021008885</v>
      </c>
      <c r="BK24" s="46">
        <v>574.34079343583812</v>
      </c>
      <c r="BL24" s="46">
        <v>407.7551894533571</v>
      </c>
      <c r="BM24" s="46">
        <v>131.53972635633767</v>
      </c>
      <c r="BN24" s="46">
        <v>708.48833907984294</v>
      </c>
      <c r="BO24" s="46">
        <v>565.40770019436866</v>
      </c>
      <c r="BP24" s="46">
        <v>427.26511935873617</v>
      </c>
      <c r="BQ24" s="46">
        <v>2331.4275477576762</v>
      </c>
      <c r="BR24" s="46">
        <v>334.33949886834267</v>
      </c>
      <c r="BS24" s="46">
        <v>129.02050993549793</v>
      </c>
      <c r="BT24" s="46">
        <v>80.289527507648458</v>
      </c>
      <c r="BU24" s="46">
        <v>348.12057642093322</v>
      </c>
      <c r="BV24" s="46">
        <v>142.96643688512478</v>
      </c>
      <c r="BW24" s="46">
        <v>710.68954719135274</v>
      </c>
      <c r="BX24" s="46">
        <v>0</v>
      </c>
      <c r="BY24" s="46">
        <v>300268.8618076829</v>
      </c>
      <c r="BZ24" s="46">
        <v>21129.468115285599</v>
      </c>
      <c r="CA24" s="46">
        <v>0</v>
      </c>
      <c r="CB24" s="46">
        <v>0</v>
      </c>
      <c r="CC24" s="46">
        <v>117714.641201433</v>
      </c>
      <c r="CD24" s="46">
        <v>1.4315587348310601</v>
      </c>
      <c r="CE24" s="46">
        <v>-5303.1361940251199</v>
      </c>
      <c r="CF24" s="46">
        <v>133542.40468142793</v>
      </c>
      <c r="CG24" s="46">
        <v>433811.26648911083</v>
      </c>
      <c r="CH24"/>
      <c r="CI24">
        <f t="shared" si="0"/>
        <v>0.30783526154634805</v>
      </c>
      <c r="CJ24"/>
      <c r="CK24"/>
      <c r="CL24"/>
      <c r="CM24"/>
      <c r="CN24"/>
      <c r="CO24"/>
      <c r="CP24"/>
      <c r="CQ24"/>
      <c r="CR24"/>
      <c r="CS24"/>
      <c r="CT24"/>
      <c r="CU24"/>
    </row>
    <row r="25" spans="1:99" s="18" customFormat="1" x14ac:dyDescent="0.3">
      <c r="A25" s="35" t="s">
        <v>29</v>
      </c>
      <c r="B25" s="4" t="s">
        <v>103</v>
      </c>
      <c r="C25" s="18">
        <v>20</v>
      </c>
      <c r="D25" s="46">
        <v>800.98709238031074</v>
      </c>
      <c r="E25" s="46">
        <v>228.31395134121664</v>
      </c>
      <c r="F25" s="46">
        <v>42.84210846485729</v>
      </c>
      <c r="G25" s="46">
        <v>49.015375331955099</v>
      </c>
      <c r="H25" s="46">
        <v>29.475244253497728</v>
      </c>
      <c r="I25" s="46">
        <v>349.95761769903044</v>
      </c>
      <c r="J25" s="46">
        <v>66.507064819792134</v>
      </c>
      <c r="K25" s="46">
        <v>152.9995966611024</v>
      </c>
      <c r="L25" s="46">
        <v>66.775694859087963</v>
      </c>
      <c r="M25" s="46">
        <v>217.49628010011335</v>
      </c>
      <c r="N25" s="46">
        <v>35.430374874966532</v>
      </c>
      <c r="O25" s="46">
        <v>1.2241021908097549</v>
      </c>
      <c r="P25" s="46">
        <v>8.7468574422966933E-2</v>
      </c>
      <c r="Q25" s="46">
        <v>4.1680127820015886E-2</v>
      </c>
      <c r="R25" s="46">
        <v>5.2176194185798191E-2</v>
      </c>
      <c r="S25" s="46">
        <v>0.70663884087715245</v>
      </c>
      <c r="T25" s="46">
        <v>36.050744959885058</v>
      </c>
      <c r="U25" s="46">
        <v>1.6231507350466379</v>
      </c>
      <c r="V25" s="46">
        <v>4.9463166031858421</v>
      </c>
      <c r="W25" s="46">
        <v>0.12740008991067267</v>
      </c>
      <c r="X25" s="46">
        <v>2.2286903330390823E-2</v>
      </c>
      <c r="Y25" s="46">
        <v>830.99987346381795</v>
      </c>
      <c r="Z25" s="46">
        <v>88.073225849021981</v>
      </c>
      <c r="AA25" s="46">
        <v>26.385249778054153</v>
      </c>
      <c r="AB25" s="46">
        <v>22.19683428704419</v>
      </c>
      <c r="AC25" s="46">
        <v>15.228424622984061</v>
      </c>
      <c r="AD25" s="46">
        <v>59.441331229481158</v>
      </c>
      <c r="AE25" s="46">
        <v>62.48707651720617</v>
      </c>
      <c r="AF25" s="46">
        <v>53.695921184526156</v>
      </c>
      <c r="AG25" s="46">
        <v>14.697807497505472</v>
      </c>
      <c r="AH25" s="46">
        <v>22.59738246849809</v>
      </c>
      <c r="AI25" s="46">
        <v>14.780253823385392</v>
      </c>
      <c r="AJ25" s="46">
        <v>16.201304973411656</v>
      </c>
      <c r="AK25" s="46">
        <v>18.656441525958165</v>
      </c>
      <c r="AL25" s="46">
        <v>66.238086762132014</v>
      </c>
      <c r="AM25" s="46">
        <v>15.162335757206742</v>
      </c>
      <c r="AN25" s="46">
        <v>6.2855793006054697</v>
      </c>
      <c r="AO25" s="46">
        <v>16.047930732855296</v>
      </c>
      <c r="AP25" s="46">
        <v>15.826858358950924</v>
      </c>
      <c r="AQ25" s="46">
        <v>1.0453906676912066</v>
      </c>
      <c r="AR25" s="46">
        <v>0.17033481756105376</v>
      </c>
      <c r="AS25" s="46">
        <v>0.12203854039561458</v>
      </c>
      <c r="AT25" s="46">
        <v>2.0696437936307807E-2</v>
      </c>
      <c r="AU25" s="46">
        <v>0.84012605867218304</v>
      </c>
      <c r="AV25" s="46">
        <v>314.86489219163877</v>
      </c>
      <c r="AW25" s="46">
        <v>14.792994580132206</v>
      </c>
      <c r="AX25" s="46">
        <v>747.61131564934908</v>
      </c>
      <c r="AY25" s="48">
        <f>'Fluxos Energia'!P18</f>
        <v>58653.978747055175</v>
      </c>
      <c r="AZ25" s="46">
        <v>0.84983695185490293</v>
      </c>
      <c r="BA25" s="46">
        <v>32.27113757300112</v>
      </c>
      <c r="BB25" s="46">
        <v>102.63218127976005</v>
      </c>
      <c r="BC25" s="46">
        <v>1.5996283358392476</v>
      </c>
      <c r="BD25" s="46">
        <v>1.1177232242077269</v>
      </c>
      <c r="BE25" s="46">
        <v>0.21533386704567911</v>
      </c>
      <c r="BF25" s="46">
        <v>0.7536020199406791</v>
      </c>
      <c r="BG25" s="46">
        <v>0.52129845275347098</v>
      </c>
      <c r="BH25" s="46">
        <v>0.78407177280580997</v>
      </c>
      <c r="BI25" s="46">
        <v>2.723078605507566</v>
      </c>
      <c r="BJ25" s="46">
        <v>0.56868637304067438</v>
      </c>
      <c r="BK25" s="46">
        <v>2.6149690456407759</v>
      </c>
      <c r="BL25" s="46">
        <v>2.1615132488413709</v>
      </c>
      <c r="BM25" s="46">
        <v>0.55949068530369961</v>
      </c>
      <c r="BN25" s="46">
        <v>8.1413889672549988</v>
      </c>
      <c r="BO25" s="46">
        <v>2.5664201960293136</v>
      </c>
      <c r="BP25" s="46">
        <v>24.202500883003804</v>
      </c>
      <c r="BQ25" s="46">
        <v>7.0732373027531645</v>
      </c>
      <c r="BR25" s="46">
        <v>0.70014747876949934</v>
      </c>
      <c r="BS25" s="46">
        <v>6.9915698388294043</v>
      </c>
      <c r="BT25" s="46">
        <v>0.2017277790717576</v>
      </c>
      <c r="BU25" s="46">
        <v>4.8962952711294179</v>
      </c>
      <c r="BV25" s="46">
        <v>4.0101391892789389</v>
      </c>
      <c r="BW25" s="46">
        <v>16.713675476606536</v>
      </c>
      <c r="BX25" s="46">
        <v>0</v>
      </c>
      <c r="BY25" s="46">
        <v>9935.2016651372924</v>
      </c>
      <c r="BZ25" s="46">
        <v>421.58378395935199</v>
      </c>
      <c r="CA25" s="46">
        <v>0</v>
      </c>
      <c r="CB25" s="46">
        <v>0</v>
      </c>
      <c r="CC25" s="46">
        <v>43.723354520799496</v>
      </c>
      <c r="CD25" s="46">
        <v>0.48795201857792703</v>
      </c>
      <c r="CE25" s="46">
        <v>-15.134626870855699</v>
      </c>
      <c r="CF25" s="46">
        <v>450.66046362787347</v>
      </c>
      <c r="CG25" s="46">
        <v>10385.862128765166</v>
      </c>
      <c r="CH25"/>
      <c r="CI25">
        <f t="shared" si="0"/>
        <v>4.339172406108717E-2</v>
      </c>
      <c r="CJ25"/>
      <c r="CK25"/>
      <c r="CL25"/>
      <c r="CM25"/>
      <c r="CN25"/>
      <c r="CO25"/>
      <c r="CP25"/>
      <c r="CQ25"/>
      <c r="CR25"/>
      <c r="CS25"/>
      <c r="CT25"/>
      <c r="CU25"/>
    </row>
    <row r="26" spans="1:99" s="18" customFormat="1" x14ac:dyDescent="0.3">
      <c r="A26" s="35" t="s">
        <v>30</v>
      </c>
      <c r="B26" s="11" t="s">
        <v>104</v>
      </c>
      <c r="C26" s="18">
        <v>21</v>
      </c>
      <c r="D26" s="46">
        <v>3.097599811957731</v>
      </c>
      <c r="E26" s="46">
        <v>2.6317441718778483</v>
      </c>
      <c r="F26" s="46">
        <v>0.25045315140373309</v>
      </c>
      <c r="G26" s="46">
        <v>1.1454317617459846</v>
      </c>
      <c r="H26" s="46">
        <v>63.643880813932434</v>
      </c>
      <c r="I26" s="46">
        <v>25.411817206673721</v>
      </c>
      <c r="J26" s="46">
        <v>4.7089032887406397</v>
      </c>
      <c r="K26" s="46">
        <v>1.4120661489589843</v>
      </c>
      <c r="L26" s="46">
        <v>2.2448832994914965E-2</v>
      </c>
      <c r="M26" s="46">
        <v>0.73106477719809781</v>
      </c>
      <c r="N26" s="46">
        <v>0.31731661243234488</v>
      </c>
      <c r="O26" s="46">
        <v>4.2146732089029188E-3</v>
      </c>
      <c r="P26" s="46">
        <v>7.3819091888877947E-2</v>
      </c>
      <c r="Q26" s="46">
        <v>1.8262355748853928E-3</v>
      </c>
      <c r="R26" s="46">
        <v>6.8517283904238738E-2</v>
      </c>
      <c r="S26" s="46">
        <v>0.41032360765982845</v>
      </c>
      <c r="T26" s="46">
        <v>0.80412552092852674</v>
      </c>
      <c r="U26" s="46">
        <v>4.2380244401252782E-3</v>
      </c>
      <c r="V26" s="46">
        <v>111.54950844292934</v>
      </c>
      <c r="W26" s="46">
        <v>15.910302955689614</v>
      </c>
      <c r="X26" s="46">
        <v>1312.4122952422433</v>
      </c>
      <c r="Y26" s="46">
        <v>3.3455571526155286E-3</v>
      </c>
      <c r="Z26" s="46">
        <v>3.6823053334142277</v>
      </c>
      <c r="AA26" s="46">
        <v>0.54571521204773887</v>
      </c>
      <c r="AB26" s="46">
        <v>0.20430783912428513</v>
      </c>
      <c r="AC26" s="46">
        <v>2.3745335612572707E-2</v>
      </c>
      <c r="AD26" s="46">
        <v>0.91186851007197556</v>
      </c>
      <c r="AE26" s="46">
        <v>18.895061571639101</v>
      </c>
      <c r="AF26" s="46">
        <v>1035.1843245612683</v>
      </c>
      <c r="AG26" s="46">
        <v>27.184975318788272</v>
      </c>
      <c r="AH26" s="46">
        <v>20.27854295009459</v>
      </c>
      <c r="AI26" s="46">
        <v>0.11311615847944548</v>
      </c>
      <c r="AJ26" s="46">
        <v>81.726580369796153</v>
      </c>
      <c r="AK26" s="46">
        <v>26.200130192655507</v>
      </c>
      <c r="AL26" s="46">
        <v>22.452421923146879</v>
      </c>
      <c r="AM26" s="46">
        <v>41.159031431785124</v>
      </c>
      <c r="AN26" s="46">
        <v>2.3537012046784431</v>
      </c>
      <c r="AO26" s="46">
        <v>10.863703891176662</v>
      </c>
      <c r="AP26" s="46">
        <v>29.206644372032159</v>
      </c>
      <c r="AQ26" s="46">
        <v>4.8418514602366525</v>
      </c>
      <c r="AR26" s="46">
        <v>0.79068716599325317</v>
      </c>
      <c r="AS26" s="46">
        <v>0.56649784834961781</v>
      </c>
      <c r="AT26" s="46">
        <v>8.0074452856133779E-2</v>
      </c>
      <c r="AU26" s="46">
        <v>0.42937543654728849</v>
      </c>
      <c r="AV26" s="46">
        <v>3.1763959094286802</v>
      </c>
      <c r="AW26" s="46">
        <v>2.2347957659808628</v>
      </c>
      <c r="AX26" s="46">
        <v>8.125685475566307</v>
      </c>
      <c r="AY26" s="47">
        <v>81.923630447983768</v>
      </c>
      <c r="AZ26" s="46">
        <v>0.47737028934962372</v>
      </c>
      <c r="BA26" s="46">
        <v>20.979156471462314</v>
      </c>
      <c r="BB26" s="46">
        <v>0.51031590022122419</v>
      </c>
      <c r="BC26" s="46">
        <v>0.16350879002132898</v>
      </c>
      <c r="BD26" s="46">
        <v>2.3645019132421026</v>
      </c>
      <c r="BE26" s="46">
        <v>5.9745756307938339E-2</v>
      </c>
      <c r="BF26" s="46">
        <v>0.13976576889911693</v>
      </c>
      <c r="BG26" s="46">
        <v>0.24553158710949882</v>
      </c>
      <c r="BH26" s="46">
        <v>0.47845515745081435</v>
      </c>
      <c r="BI26" s="46">
        <v>1.662730734749762</v>
      </c>
      <c r="BJ26" s="46">
        <v>0.27622412382272732</v>
      </c>
      <c r="BK26" s="46">
        <v>1.5968385467742297</v>
      </c>
      <c r="BL26" s="46">
        <v>0.93384180922662152</v>
      </c>
      <c r="BM26" s="46">
        <v>0.32403957193137806</v>
      </c>
      <c r="BN26" s="46">
        <v>1.3773636678633441</v>
      </c>
      <c r="BO26" s="46">
        <v>1.5326187593784086</v>
      </c>
      <c r="BP26" s="46">
        <v>0.31426729001727954</v>
      </c>
      <c r="BQ26" s="46">
        <v>4.627677112606114</v>
      </c>
      <c r="BR26" s="46">
        <v>0.47313426560644828</v>
      </c>
      <c r="BS26" s="46">
        <v>0.11307740656055784</v>
      </c>
      <c r="BT26" s="46">
        <v>0.12320486535608087</v>
      </c>
      <c r="BU26" s="46">
        <v>0.7588136653642249</v>
      </c>
      <c r="BV26" s="46">
        <v>0.26476190806565353</v>
      </c>
      <c r="BW26" s="46">
        <v>0.95884654273782299</v>
      </c>
      <c r="BX26" s="46">
        <v>0</v>
      </c>
      <c r="BY26" s="46">
        <v>3008.5262052564158</v>
      </c>
      <c r="BZ26" s="46">
        <v>51.5371752636905</v>
      </c>
      <c r="CA26" s="46">
        <v>0</v>
      </c>
      <c r="CB26" s="46">
        <v>0</v>
      </c>
      <c r="CC26" s="46">
        <v>245.87140316222499</v>
      </c>
      <c r="CD26" s="46">
        <v>0</v>
      </c>
      <c r="CE26" s="46">
        <v>-2.06340155831924</v>
      </c>
      <c r="CF26" s="46">
        <v>295.34517686759636</v>
      </c>
      <c r="CG26" s="46">
        <v>3303.8713821240121</v>
      </c>
      <c r="CH26"/>
      <c r="CI26">
        <f t="shared" si="0"/>
        <v>8.939366661353601E-2</v>
      </c>
      <c r="CJ26"/>
      <c r="CK26"/>
      <c r="CL26"/>
      <c r="CM26"/>
      <c r="CN26"/>
      <c r="CO26"/>
      <c r="CP26"/>
      <c r="CQ26"/>
      <c r="CR26"/>
      <c r="CS26"/>
      <c r="CT26"/>
      <c r="CU26"/>
    </row>
    <row r="27" spans="1:99" s="18" customFormat="1" x14ac:dyDescent="0.3">
      <c r="A27" s="35" t="s">
        <v>31</v>
      </c>
      <c r="B27" s="9" t="s">
        <v>105</v>
      </c>
      <c r="C27" s="18">
        <v>22</v>
      </c>
      <c r="D27" s="46">
        <v>79.900398643439559</v>
      </c>
      <c r="E27" s="46">
        <v>99.636051155377572</v>
      </c>
      <c r="F27" s="46">
        <v>3.1945139257046757</v>
      </c>
      <c r="G27" s="46">
        <v>2.5063210381545988</v>
      </c>
      <c r="H27" s="46">
        <v>632.57369899417984</v>
      </c>
      <c r="I27" s="46">
        <v>6.4954438367298497</v>
      </c>
      <c r="J27" s="46">
        <v>1.6063796343317513</v>
      </c>
      <c r="K27" s="46">
        <v>227.81003844824465</v>
      </c>
      <c r="L27" s="46">
        <v>193.42907447130622</v>
      </c>
      <c r="M27" s="46">
        <v>910.61411127192025</v>
      </c>
      <c r="N27" s="46">
        <v>183.16587399259419</v>
      </c>
      <c r="O27" s="46">
        <v>0.19687255186620539</v>
      </c>
      <c r="P27" s="46">
        <v>1.4072228580930899</v>
      </c>
      <c r="Q27" s="46">
        <v>0.9664003321803617</v>
      </c>
      <c r="R27" s="46">
        <v>1.1141634178397606</v>
      </c>
      <c r="S27" s="46">
        <v>26.899322903780181</v>
      </c>
      <c r="T27" s="46">
        <v>9.3848406540838791</v>
      </c>
      <c r="U27" s="46">
        <v>0.67263276752480161</v>
      </c>
      <c r="V27" s="46">
        <v>15110.474440783461</v>
      </c>
      <c r="W27" s="46">
        <v>76.356762277775346</v>
      </c>
      <c r="X27" s="46">
        <v>76.309221377926335</v>
      </c>
      <c r="Y27" s="46">
        <v>457.97466030633063</v>
      </c>
      <c r="Z27" s="46">
        <v>296.72564945244068</v>
      </c>
      <c r="AA27" s="46">
        <v>299.30407939715974</v>
      </c>
      <c r="AB27" s="46">
        <v>1246.3545287279433</v>
      </c>
      <c r="AC27" s="46">
        <v>713.90217858633127</v>
      </c>
      <c r="AD27" s="46">
        <v>7.7573680250948573</v>
      </c>
      <c r="AE27" s="46">
        <v>2.9343725801158467</v>
      </c>
      <c r="AF27" s="46">
        <v>3.4760919883159147</v>
      </c>
      <c r="AG27" s="46">
        <v>1.4932503374748685</v>
      </c>
      <c r="AH27" s="46">
        <v>31.020153239681459</v>
      </c>
      <c r="AI27" s="46">
        <v>1.493382929405739</v>
      </c>
      <c r="AJ27" s="46">
        <v>3.833323710114561</v>
      </c>
      <c r="AK27" s="46">
        <v>25.744484983700801</v>
      </c>
      <c r="AL27" s="46">
        <v>15.046528772896151</v>
      </c>
      <c r="AM27" s="46">
        <v>2.804612858897066</v>
      </c>
      <c r="AN27" s="46">
        <v>1.1816601153834354</v>
      </c>
      <c r="AO27" s="46">
        <v>3.5941609127456209</v>
      </c>
      <c r="AP27" s="46">
        <v>16.582466245429515</v>
      </c>
      <c r="AQ27" s="46">
        <v>6.1615523604345581</v>
      </c>
      <c r="AR27" s="46">
        <v>1.0064951757553382</v>
      </c>
      <c r="AS27" s="46">
        <v>0.72111623403349223</v>
      </c>
      <c r="AT27" s="46">
        <v>0.14624501845386453</v>
      </c>
      <c r="AU27" s="46">
        <v>19.763070665683248</v>
      </c>
      <c r="AV27" s="46">
        <v>293.64415461460698</v>
      </c>
      <c r="AW27" s="46">
        <v>274.54746406836551</v>
      </c>
      <c r="AX27" s="46">
        <v>499.37373969253753</v>
      </c>
      <c r="AY27" s="48">
        <f>'Fluxos Energia'!P19</f>
        <v>1694.6479329504673</v>
      </c>
      <c r="AZ27" s="46">
        <v>4.3904133825691698</v>
      </c>
      <c r="BA27" s="46">
        <v>18.370765062988067</v>
      </c>
      <c r="BB27" s="46">
        <v>45.122455201350661</v>
      </c>
      <c r="BC27" s="46">
        <v>9.6670383452120223</v>
      </c>
      <c r="BD27" s="46">
        <v>267.16490026221402</v>
      </c>
      <c r="BE27" s="46">
        <v>3.5708401091085591</v>
      </c>
      <c r="BF27" s="46">
        <v>7.7979006262281683</v>
      </c>
      <c r="BG27" s="46">
        <v>19.931211968101252</v>
      </c>
      <c r="BH27" s="46">
        <v>31.085430080000744</v>
      </c>
      <c r="BI27" s="46">
        <v>116.31030923269896</v>
      </c>
      <c r="BJ27" s="46">
        <v>14.918810684157439</v>
      </c>
      <c r="BK27" s="46">
        <v>120.40394087675234</v>
      </c>
      <c r="BL27" s="46">
        <v>94.923340310639233</v>
      </c>
      <c r="BM27" s="46">
        <v>37.083554048944201</v>
      </c>
      <c r="BN27" s="46">
        <v>94.076892505068784</v>
      </c>
      <c r="BO27" s="46">
        <v>113.06571632590388</v>
      </c>
      <c r="BP27" s="46">
        <v>63.77865197027522</v>
      </c>
      <c r="BQ27" s="46">
        <v>545.1484605432837</v>
      </c>
      <c r="BR27" s="46">
        <v>77.529339453011886</v>
      </c>
      <c r="BS27" s="46">
        <v>7.9860566791466265</v>
      </c>
      <c r="BT27" s="46">
        <v>31.915945471629662</v>
      </c>
      <c r="BU27" s="46">
        <v>89.581739955367482</v>
      </c>
      <c r="BV27" s="46">
        <v>15.024297994362884</v>
      </c>
      <c r="BW27" s="46">
        <v>141.68801243329764</v>
      </c>
      <c r="BX27" s="46">
        <v>0</v>
      </c>
      <c r="BY27" s="46">
        <v>24543.172790084926</v>
      </c>
      <c r="BZ27" s="46">
        <v>5351.6554134196831</v>
      </c>
      <c r="CA27" s="46">
        <v>0.20439015636524591</v>
      </c>
      <c r="CB27" s="46">
        <v>0</v>
      </c>
      <c r="CC27" s="46">
        <v>24299.633170119676</v>
      </c>
      <c r="CD27" s="46">
        <v>72.643596277789399</v>
      </c>
      <c r="CE27" s="46">
        <v>369.69063994322966</v>
      </c>
      <c r="CF27" s="46">
        <v>30093.827209916744</v>
      </c>
      <c r="CG27" s="46">
        <v>54637</v>
      </c>
      <c r="CH27"/>
      <c r="CI27">
        <f t="shared" si="0"/>
        <v>0.55079574665367326</v>
      </c>
      <c r="CJ27"/>
      <c r="CK27"/>
      <c r="CL27"/>
      <c r="CM27"/>
      <c r="CN27"/>
      <c r="CO27"/>
      <c r="CP27"/>
      <c r="CQ27"/>
      <c r="CR27"/>
      <c r="CS27"/>
      <c r="CT27"/>
      <c r="CU27"/>
    </row>
    <row r="28" spans="1:99" s="18" customFormat="1" x14ac:dyDescent="0.3">
      <c r="A28" s="35" t="s">
        <v>32</v>
      </c>
      <c r="B28" s="13" t="s">
        <v>106</v>
      </c>
      <c r="C28" s="18">
        <v>23</v>
      </c>
      <c r="D28" s="46">
        <v>45933.044359638436</v>
      </c>
      <c r="E28" s="46">
        <v>4700.5044163265666</v>
      </c>
      <c r="F28" s="46">
        <v>342.73136390902454</v>
      </c>
      <c r="G28" s="46">
        <v>238.96792391327978</v>
      </c>
      <c r="H28" s="46">
        <v>4857.5133156899028</v>
      </c>
      <c r="I28" s="46">
        <v>340.81703858764217</v>
      </c>
      <c r="J28" s="46">
        <v>131.04423066879949</v>
      </c>
      <c r="K28" s="46">
        <v>458.64651981621552</v>
      </c>
      <c r="L28" s="46">
        <v>172.1912484025066</v>
      </c>
      <c r="M28" s="46">
        <v>1063.8133565738997</v>
      </c>
      <c r="N28" s="46">
        <v>94.697046441751269</v>
      </c>
      <c r="O28" s="46">
        <v>16.378011510186006</v>
      </c>
      <c r="P28" s="46">
        <v>3539.888795553667</v>
      </c>
      <c r="Q28" s="46">
        <v>140.2501878176308</v>
      </c>
      <c r="R28" s="46">
        <v>1473.9022093587721</v>
      </c>
      <c r="S28" s="46">
        <v>677.61342195254645</v>
      </c>
      <c r="T28" s="46">
        <v>4354.276400576402</v>
      </c>
      <c r="U28" s="46">
        <v>67.362735403493403</v>
      </c>
      <c r="V28" s="46">
        <v>2393.0475479893194</v>
      </c>
      <c r="W28" s="46">
        <v>61.87209758267435</v>
      </c>
      <c r="X28" s="46">
        <v>98.627655104761928</v>
      </c>
      <c r="Y28" s="46">
        <v>648.58312906910044</v>
      </c>
      <c r="Z28" s="46">
        <v>32375.576721911151</v>
      </c>
      <c r="AA28" s="46">
        <v>12475.942717223639</v>
      </c>
      <c r="AB28" s="46">
        <v>4409.2644078602816</v>
      </c>
      <c r="AC28" s="46">
        <v>1782.2171736904882</v>
      </c>
      <c r="AD28" s="46">
        <v>16336.883889888046</v>
      </c>
      <c r="AE28" s="46">
        <v>2295.3151360232764</v>
      </c>
      <c r="AF28" s="46">
        <v>973.06272085871444</v>
      </c>
      <c r="AG28" s="46">
        <v>908.00850643377476</v>
      </c>
      <c r="AH28" s="46">
        <v>1236.0285761317223</v>
      </c>
      <c r="AI28" s="46">
        <v>176.46662538129186</v>
      </c>
      <c r="AJ28" s="46">
        <v>2291.575475123389</v>
      </c>
      <c r="AK28" s="46">
        <v>179.95359302721911</v>
      </c>
      <c r="AL28" s="46">
        <v>154.70952198696784</v>
      </c>
      <c r="AM28" s="46">
        <v>1135.6975642494849</v>
      </c>
      <c r="AN28" s="46">
        <v>253.54152761239519</v>
      </c>
      <c r="AO28" s="46">
        <v>1680.149036583515</v>
      </c>
      <c r="AP28" s="46">
        <v>172.49950015048447</v>
      </c>
      <c r="AQ28" s="46">
        <v>136.21436258311925</v>
      </c>
      <c r="AR28" s="46">
        <v>22.250739876667826</v>
      </c>
      <c r="AS28" s="46">
        <v>15.941824790446791</v>
      </c>
      <c r="AT28" s="46">
        <v>1.9475205234391786</v>
      </c>
      <c r="AU28" s="46">
        <v>656.55925163066536</v>
      </c>
      <c r="AV28" s="46">
        <v>483.24643627978298</v>
      </c>
      <c r="AW28" s="46">
        <v>95.956963698845016</v>
      </c>
      <c r="AX28" s="46">
        <v>1195.4936096891383</v>
      </c>
      <c r="AY28" s="47">
        <v>117.98955045004034</v>
      </c>
      <c r="AZ28" s="46">
        <v>2.4453832279960048</v>
      </c>
      <c r="BA28" s="46">
        <v>4.7189595831741658</v>
      </c>
      <c r="BB28" s="46">
        <v>50.015835454144906</v>
      </c>
      <c r="BC28" s="46">
        <v>21.034007298556386</v>
      </c>
      <c r="BD28" s="46">
        <v>166.06271438385446</v>
      </c>
      <c r="BE28" s="46">
        <v>6.597310075905523</v>
      </c>
      <c r="BF28" s="46">
        <v>11.591102799505713</v>
      </c>
      <c r="BG28" s="46">
        <v>36.650030246830845</v>
      </c>
      <c r="BH28" s="46">
        <v>29.675183083945797</v>
      </c>
      <c r="BI28" s="46">
        <v>81.33039216796719</v>
      </c>
      <c r="BJ28" s="46">
        <v>75.323321345095906</v>
      </c>
      <c r="BK28" s="46">
        <v>83.229416160293823</v>
      </c>
      <c r="BL28" s="46">
        <v>53.316174560087184</v>
      </c>
      <c r="BM28" s="46">
        <v>26.321729449122614</v>
      </c>
      <c r="BN28" s="46">
        <v>24.461214920479264</v>
      </c>
      <c r="BO28" s="46">
        <v>117.98116821629961</v>
      </c>
      <c r="BP28" s="46">
        <v>4.1900922783847836</v>
      </c>
      <c r="BQ28" s="46">
        <v>83.092200294350675</v>
      </c>
      <c r="BR28" s="46">
        <v>74.527759464976711</v>
      </c>
      <c r="BS28" s="46">
        <v>72.118322577308518</v>
      </c>
      <c r="BT28" s="46">
        <v>277.19832920651629</v>
      </c>
      <c r="BU28" s="46">
        <v>554.07565329523732</v>
      </c>
      <c r="BV28" s="46">
        <v>57.26041938985324</v>
      </c>
      <c r="BW28" s="46">
        <v>364.80967003077694</v>
      </c>
      <c r="BX28" s="46">
        <v>0</v>
      </c>
      <c r="BY28" s="46">
        <v>155646.29235505522</v>
      </c>
      <c r="BZ28" s="46">
        <v>19441.06574357233</v>
      </c>
      <c r="CA28" s="46">
        <v>11.449278827996304</v>
      </c>
      <c r="CB28" s="46">
        <v>0</v>
      </c>
      <c r="CC28" s="46">
        <v>3542.3545724804844</v>
      </c>
      <c r="CD28" s="46">
        <v>713.9505455643623</v>
      </c>
      <c r="CE28" s="46">
        <v>150.88750449960969</v>
      </c>
      <c r="CF28" s="46">
        <v>23859.707644944781</v>
      </c>
      <c r="CG28" s="46">
        <v>179506</v>
      </c>
      <c r="CH28"/>
      <c r="CI28">
        <f t="shared" si="0"/>
        <v>0.13291871940182937</v>
      </c>
      <c r="CJ28"/>
      <c r="CK28"/>
      <c r="CL28"/>
      <c r="CM28"/>
      <c r="CN28"/>
      <c r="CO28"/>
      <c r="CP28"/>
      <c r="CQ28"/>
      <c r="CR28"/>
      <c r="CS28"/>
      <c r="CT28"/>
      <c r="CU28"/>
    </row>
    <row r="29" spans="1:99" s="5" customFormat="1" x14ac:dyDescent="0.3">
      <c r="A29" s="35" t="s">
        <v>33</v>
      </c>
      <c r="B29" s="11" t="s">
        <v>107</v>
      </c>
      <c r="C29" s="5">
        <v>24</v>
      </c>
      <c r="D29" s="25">
        <v>23436.868191937006</v>
      </c>
      <c r="E29" s="25">
        <v>2659.0458293743441</v>
      </c>
      <c r="F29" s="25">
        <v>87.893458636695129</v>
      </c>
      <c r="G29" s="25">
        <v>1560.7928218944237</v>
      </c>
      <c r="H29" s="25">
        <v>575.39184909017627</v>
      </c>
      <c r="I29" s="25">
        <v>277.16980420078181</v>
      </c>
      <c r="J29" s="25">
        <v>112.62711110644612</v>
      </c>
      <c r="K29" s="25">
        <v>839.47489935650447</v>
      </c>
      <c r="L29" s="25">
        <v>34.242340109106259</v>
      </c>
      <c r="M29" s="25">
        <v>2339.5945956357714</v>
      </c>
      <c r="N29" s="25">
        <v>116.42229199713566</v>
      </c>
      <c r="O29" s="25">
        <v>5.0548920181282329</v>
      </c>
      <c r="P29" s="25">
        <v>306.23554303976846</v>
      </c>
      <c r="Q29" s="25">
        <v>43.171646276788621</v>
      </c>
      <c r="R29" s="25">
        <v>206.63341942890125</v>
      </c>
      <c r="S29" s="25">
        <v>705.30912868817813</v>
      </c>
      <c r="T29" s="25">
        <v>1430.9480741273044</v>
      </c>
      <c r="U29" s="25">
        <v>638.57581674164305</v>
      </c>
      <c r="V29" s="25">
        <v>388.26298998601413</v>
      </c>
      <c r="W29" s="25">
        <v>9.8737706133711924</v>
      </c>
      <c r="X29" s="25">
        <v>2.8454792006437897</v>
      </c>
      <c r="Y29" s="25">
        <v>164.27652533342126</v>
      </c>
      <c r="Z29" s="25">
        <v>2006.776280480615</v>
      </c>
      <c r="AA29" s="25">
        <v>9284.6464714127978</v>
      </c>
      <c r="AB29" s="25">
        <v>1704.2634040976709</v>
      </c>
      <c r="AC29" s="25">
        <v>864.88759356882542</v>
      </c>
      <c r="AD29" s="25">
        <v>2767.0056618200242</v>
      </c>
      <c r="AE29" s="25">
        <v>906.56113969593707</v>
      </c>
      <c r="AF29" s="25">
        <v>446.19847339490462</v>
      </c>
      <c r="AG29" s="25">
        <v>91.701863141986848</v>
      </c>
      <c r="AH29" s="25">
        <v>559.0055764442551</v>
      </c>
      <c r="AI29" s="25">
        <v>194.65755678790595</v>
      </c>
      <c r="AJ29" s="25">
        <v>204.95976057854418</v>
      </c>
      <c r="AK29" s="25">
        <v>175.09465600952271</v>
      </c>
      <c r="AL29" s="25">
        <v>497.86932589120698</v>
      </c>
      <c r="AM29" s="25">
        <v>231.01984241682032</v>
      </c>
      <c r="AN29" s="25">
        <v>111.28724018073264</v>
      </c>
      <c r="AO29" s="25">
        <v>540.55535256141468</v>
      </c>
      <c r="AP29" s="25">
        <v>671.10571636545251</v>
      </c>
      <c r="AQ29" s="25">
        <v>126.61998580241371</v>
      </c>
      <c r="AR29" s="25">
        <v>20.588788629345892</v>
      </c>
      <c r="AS29" s="25">
        <v>14.748137499305241</v>
      </c>
      <c r="AT29" s="25">
        <v>1.7755107518890538</v>
      </c>
      <c r="AU29" s="25">
        <v>331.61133322139011</v>
      </c>
      <c r="AV29" s="25">
        <v>7547.2977031495711</v>
      </c>
      <c r="AW29" s="25">
        <v>879.46696282450614</v>
      </c>
      <c r="AX29" s="25">
        <v>1715.1880233685588</v>
      </c>
      <c r="AY29" s="40">
        <v>224.13310682225537</v>
      </c>
      <c r="AZ29" s="25">
        <v>0.97484303317497201</v>
      </c>
      <c r="BA29" s="25">
        <v>3.420821431224315</v>
      </c>
      <c r="BB29" s="25">
        <v>54.346921519352513</v>
      </c>
      <c r="BC29" s="25">
        <v>27.371451109936658</v>
      </c>
      <c r="BD29" s="25">
        <v>87.896789606737485</v>
      </c>
      <c r="BE29" s="25">
        <v>89.460215174896419</v>
      </c>
      <c r="BF29" s="25">
        <v>113.90617045278515</v>
      </c>
      <c r="BG29" s="25">
        <v>21.41148903564758</v>
      </c>
      <c r="BH29" s="25">
        <v>17.569591346501603</v>
      </c>
      <c r="BI29" s="25">
        <v>66.39866349882702</v>
      </c>
      <c r="BJ29" s="25">
        <v>1157.3310351553157</v>
      </c>
      <c r="BK29" s="25">
        <v>41.759659887863243</v>
      </c>
      <c r="BL29" s="25">
        <v>42.798939307746721</v>
      </c>
      <c r="BM29" s="25">
        <v>35.716778887081304</v>
      </c>
      <c r="BN29" s="25">
        <v>22.450403078188788</v>
      </c>
      <c r="BO29" s="25">
        <v>1733.335625261504</v>
      </c>
      <c r="BP29" s="25">
        <v>2.7201007097894401</v>
      </c>
      <c r="BQ29" s="25">
        <v>227.90156694512359</v>
      </c>
      <c r="BR29" s="25">
        <v>255.68521382474333</v>
      </c>
      <c r="BS29" s="25">
        <v>36.280846208996053</v>
      </c>
      <c r="BT29" s="25">
        <v>668.46402803610079</v>
      </c>
      <c r="BU29" s="25">
        <v>97.554513092514966</v>
      </c>
      <c r="BV29" s="25">
        <v>37.181085693111328</v>
      </c>
      <c r="BW29" s="25">
        <v>119.89123038066489</v>
      </c>
      <c r="BX29" s="25">
        <v>0</v>
      </c>
      <c r="BY29" s="25">
        <v>73021.563928388263</v>
      </c>
      <c r="BZ29" s="25">
        <v>8559.7078149193294</v>
      </c>
      <c r="CA29" s="25">
        <v>16.412403652008503</v>
      </c>
      <c r="CB29" s="25">
        <v>0</v>
      </c>
      <c r="CC29" s="25">
        <v>3234.4272014584262</v>
      </c>
      <c r="CD29" s="25">
        <v>1022.6945528328781</v>
      </c>
      <c r="CE29" s="25">
        <v>2453.0638745786468</v>
      </c>
      <c r="CF29" s="25">
        <v>15286.305847441292</v>
      </c>
      <c r="CG29" s="25">
        <v>88308</v>
      </c>
      <c r="CH29"/>
      <c r="CI29">
        <f t="shared" si="0"/>
        <v>0.17310216342167517</v>
      </c>
      <c r="CJ29"/>
      <c r="CK29"/>
      <c r="CL29"/>
      <c r="CM29"/>
      <c r="CN29"/>
      <c r="CO29"/>
      <c r="CP29"/>
      <c r="CQ29"/>
      <c r="CR29"/>
      <c r="CS29"/>
      <c r="CT29"/>
      <c r="CU29"/>
    </row>
    <row r="30" spans="1:99" s="5" customFormat="1" x14ac:dyDescent="0.3">
      <c r="A30" s="35" t="s">
        <v>34</v>
      </c>
      <c r="B30" s="13" t="s">
        <v>108</v>
      </c>
      <c r="C30" s="5">
        <v>25</v>
      </c>
      <c r="D30" s="25">
        <v>765.32407228554757</v>
      </c>
      <c r="E30" s="25">
        <v>124.11387850179078</v>
      </c>
      <c r="F30" s="25">
        <v>4.1411188153510174</v>
      </c>
      <c r="G30" s="25">
        <v>26.412863045666757</v>
      </c>
      <c r="H30" s="25">
        <v>122.19348830272185</v>
      </c>
      <c r="I30" s="25">
        <v>63.069815311004142</v>
      </c>
      <c r="J30" s="25">
        <v>11.163087907145654</v>
      </c>
      <c r="K30" s="25">
        <v>95.473773292238747</v>
      </c>
      <c r="L30" s="25">
        <v>9.1511033885046196</v>
      </c>
      <c r="M30" s="25">
        <v>192.91991867350174</v>
      </c>
      <c r="N30" s="25">
        <v>34.513375800956148</v>
      </c>
      <c r="O30" s="25">
        <v>3.2668037519040349</v>
      </c>
      <c r="P30" s="25">
        <v>51.801738888519992</v>
      </c>
      <c r="Q30" s="25">
        <v>35.76642807129145</v>
      </c>
      <c r="R30" s="25">
        <v>26.440693725389696</v>
      </c>
      <c r="S30" s="25">
        <v>30.120874219206467</v>
      </c>
      <c r="T30" s="25">
        <v>123.1126632615119</v>
      </c>
      <c r="U30" s="25">
        <v>22.783765951060694</v>
      </c>
      <c r="V30" s="25">
        <v>124.17839587838451</v>
      </c>
      <c r="W30" s="25">
        <v>2.0914553904543145</v>
      </c>
      <c r="X30" s="25">
        <v>0.94011926883268948</v>
      </c>
      <c r="Y30" s="25">
        <v>15.692138604437643</v>
      </c>
      <c r="Z30" s="25">
        <v>448.56543891392897</v>
      </c>
      <c r="AA30" s="25">
        <v>480.65157317625301</v>
      </c>
      <c r="AB30" s="25">
        <v>924.76116878084099</v>
      </c>
      <c r="AC30" s="25">
        <v>75.265260537033612</v>
      </c>
      <c r="AD30" s="25">
        <v>144.47270541708136</v>
      </c>
      <c r="AE30" s="25">
        <v>65.701679774365658</v>
      </c>
      <c r="AF30" s="25">
        <v>37.95752489666986</v>
      </c>
      <c r="AG30" s="25">
        <v>41.675918483687312</v>
      </c>
      <c r="AH30" s="25">
        <v>317.05272978135366</v>
      </c>
      <c r="AI30" s="25">
        <v>29.079180527867894</v>
      </c>
      <c r="AJ30" s="25">
        <v>28.954047476786545</v>
      </c>
      <c r="AK30" s="25">
        <v>43.497999341133976</v>
      </c>
      <c r="AL30" s="25">
        <v>34.73592326046758</v>
      </c>
      <c r="AM30" s="25">
        <v>37.306511748934938</v>
      </c>
      <c r="AN30" s="25">
        <v>9.7057737312474952</v>
      </c>
      <c r="AO30" s="25">
        <v>38.819059029139787</v>
      </c>
      <c r="AP30" s="25">
        <v>24.596692342297754</v>
      </c>
      <c r="AQ30" s="25">
        <v>18.204243080080232</v>
      </c>
      <c r="AR30" s="25">
        <v>2.9736796454142302</v>
      </c>
      <c r="AS30" s="25">
        <v>2.1305304970924372</v>
      </c>
      <c r="AT30" s="25">
        <v>0.64633242431100457</v>
      </c>
      <c r="AU30" s="25">
        <v>42.033846960204116</v>
      </c>
      <c r="AV30" s="25">
        <v>195.92545477331595</v>
      </c>
      <c r="AW30" s="25">
        <v>120.4157439284653</v>
      </c>
      <c r="AX30" s="25">
        <v>1401.1009267267268</v>
      </c>
      <c r="AY30" s="40">
        <v>203.90997113813663</v>
      </c>
      <c r="AZ30" s="25">
        <v>5.5952137081025688</v>
      </c>
      <c r="BA30" s="25">
        <v>1.1265727598851401</v>
      </c>
      <c r="BB30" s="25">
        <v>68.884046741803957</v>
      </c>
      <c r="BC30" s="25">
        <v>53.710385927398235</v>
      </c>
      <c r="BD30" s="25">
        <v>82.24949145659258</v>
      </c>
      <c r="BE30" s="25">
        <v>21.158267396351164</v>
      </c>
      <c r="BF30" s="25">
        <v>34.420095833078832</v>
      </c>
      <c r="BG30" s="25">
        <v>70.625037677671259</v>
      </c>
      <c r="BH30" s="25">
        <v>17.722423926174685</v>
      </c>
      <c r="BI30" s="25">
        <v>36.376816158407671</v>
      </c>
      <c r="BJ30" s="25">
        <v>16.273948589978041</v>
      </c>
      <c r="BK30" s="25">
        <v>190.5955151165258</v>
      </c>
      <c r="BL30" s="25">
        <v>71.454878200582485</v>
      </c>
      <c r="BM30" s="25">
        <v>199.62394567673493</v>
      </c>
      <c r="BN30" s="25">
        <v>71.73330640310796</v>
      </c>
      <c r="BO30" s="25">
        <v>1199.0862876313577</v>
      </c>
      <c r="BP30" s="25">
        <v>1.6549958781979446</v>
      </c>
      <c r="BQ30" s="25">
        <v>159.23256167147863</v>
      </c>
      <c r="BR30" s="25">
        <v>119.9270390654266</v>
      </c>
      <c r="BS30" s="25">
        <v>95.531753477834599</v>
      </c>
      <c r="BT30" s="25">
        <v>94.289859108825453</v>
      </c>
      <c r="BU30" s="25">
        <v>592.29431745727231</v>
      </c>
      <c r="BV30" s="25">
        <v>110.0251636837786</v>
      </c>
      <c r="BW30" s="25">
        <v>795.73451950291633</v>
      </c>
      <c r="BX30" s="25">
        <v>0</v>
      </c>
      <c r="BY30" s="25">
        <v>10764.137931777743</v>
      </c>
      <c r="BZ30" s="25">
        <v>3455.2589383894306</v>
      </c>
      <c r="CA30" s="25">
        <v>35.713769285259886</v>
      </c>
      <c r="CB30" s="25">
        <v>0</v>
      </c>
      <c r="CC30" s="25">
        <v>33581.623776443317</v>
      </c>
      <c r="CD30" s="25">
        <v>524.80293503638927</v>
      </c>
      <c r="CE30" s="25">
        <v>1814.3668191400257</v>
      </c>
      <c r="CF30" s="25">
        <v>39411.766238294418</v>
      </c>
      <c r="CG30" s="25">
        <v>50176</v>
      </c>
      <c r="CH30"/>
      <c r="CI30">
        <f t="shared" si="0"/>
        <v>0.78547046871600801</v>
      </c>
      <c r="CJ30"/>
      <c r="CK30"/>
      <c r="CL30"/>
      <c r="CM30"/>
      <c r="CN30"/>
      <c r="CO30"/>
      <c r="CP30"/>
      <c r="CQ30"/>
      <c r="CR30"/>
      <c r="CS30"/>
      <c r="CT30"/>
      <c r="CU30"/>
    </row>
    <row r="31" spans="1:99" s="5" customFormat="1" x14ac:dyDescent="0.3">
      <c r="A31" s="35" t="s">
        <v>35</v>
      </c>
      <c r="B31" s="11" t="s">
        <v>109</v>
      </c>
      <c r="C31" s="5">
        <v>26</v>
      </c>
      <c r="D31" s="25">
        <v>443.97217151359592</v>
      </c>
      <c r="E31" s="25">
        <v>1869.1641231126855</v>
      </c>
      <c r="F31" s="25">
        <v>14.509689719427843</v>
      </c>
      <c r="G31" s="25">
        <v>21.801574985008322</v>
      </c>
      <c r="H31" s="25">
        <v>344.65019746950128</v>
      </c>
      <c r="I31" s="25">
        <v>12.749822177431822</v>
      </c>
      <c r="J31" s="25">
        <v>2.5974450497443975</v>
      </c>
      <c r="K31" s="25">
        <v>76.787091348360789</v>
      </c>
      <c r="L31" s="25">
        <v>1.3569438674573762</v>
      </c>
      <c r="M31" s="25">
        <v>285.83398368415976</v>
      </c>
      <c r="N31" s="25">
        <v>11.028080155814289</v>
      </c>
      <c r="O31" s="25">
        <v>1.3513649756152128</v>
      </c>
      <c r="P31" s="25">
        <v>11.481965066808659</v>
      </c>
      <c r="Q31" s="25">
        <v>44.242044331893702</v>
      </c>
      <c r="R31" s="25">
        <v>15.518909476881802</v>
      </c>
      <c r="S31" s="25">
        <v>7.8798413056405519</v>
      </c>
      <c r="T31" s="25">
        <v>21.626560099752098</v>
      </c>
      <c r="U31" s="25">
        <v>2.9720982687295496</v>
      </c>
      <c r="V31" s="25">
        <v>12.242890835212263</v>
      </c>
      <c r="W31" s="25">
        <v>0.31444667494117745</v>
      </c>
      <c r="X31" s="25">
        <v>2.0529487493655307E-2</v>
      </c>
      <c r="Y31" s="25">
        <v>7.4184148620428205</v>
      </c>
      <c r="Z31" s="25">
        <v>150.798997275326</v>
      </c>
      <c r="AA31" s="25">
        <v>375.00097328736553</v>
      </c>
      <c r="AB31" s="25">
        <v>53.960868440938519</v>
      </c>
      <c r="AC31" s="25">
        <v>3129.9100339540382</v>
      </c>
      <c r="AD31" s="25">
        <v>38.414583241951156</v>
      </c>
      <c r="AE31" s="25">
        <v>12.782497171358527</v>
      </c>
      <c r="AF31" s="25">
        <v>12.930878239459119</v>
      </c>
      <c r="AG31" s="25">
        <v>7.8937147128118461</v>
      </c>
      <c r="AH31" s="25">
        <v>12.581001969579674</v>
      </c>
      <c r="AI31" s="25">
        <v>7.0458294774843608</v>
      </c>
      <c r="AJ31" s="25">
        <v>9.0717900704220966</v>
      </c>
      <c r="AK31" s="25">
        <v>23.978799357804675</v>
      </c>
      <c r="AL31" s="25">
        <v>21.038799059598425</v>
      </c>
      <c r="AM31" s="25">
        <v>8.1781439128328994</v>
      </c>
      <c r="AN31" s="25">
        <v>2.5045048600577866</v>
      </c>
      <c r="AO31" s="25">
        <v>38.129607978566824</v>
      </c>
      <c r="AP31" s="25">
        <v>10.456296298511003</v>
      </c>
      <c r="AQ31" s="25">
        <v>7.1915975681491329</v>
      </c>
      <c r="AR31" s="25">
        <v>1.1747539962162112</v>
      </c>
      <c r="AS31" s="25">
        <v>0.84166739997684148</v>
      </c>
      <c r="AT31" s="25">
        <v>0.57083643574971177</v>
      </c>
      <c r="AU31" s="25">
        <v>6.7002783705652291</v>
      </c>
      <c r="AV31" s="25">
        <v>38.494486556234271</v>
      </c>
      <c r="AW31" s="25">
        <v>11.011734927339187</v>
      </c>
      <c r="AX31" s="25">
        <v>350.93073802352893</v>
      </c>
      <c r="AY31" s="40">
        <v>15.00196454727465</v>
      </c>
      <c r="AZ31" s="25">
        <v>3.1854828487345221</v>
      </c>
      <c r="BA31" s="25">
        <v>0.89327323344411003</v>
      </c>
      <c r="BB31" s="25">
        <v>12.376354879591545</v>
      </c>
      <c r="BC31" s="25">
        <v>5.1967772626154582</v>
      </c>
      <c r="BD31" s="25">
        <v>57.999276105995435</v>
      </c>
      <c r="BE31" s="25">
        <v>1.0528672043195852</v>
      </c>
      <c r="BF31" s="25">
        <v>3.3242458189919772</v>
      </c>
      <c r="BG31" s="25">
        <v>8.6575109527345422</v>
      </c>
      <c r="BH31" s="25">
        <v>9.9219241877981155</v>
      </c>
      <c r="BI31" s="25">
        <v>18.970806213526092</v>
      </c>
      <c r="BJ31" s="25">
        <v>10.232229131918936</v>
      </c>
      <c r="BK31" s="25">
        <v>22.657946560890359</v>
      </c>
      <c r="BL31" s="25">
        <v>38.805067212527774</v>
      </c>
      <c r="BM31" s="25">
        <v>45.310747131768821</v>
      </c>
      <c r="BN31" s="25">
        <v>20.785824100399655</v>
      </c>
      <c r="BO31" s="25">
        <v>42.917218660616193</v>
      </c>
      <c r="BP31" s="25">
        <v>1.2398895556709761</v>
      </c>
      <c r="BQ31" s="25">
        <v>372.68888795564266</v>
      </c>
      <c r="BR31" s="25">
        <v>319.37331384252718</v>
      </c>
      <c r="BS31" s="25">
        <v>159.336749704027</v>
      </c>
      <c r="BT31" s="25">
        <v>3521.2986065344753</v>
      </c>
      <c r="BU31" s="25">
        <v>8425.784091602638</v>
      </c>
      <c r="BV31" s="25">
        <v>17.09677444069024</v>
      </c>
      <c r="BW31" s="25">
        <v>404.31235908193423</v>
      </c>
      <c r="BX31" s="25">
        <v>0</v>
      </c>
      <c r="BY31" s="25">
        <v>21079.533789824818</v>
      </c>
      <c r="BZ31" s="25">
        <v>3220.0470717150952</v>
      </c>
      <c r="CA31" s="25">
        <v>5793.2843616481869</v>
      </c>
      <c r="CB31" s="25">
        <v>0</v>
      </c>
      <c r="CC31" s="25">
        <v>40030.055492508189</v>
      </c>
      <c r="CD31" s="25">
        <v>1351.8377898639048</v>
      </c>
      <c r="CE31" s="25">
        <v>4769.2414944475986</v>
      </c>
      <c r="CF31" s="25">
        <v>55164.466210182982</v>
      </c>
      <c r="CG31" s="25">
        <v>76244</v>
      </c>
      <c r="CH31"/>
      <c r="CI31">
        <f t="shared" si="0"/>
        <v>0.72352534245557665</v>
      </c>
      <c r="CJ31"/>
      <c r="CK31"/>
      <c r="CL31"/>
      <c r="CM31"/>
      <c r="CN31"/>
      <c r="CO31"/>
      <c r="CP31"/>
      <c r="CQ31"/>
      <c r="CR31"/>
      <c r="CS31"/>
      <c r="CT31"/>
      <c r="CU31"/>
    </row>
    <row r="32" spans="1:99" s="5" customFormat="1" x14ac:dyDescent="0.3">
      <c r="A32" s="35" t="s">
        <v>36</v>
      </c>
      <c r="B32" s="11" t="s">
        <v>110</v>
      </c>
      <c r="C32" s="5">
        <v>27</v>
      </c>
      <c r="D32" s="25">
        <v>698.19120611355686</v>
      </c>
      <c r="E32" s="25">
        <v>235.00732894487612</v>
      </c>
      <c r="F32" s="25">
        <v>46.570392897485277</v>
      </c>
      <c r="G32" s="25">
        <v>145.47520267504802</v>
      </c>
      <c r="H32" s="25">
        <v>191.68712516730781</v>
      </c>
      <c r="I32" s="25">
        <v>734.8401183638382</v>
      </c>
      <c r="J32" s="25">
        <v>72.852895045306624</v>
      </c>
      <c r="K32" s="25">
        <v>2835.2781442329774</v>
      </c>
      <c r="L32" s="25">
        <v>123.23956835726558</v>
      </c>
      <c r="M32" s="25">
        <v>8166.6726624034654</v>
      </c>
      <c r="N32" s="25">
        <v>2823.5616616332836</v>
      </c>
      <c r="O32" s="25">
        <v>5.829172542163934</v>
      </c>
      <c r="P32" s="25">
        <v>242.18885067809185</v>
      </c>
      <c r="Q32" s="25">
        <v>198.43575550260184</v>
      </c>
      <c r="R32" s="25">
        <v>712.23020966267848</v>
      </c>
      <c r="S32" s="25">
        <v>266.74123173073173</v>
      </c>
      <c r="T32" s="25">
        <v>738.6273624387095</v>
      </c>
      <c r="U32" s="25">
        <v>733.41383985966013</v>
      </c>
      <c r="V32" s="25">
        <v>110.29826111510954</v>
      </c>
      <c r="W32" s="25">
        <v>2.8397278939999633</v>
      </c>
      <c r="X32" s="25">
        <v>0.45112675088901755</v>
      </c>
      <c r="Y32" s="25">
        <v>43.249097984475434</v>
      </c>
      <c r="Z32" s="25">
        <v>1403.928516481019</v>
      </c>
      <c r="AA32" s="25">
        <v>719.21446758915226</v>
      </c>
      <c r="AB32" s="25">
        <v>1682.385729724693</v>
      </c>
      <c r="AC32" s="25">
        <v>463.56477141687969</v>
      </c>
      <c r="AD32" s="25">
        <v>14371.991843298307</v>
      </c>
      <c r="AE32" s="25">
        <v>1850.3009085535984</v>
      </c>
      <c r="AF32" s="25">
        <v>520.8080440186443</v>
      </c>
      <c r="AG32" s="25">
        <v>57.315708493171336</v>
      </c>
      <c r="AH32" s="25">
        <v>828.61201432061296</v>
      </c>
      <c r="AI32" s="25">
        <v>912.98050464519679</v>
      </c>
      <c r="AJ32" s="25">
        <v>1826.2680802120797</v>
      </c>
      <c r="AK32" s="25">
        <v>2015.725779141412</v>
      </c>
      <c r="AL32" s="25">
        <v>8176.9329043593352</v>
      </c>
      <c r="AM32" s="25">
        <v>3620.2689161006506</v>
      </c>
      <c r="AN32" s="25">
        <v>922.26891684546194</v>
      </c>
      <c r="AO32" s="25">
        <v>2285.0354996915526</v>
      </c>
      <c r="AP32" s="25">
        <v>1454.4904347081451</v>
      </c>
      <c r="AQ32" s="25">
        <v>257.62247831813414</v>
      </c>
      <c r="AR32" s="25">
        <v>42.082865879443538</v>
      </c>
      <c r="AS32" s="25">
        <v>30.150802995699234</v>
      </c>
      <c r="AT32" s="25">
        <v>7.1900259126368766</v>
      </c>
      <c r="AU32" s="25">
        <v>429.33990256957657</v>
      </c>
      <c r="AV32" s="25">
        <v>12177.286383342467</v>
      </c>
      <c r="AW32" s="25">
        <v>1941.0435905118864</v>
      </c>
      <c r="AX32" s="25">
        <v>6198.7944490538466</v>
      </c>
      <c r="AY32" s="40">
        <v>5894.515874999357</v>
      </c>
      <c r="AZ32" s="25">
        <v>4.6589395894430004</v>
      </c>
      <c r="BA32" s="25">
        <v>696.32353467204223</v>
      </c>
      <c r="BB32" s="25">
        <v>156.37460688129173</v>
      </c>
      <c r="BC32" s="25">
        <v>35.118482091435013</v>
      </c>
      <c r="BD32" s="25">
        <v>615.7715407016625</v>
      </c>
      <c r="BE32" s="25">
        <v>13.98893549175458</v>
      </c>
      <c r="BF32" s="25">
        <v>9.2621639740128554</v>
      </c>
      <c r="BG32" s="25">
        <v>34.376200596067932</v>
      </c>
      <c r="BH32" s="25">
        <v>32.765046656742619</v>
      </c>
      <c r="BI32" s="25">
        <v>107.3241552362624</v>
      </c>
      <c r="BJ32" s="25">
        <v>147.82293033399088</v>
      </c>
      <c r="BK32" s="25">
        <v>554.69942201469837</v>
      </c>
      <c r="BL32" s="25">
        <v>36.239847887767361</v>
      </c>
      <c r="BM32" s="25">
        <v>32.213399284135718</v>
      </c>
      <c r="BN32" s="25">
        <v>323.86813982315834</v>
      </c>
      <c r="BO32" s="25">
        <v>604.7309315345027</v>
      </c>
      <c r="BP32" s="25">
        <v>4.7775075772886808</v>
      </c>
      <c r="BQ32" s="25">
        <v>220.0332257609727</v>
      </c>
      <c r="BR32" s="25">
        <v>214.32989186945926</v>
      </c>
      <c r="BS32" s="25">
        <v>57.369330350965733</v>
      </c>
      <c r="BT32" s="25">
        <v>570.95267173392745</v>
      </c>
      <c r="BU32" s="25">
        <v>669.58857904486888</v>
      </c>
      <c r="BV32" s="25">
        <v>45.98435367952267</v>
      </c>
      <c r="BW32" s="25">
        <v>182.77788191994347</v>
      </c>
      <c r="BX32" s="25">
        <v>0</v>
      </c>
      <c r="BY32" s="25">
        <v>94589.152073882418</v>
      </c>
      <c r="BZ32" s="25">
        <v>9260.7613637163904</v>
      </c>
      <c r="CA32" s="25">
        <v>2.8306752376408211</v>
      </c>
      <c r="CB32" s="25">
        <v>0</v>
      </c>
      <c r="CC32" s="25">
        <v>15552.936104406237</v>
      </c>
      <c r="CD32" s="25">
        <v>1309.9414793030776</v>
      </c>
      <c r="CE32" s="25">
        <v>501.37830351136915</v>
      </c>
      <c r="CF32" s="25">
        <v>26627.847926174709</v>
      </c>
      <c r="CG32" s="25">
        <v>121217</v>
      </c>
      <c r="CH32"/>
      <c r="CI32">
        <f t="shared" si="0"/>
        <v>0.21967090363706995</v>
      </c>
      <c r="CJ32"/>
      <c r="CK32"/>
      <c r="CL32"/>
      <c r="CM32"/>
      <c r="CN32"/>
      <c r="CO32"/>
      <c r="CP32"/>
      <c r="CQ32"/>
      <c r="CR32"/>
      <c r="CS32"/>
      <c r="CT32"/>
      <c r="CU32"/>
    </row>
    <row r="33" spans="1:99" s="5" customFormat="1" x14ac:dyDescent="0.3">
      <c r="A33" s="35" t="s">
        <v>37</v>
      </c>
      <c r="B33" s="11" t="s">
        <v>111</v>
      </c>
      <c r="C33" s="5">
        <v>28</v>
      </c>
      <c r="D33" s="25">
        <v>3226.6687640198024</v>
      </c>
      <c r="E33" s="25">
        <v>1972.1846466853069</v>
      </c>
      <c r="F33" s="25">
        <v>72.877293509869219</v>
      </c>
      <c r="G33" s="25">
        <v>80.016722424721706</v>
      </c>
      <c r="H33" s="25">
        <v>109.45919841985923</v>
      </c>
      <c r="I33" s="25">
        <v>21.621880852486001</v>
      </c>
      <c r="J33" s="25">
        <v>13.352698780297077</v>
      </c>
      <c r="K33" s="25">
        <v>52.312554887290922</v>
      </c>
      <c r="L33" s="25">
        <v>88.041649780684097</v>
      </c>
      <c r="M33" s="25">
        <v>1536.0830523442648</v>
      </c>
      <c r="N33" s="25">
        <v>1582.2384854228314</v>
      </c>
      <c r="O33" s="25">
        <v>1.8768220231117665</v>
      </c>
      <c r="P33" s="25">
        <v>19.839803647830244</v>
      </c>
      <c r="Q33" s="25">
        <v>18.911342306526265</v>
      </c>
      <c r="R33" s="25">
        <v>14.029681776340363</v>
      </c>
      <c r="S33" s="25">
        <v>17.490177036427415</v>
      </c>
      <c r="T33" s="25">
        <v>282.77739773770696</v>
      </c>
      <c r="U33" s="25">
        <v>18.736911839665925</v>
      </c>
      <c r="V33" s="25">
        <v>26.429532859749521</v>
      </c>
      <c r="W33" s="25">
        <v>0.67964277464125677</v>
      </c>
      <c r="X33" s="25">
        <v>0.13850613215398211</v>
      </c>
      <c r="Y33" s="25">
        <v>16.320967501032175</v>
      </c>
      <c r="Z33" s="25">
        <v>717.09186867233325</v>
      </c>
      <c r="AA33" s="25">
        <v>233.06966703324008</v>
      </c>
      <c r="AB33" s="25">
        <v>355.94990063936473</v>
      </c>
      <c r="AC33" s="25">
        <v>84.726938422113179</v>
      </c>
      <c r="AD33" s="25">
        <v>536.72902195180097</v>
      </c>
      <c r="AE33" s="25">
        <v>6686.5697862867073</v>
      </c>
      <c r="AF33" s="25">
        <v>367.26831486127037</v>
      </c>
      <c r="AG33" s="25">
        <v>31.73029883522404</v>
      </c>
      <c r="AH33" s="25">
        <v>183.79941086548772</v>
      </c>
      <c r="AI33" s="25">
        <v>22.689635819994468</v>
      </c>
      <c r="AJ33" s="25">
        <v>295.70222707877946</v>
      </c>
      <c r="AK33" s="25">
        <v>261.0159851513319</v>
      </c>
      <c r="AL33" s="25">
        <v>1978.3926141810778</v>
      </c>
      <c r="AM33" s="25">
        <v>128.52289427386165</v>
      </c>
      <c r="AN33" s="25">
        <v>154.58344410879093</v>
      </c>
      <c r="AO33" s="25">
        <v>460.50864961272919</v>
      </c>
      <c r="AP33" s="25">
        <v>243.22035988888976</v>
      </c>
      <c r="AQ33" s="25">
        <v>1495.2882188879971</v>
      </c>
      <c r="AR33" s="25">
        <v>167.56233981372128</v>
      </c>
      <c r="AS33" s="25">
        <v>117.65398097427043</v>
      </c>
      <c r="AT33" s="25">
        <v>35.35863036801409</v>
      </c>
      <c r="AU33" s="25">
        <v>852.51409957975102</v>
      </c>
      <c r="AV33" s="25">
        <v>42784.119505397124</v>
      </c>
      <c r="AW33" s="25">
        <v>251.57376722144124</v>
      </c>
      <c r="AX33" s="25">
        <v>339.43383395070703</v>
      </c>
      <c r="AY33" s="40">
        <v>33.648526235011985</v>
      </c>
      <c r="AZ33" s="25">
        <v>1.0867094734381257</v>
      </c>
      <c r="BA33" s="25">
        <v>1.2122493018562257</v>
      </c>
      <c r="BB33" s="25">
        <v>29.991674658193084</v>
      </c>
      <c r="BC33" s="25">
        <v>193.48775210266331</v>
      </c>
      <c r="BD33" s="25">
        <v>697.94863584780944</v>
      </c>
      <c r="BE33" s="25">
        <v>4.4716513566204199</v>
      </c>
      <c r="BF33" s="25">
        <v>6.4131467835155966</v>
      </c>
      <c r="BG33" s="25">
        <v>18.124562629642888</v>
      </c>
      <c r="BH33" s="25">
        <v>15.212772014869019</v>
      </c>
      <c r="BI33" s="25">
        <v>38.445138389401741</v>
      </c>
      <c r="BJ33" s="25">
        <v>2315.1624154053834</v>
      </c>
      <c r="BK33" s="25">
        <v>40.037059494106373</v>
      </c>
      <c r="BL33" s="25">
        <v>19.614387119363023</v>
      </c>
      <c r="BM33" s="25">
        <v>10.094006645153572</v>
      </c>
      <c r="BN33" s="25">
        <v>9.9452630649684899</v>
      </c>
      <c r="BO33" s="25">
        <v>141.16937517254061</v>
      </c>
      <c r="BP33" s="25">
        <v>2.0603812178307388</v>
      </c>
      <c r="BQ33" s="25">
        <v>393.17710528430001</v>
      </c>
      <c r="BR33" s="25">
        <v>139.31583223193502</v>
      </c>
      <c r="BS33" s="25">
        <v>33.413336488114204</v>
      </c>
      <c r="BT33" s="25">
        <v>156.09208961815213</v>
      </c>
      <c r="BU33" s="25">
        <v>169.65803116002317</v>
      </c>
      <c r="BV33" s="25">
        <v>26.101550976804859</v>
      </c>
      <c r="BW33" s="25">
        <v>262.04607157909732</v>
      </c>
      <c r="BX33" s="25">
        <v>0</v>
      </c>
      <c r="BY33" s="25">
        <v>72715.092850889429</v>
      </c>
      <c r="BZ33" s="25">
        <v>6379.5178163791115</v>
      </c>
      <c r="CA33" s="25">
        <v>20.93134617736758</v>
      </c>
      <c r="CB33" s="25">
        <v>0</v>
      </c>
      <c r="CC33" s="25">
        <v>3801.7963606619746</v>
      </c>
      <c r="CD33" s="25">
        <v>838.13624005501333</v>
      </c>
      <c r="CE33" s="25">
        <v>132.49279340700829</v>
      </c>
      <c r="CF33" s="25">
        <v>11172.874556680477</v>
      </c>
      <c r="CG33" s="25">
        <v>83888</v>
      </c>
      <c r="CH33"/>
      <c r="CI33">
        <f t="shared" si="0"/>
        <v>0.13318799538289716</v>
      </c>
      <c r="CJ33"/>
      <c r="CK33"/>
      <c r="CL33"/>
      <c r="CM33"/>
      <c r="CN33"/>
      <c r="CO33"/>
      <c r="CP33"/>
      <c r="CQ33"/>
      <c r="CR33"/>
      <c r="CS33"/>
      <c r="CT33"/>
      <c r="CU33"/>
    </row>
    <row r="34" spans="1:99" s="5" customFormat="1" x14ac:dyDescent="0.3">
      <c r="A34" s="35" t="s">
        <v>38</v>
      </c>
      <c r="B34" s="11" t="s">
        <v>112</v>
      </c>
      <c r="C34" s="5">
        <v>29</v>
      </c>
      <c r="D34" s="25">
        <v>262.77487490120808</v>
      </c>
      <c r="E34" s="25">
        <v>389.14382094835344</v>
      </c>
      <c r="F34" s="25">
        <v>24.861677123088111</v>
      </c>
      <c r="G34" s="25">
        <v>113.51703967096056</v>
      </c>
      <c r="H34" s="25">
        <v>3616.2850138062472</v>
      </c>
      <c r="I34" s="25">
        <v>64.496318466896241</v>
      </c>
      <c r="J34" s="25">
        <v>85.483991748870636</v>
      </c>
      <c r="K34" s="25">
        <v>355.10058144947982</v>
      </c>
      <c r="L34" s="25">
        <v>4.7280076742069888</v>
      </c>
      <c r="M34" s="25">
        <v>200.57533441688471</v>
      </c>
      <c r="N34" s="25">
        <v>156.43377122094105</v>
      </c>
      <c r="O34" s="25">
        <v>1.2409764476693355</v>
      </c>
      <c r="P34" s="25">
        <v>30.136722312705164</v>
      </c>
      <c r="Q34" s="25">
        <v>8.0622740441151652</v>
      </c>
      <c r="R34" s="25">
        <v>13.431865682368388</v>
      </c>
      <c r="S34" s="25">
        <v>33.806226133621998</v>
      </c>
      <c r="T34" s="25">
        <v>236.38040773334802</v>
      </c>
      <c r="U34" s="25">
        <v>6.9742808921860036</v>
      </c>
      <c r="V34" s="25">
        <v>66.478280704690562</v>
      </c>
      <c r="W34" s="25">
        <v>1.7183629213929548</v>
      </c>
      <c r="X34" s="25">
        <v>1.1909279822380454</v>
      </c>
      <c r="Y34" s="25">
        <v>7.4335377451803559</v>
      </c>
      <c r="Z34" s="25">
        <v>143.92891343511951</v>
      </c>
      <c r="AA34" s="25">
        <v>90.576787952850779</v>
      </c>
      <c r="AB34" s="25">
        <v>67.684946322771268</v>
      </c>
      <c r="AC34" s="25">
        <v>24.284205695667726</v>
      </c>
      <c r="AD34" s="25">
        <v>1085.0757056905613</v>
      </c>
      <c r="AE34" s="25">
        <v>918.01495045593583</v>
      </c>
      <c r="AF34" s="25">
        <v>14070.167484113746</v>
      </c>
      <c r="AG34" s="25">
        <v>865.5929831333525</v>
      </c>
      <c r="AH34" s="25">
        <v>19426.164634091354</v>
      </c>
      <c r="AI34" s="25">
        <v>103.61819134564952</v>
      </c>
      <c r="AJ34" s="25">
        <v>3103.4381576164037</v>
      </c>
      <c r="AK34" s="25">
        <v>8993.6737730102705</v>
      </c>
      <c r="AL34" s="25">
        <v>6495.5526987204094</v>
      </c>
      <c r="AM34" s="25">
        <v>8849.4907759703383</v>
      </c>
      <c r="AN34" s="25">
        <v>896.68640931363495</v>
      </c>
      <c r="AO34" s="25">
        <v>1379.4853913523034</v>
      </c>
      <c r="AP34" s="25">
        <v>1483.4772812125625</v>
      </c>
      <c r="AQ34" s="25">
        <v>317.09454163488385</v>
      </c>
      <c r="AR34" s="25">
        <v>48.841654763107798</v>
      </c>
      <c r="AS34" s="25">
        <v>34.900789974945432</v>
      </c>
      <c r="AT34" s="25">
        <v>18.590943744459455</v>
      </c>
      <c r="AU34" s="25">
        <v>146.56725510669389</v>
      </c>
      <c r="AV34" s="25">
        <v>14400.858593455139</v>
      </c>
      <c r="AW34" s="25">
        <v>81.855239860334919</v>
      </c>
      <c r="AX34" s="25">
        <v>1901.4122131718241</v>
      </c>
      <c r="AY34" s="40">
        <v>60.413187154614938</v>
      </c>
      <c r="AZ34" s="25">
        <v>1.4900687416786664</v>
      </c>
      <c r="BA34" s="25">
        <v>1.6712751649615303</v>
      </c>
      <c r="BB34" s="25">
        <v>42.736558296703052</v>
      </c>
      <c r="BC34" s="25">
        <v>20.594870079057586</v>
      </c>
      <c r="BD34" s="25">
        <v>158.90557154996668</v>
      </c>
      <c r="BE34" s="25">
        <v>2.3018929355692039</v>
      </c>
      <c r="BF34" s="25">
        <v>6.1660230515715053</v>
      </c>
      <c r="BG34" s="25">
        <v>27.881213618922335</v>
      </c>
      <c r="BH34" s="25">
        <v>50.211721861632164</v>
      </c>
      <c r="BI34" s="25">
        <v>63.325796415418466</v>
      </c>
      <c r="BJ34" s="25">
        <v>69.94535818607865</v>
      </c>
      <c r="BK34" s="25">
        <v>63.394797487021648</v>
      </c>
      <c r="BL34" s="25">
        <v>38.642701920171497</v>
      </c>
      <c r="BM34" s="25">
        <v>13.404671992392238</v>
      </c>
      <c r="BN34" s="25">
        <v>268.2220937387342</v>
      </c>
      <c r="BO34" s="25">
        <v>60.127341360609051</v>
      </c>
      <c r="BP34" s="25">
        <v>6.5359951349295251</v>
      </c>
      <c r="BQ34" s="25">
        <v>225.94611889172501</v>
      </c>
      <c r="BR34" s="25">
        <v>45.68987250199735</v>
      </c>
      <c r="BS34" s="25">
        <v>57.425109941081196</v>
      </c>
      <c r="BT34" s="25">
        <v>23.138290164487152</v>
      </c>
      <c r="BU34" s="25">
        <v>36.675005037113721</v>
      </c>
      <c r="BV34" s="25">
        <v>44.724982916536767</v>
      </c>
      <c r="BW34" s="25">
        <v>49.112857699699489</v>
      </c>
      <c r="BX34" s="25">
        <v>0</v>
      </c>
      <c r="BY34" s="25">
        <v>92065.972191013629</v>
      </c>
      <c r="BZ34" s="25">
        <v>46158.066289483351</v>
      </c>
      <c r="CA34" s="25">
        <v>0.14070934149824033</v>
      </c>
      <c r="CB34" s="25">
        <v>0</v>
      </c>
      <c r="CC34" s="25">
        <v>1916.0339776157098</v>
      </c>
      <c r="CD34" s="25">
        <v>796.3263504396059</v>
      </c>
      <c r="CE34" s="25">
        <v>9128.4929998032985</v>
      </c>
      <c r="CF34" s="25">
        <v>57999.060326683466</v>
      </c>
      <c r="CG34" s="25">
        <v>150065</v>
      </c>
      <c r="CH34"/>
      <c r="CI34">
        <f t="shared" si="0"/>
        <v>0.38649292191172802</v>
      </c>
      <c r="CJ34"/>
      <c r="CK34"/>
      <c r="CL34"/>
      <c r="CM34"/>
      <c r="CN34"/>
      <c r="CO34"/>
      <c r="CP34"/>
      <c r="CQ34"/>
      <c r="CR34"/>
      <c r="CS34"/>
      <c r="CT34"/>
      <c r="CU34"/>
    </row>
    <row r="35" spans="1:99" s="5" customFormat="1" x14ac:dyDescent="0.3">
      <c r="A35" s="35" t="s">
        <v>39</v>
      </c>
      <c r="B35" s="13" t="s">
        <v>113</v>
      </c>
      <c r="C35" s="5">
        <v>30</v>
      </c>
      <c r="D35" s="25">
        <v>327.99913936802051</v>
      </c>
      <c r="E35" s="25">
        <v>72.250793338860731</v>
      </c>
      <c r="F35" s="25">
        <v>4.8815266886388011</v>
      </c>
      <c r="G35" s="25">
        <v>10.375022654183512</v>
      </c>
      <c r="H35" s="25">
        <v>180.42286532008069</v>
      </c>
      <c r="I35" s="25">
        <v>29.021051387653834</v>
      </c>
      <c r="J35" s="25">
        <v>102.39930347838519</v>
      </c>
      <c r="K35" s="25">
        <v>354.40531758858458</v>
      </c>
      <c r="L35" s="25">
        <v>7.2109333412315229</v>
      </c>
      <c r="M35" s="25">
        <v>602.09009563007453</v>
      </c>
      <c r="N35" s="25">
        <v>32.250182638806891</v>
      </c>
      <c r="O35" s="25">
        <v>1.249238110229435</v>
      </c>
      <c r="P35" s="25">
        <v>17.706035821288815</v>
      </c>
      <c r="Q35" s="25">
        <v>11.292353214133229</v>
      </c>
      <c r="R35" s="25">
        <v>15.895323620406913</v>
      </c>
      <c r="S35" s="25">
        <v>6.2209216869208346</v>
      </c>
      <c r="T35" s="25">
        <v>418.18347196756122</v>
      </c>
      <c r="U35" s="25">
        <v>226.12039413865162</v>
      </c>
      <c r="V35" s="25">
        <v>12.350050514104892</v>
      </c>
      <c r="W35" s="25">
        <v>0.31704527153795725</v>
      </c>
      <c r="X35" s="25">
        <v>1.4715075875442175E-2</v>
      </c>
      <c r="Y35" s="25">
        <v>4.8119872977488161</v>
      </c>
      <c r="Z35" s="25">
        <v>1343.6894181396908</v>
      </c>
      <c r="AA35" s="25">
        <v>360.21696983007155</v>
      </c>
      <c r="AB35" s="25">
        <v>79.745506097122131</v>
      </c>
      <c r="AC35" s="25">
        <v>29.644662270870597</v>
      </c>
      <c r="AD35" s="25">
        <v>126.34320164265912</v>
      </c>
      <c r="AE35" s="25">
        <v>182.45188893447718</v>
      </c>
      <c r="AF35" s="25">
        <v>2111.108676181344</v>
      </c>
      <c r="AG35" s="25">
        <v>11749.075941649333</v>
      </c>
      <c r="AH35" s="25">
        <v>2337.2706167083024</v>
      </c>
      <c r="AI35" s="25">
        <v>167.97259126204719</v>
      </c>
      <c r="AJ35" s="25">
        <v>6409.1056619833316</v>
      </c>
      <c r="AK35" s="25">
        <v>1968.9882410056684</v>
      </c>
      <c r="AL35" s="25">
        <v>757.11977571910666</v>
      </c>
      <c r="AM35" s="25">
        <v>4903.931180969942</v>
      </c>
      <c r="AN35" s="25">
        <v>964.62693919228559</v>
      </c>
      <c r="AO35" s="25">
        <v>2079.0499101657547</v>
      </c>
      <c r="AP35" s="25">
        <v>1657.283728959869</v>
      </c>
      <c r="AQ35" s="25">
        <v>69.002081610024248</v>
      </c>
      <c r="AR35" s="25">
        <v>11.271552718358691</v>
      </c>
      <c r="AS35" s="25">
        <v>8.0756469020062092</v>
      </c>
      <c r="AT35" s="25">
        <v>5.7094104798331182</v>
      </c>
      <c r="AU35" s="25">
        <v>151.00308742831047</v>
      </c>
      <c r="AV35" s="25">
        <v>2671.7048955719752</v>
      </c>
      <c r="AW35" s="25">
        <v>671.10615408548813</v>
      </c>
      <c r="AX35" s="25">
        <v>636.6349535863468</v>
      </c>
      <c r="AY35" s="40">
        <v>91.163800065008417</v>
      </c>
      <c r="AZ35" s="25">
        <v>1.8181176656353912</v>
      </c>
      <c r="BA35" s="25">
        <v>1.8591240708545662</v>
      </c>
      <c r="BB35" s="25">
        <v>42.485350775409039</v>
      </c>
      <c r="BC35" s="25">
        <v>18.822651646658375</v>
      </c>
      <c r="BD35" s="25">
        <v>102.32219762667414</v>
      </c>
      <c r="BE35" s="25">
        <v>3.0964801188327877</v>
      </c>
      <c r="BF35" s="25">
        <v>7.3669021801213646</v>
      </c>
      <c r="BG35" s="25">
        <v>35.696866995587122</v>
      </c>
      <c r="BH35" s="25">
        <v>27.292073316278188</v>
      </c>
      <c r="BI35" s="25">
        <v>75.757469827224114</v>
      </c>
      <c r="BJ35" s="25">
        <v>78.546779463190731</v>
      </c>
      <c r="BK35" s="25">
        <v>77.794108543142215</v>
      </c>
      <c r="BL35" s="25">
        <v>15.782527297828176</v>
      </c>
      <c r="BM35" s="25">
        <v>17.582062203019539</v>
      </c>
      <c r="BN35" s="25">
        <v>18.870314441633383</v>
      </c>
      <c r="BO35" s="25">
        <v>61.924189362876774</v>
      </c>
      <c r="BP35" s="25">
        <v>4.3873217304488907</v>
      </c>
      <c r="BQ35" s="25">
        <v>65.879991597722096</v>
      </c>
      <c r="BR35" s="25">
        <v>18.172085755498685</v>
      </c>
      <c r="BS35" s="25">
        <v>68.052447976203183</v>
      </c>
      <c r="BT35" s="25">
        <v>29.028014235441432</v>
      </c>
      <c r="BU35" s="25">
        <v>117.57291313680243</v>
      </c>
      <c r="BV35" s="25">
        <v>53.270977373438818</v>
      </c>
      <c r="BW35" s="25">
        <v>82.363751686010772</v>
      </c>
      <c r="BX35" s="25">
        <v>0</v>
      </c>
      <c r="BY35" s="25">
        <v>45006.508980338731</v>
      </c>
      <c r="BZ35" s="25">
        <v>24409.736203094599</v>
      </c>
      <c r="CA35" s="25">
        <v>0.72163790854097531</v>
      </c>
      <c r="CB35" s="25">
        <v>0</v>
      </c>
      <c r="CC35" s="25">
        <v>2076.5017925826296</v>
      </c>
      <c r="CD35" s="25">
        <v>474.42621675924852</v>
      </c>
      <c r="CE35" s="25">
        <v>1180.1051693774962</v>
      </c>
      <c r="CF35" s="25">
        <v>28141.491019722518</v>
      </c>
      <c r="CG35" s="25">
        <v>73148</v>
      </c>
      <c r="CH35"/>
      <c r="CI35">
        <f t="shared" si="0"/>
        <v>0.38471989691751679</v>
      </c>
      <c r="CJ35"/>
      <c r="CK35"/>
      <c r="CL35"/>
      <c r="CM35"/>
      <c r="CN35"/>
      <c r="CO35"/>
      <c r="CP35"/>
      <c r="CQ35"/>
      <c r="CR35"/>
      <c r="CS35"/>
      <c r="CT35"/>
      <c r="CU35"/>
    </row>
    <row r="36" spans="1:99" s="5" customFormat="1" x14ac:dyDescent="0.3">
      <c r="A36" s="35" t="s">
        <v>40</v>
      </c>
      <c r="B36" s="11" t="s">
        <v>114</v>
      </c>
      <c r="C36" s="5">
        <v>31</v>
      </c>
      <c r="D36" s="25">
        <v>499.03628505811298</v>
      </c>
      <c r="E36" s="25">
        <v>637.12694209635652</v>
      </c>
      <c r="F36" s="25">
        <v>57.088750630363855</v>
      </c>
      <c r="G36" s="25">
        <v>52.952040829475806</v>
      </c>
      <c r="H36" s="25">
        <v>1814.6536215008716</v>
      </c>
      <c r="I36" s="25">
        <v>970.82498575716988</v>
      </c>
      <c r="J36" s="25">
        <v>218.88176946240205</v>
      </c>
      <c r="K36" s="25">
        <v>2499.7225235243782</v>
      </c>
      <c r="L36" s="25">
        <v>62.75998562979516</v>
      </c>
      <c r="M36" s="25">
        <v>2501.0728529116341</v>
      </c>
      <c r="N36" s="25">
        <v>3555.6146147296681</v>
      </c>
      <c r="O36" s="25">
        <v>16.308338771807708</v>
      </c>
      <c r="P36" s="25">
        <v>79.145719613613068</v>
      </c>
      <c r="Q36" s="25">
        <v>77.703656720160751</v>
      </c>
      <c r="R36" s="25">
        <v>60.610064535476013</v>
      </c>
      <c r="S36" s="25">
        <v>496.23164713675953</v>
      </c>
      <c r="T36" s="25">
        <v>162.77405936276381</v>
      </c>
      <c r="U36" s="25">
        <v>29.804839803181981</v>
      </c>
      <c r="V36" s="25">
        <v>328.88779661054275</v>
      </c>
      <c r="W36" s="25">
        <v>8.4721673703899363</v>
      </c>
      <c r="X36" s="25">
        <v>1.5267308346648152</v>
      </c>
      <c r="Y36" s="25">
        <v>64.505842004050564</v>
      </c>
      <c r="Z36" s="25">
        <v>525.29841647542776</v>
      </c>
      <c r="AA36" s="25">
        <v>703.8833960647429</v>
      </c>
      <c r="AB36" s="25">
        <v>951.83371164547657</v>
      </c>
      <c r="AC36" s="25">
        <v>152.41254261647069</v>
      </c>
      <c r="AD36" s="25">
        <v>348.73827152680923</v>
      </c>
      <c r="AE36" s="25">
        <v>220.63956139277727</v>
      </c>
      <c r="AF36" s="25">
        <v>2342.1473751097342</v>
      </c>
      <c r="AG36" s="25">
        <v>326.6653644321986</v>
      </c>
      <c r="AH36" s="25">
        <v>7361.8054361951226</v>
      </c>
      <c r="AI36" s="25">
        <v>902.08353170762268</v>
      </c>
      <c r="AJ36" s="25">
        <v>2162.8145510773961</v>
      </c>
      <c r="AK36" s="25">
        <v>4771.1427326245075</v>
      </c>
      <c r="AL36" s="25">
        <v>3775.924864909698</v>
      </c>
      <c r="AM36" s="25">
        <v>2345.50367768453</v>
      </c>
      <c r="AN36" s="25">
        <v>1733.9023951047222</v>
      </c>
      <c r="AO36" s="25">
        <v>1303.9481297997327</v>
      </c>
      <c r="AP36" s="25">
        <v>3247.3970161486754</v>
      </c>
      <c r="AQ36" s="25">
        <v>2060.5089523095462</v>
      </c>
      <c r="AR36" s="25">
        <v>336.58600930139283</v>
      </c>
      <c r="AS36" s="25">
        <v>241.15131527941159</v>
      </c>
      <c r="AT36" s="25">
        <v>97.752219723145572</v>
      </c>
      <c r="AU36" s="25">
        <v>490.86422926250992</v>
      </c>
      <c r="AV36" s="25">
        <v>19392.368145482073</v>
      </c>
      <c r="AW36" s="25">
        <v>394.15467546623591</v>
      </c>
      <c r="AX36" s="25">
        <v>1607.2339617656201</v>
      </c>
      <c r="AY36" s="40">
        <v>165.62452290215185</v>
      </c>
      <c r="AZ36" s="25">
        <v>11.291258408826058</v>
      </c>
      <c r="BA36" s="25">
        <v>4.9721684573621596</v>
      </c>
      <c r="BB36" s="25">
        <v>39.906178766243947</v>
      </c>
      <c r="BC36" s="25">
        <v>145.16607066701616</v>
      </c>
      <c r="BD36" s="25">
        <v>2131.8181059376038</v>
      </c>
      <c r="BE36" s="25">
        <v>3.6640066010629329</v>
      </c>
      <c r="BF36" s="25">
        <v>14.896721986389956</v>
      </c>
      <c r="BG36" s="25">
        <v>37.318672141584791</v>
      </c>
      <c r="BH36" s="25">
        <v>19.608032537303366</v>
      </c>
      <c r="BI36" s="25">
        <v>30.890878483922169</v>
      </c>
      <c r="BJ36" s="25">
        <v>417.59228118910988</v>
      </c>
      <c r="BK36" s="25">
        <v>42.951420057865775</v>
      </c>
      <c r="BL36" s="25">
        <v>29.159298362870132</v>
      </c>
      <c r="BM36" s="25">
        <v>9.5612587580921069</v>
      </c>
      <c r="BN36" s="25">
        <v>20.303370527721775</v>
      </c>
      <c r="BO36" s="25">
        <v>345.61408488534687</v>
      </c>
      <c r="BP36" s="25">
        <v>82.701262208247783</v>
      </c>
      <c r="BQ36" s="25">
        <v>962.37641768483877</v>
      </c>
      <c r="BR36" s="25">
        <v>83.657045495636225</v>
      </c>
      <c r="BS36" s="25">
        <v>24.911509409303836</v>
      </c>
      <c r="BT36" s="25">
        <v>117.28027098763397</v>
      </c>
      <c r="BU36" s="25">
        <v>70.172173948849206</v>
      </c>
      <c r="BV36" s="25">
        <v>22.595159042015471</v>
      </c>
      <c r="BW36" s="25">
        <v>109.12298613270755</v>
      </c>
      <c r="BX36" s="25">
        <v>0</v>
      </c>
      <c r="BY36" s="25">
        <v>76935.620873578911</v>
      </c>
      <c r="BZ36" s="25">
        <v>7329.3582152390518</v>
      </c>
      <c r="CA36" s="25">
        <v>1.2784448741840122</v>
      </c>
      <c r="CB36" s="25">
        <v>0</v>
      </c>
      <c r="CC36" s="25">
        <v>12109.882380664789</v>
      </c>
      <c r="CD36" s="25">
        <v>7061.8193036540324</v>
      </c>
      <c r="CE36" s="25">
        <v>-1483.9592179850076</v>
      </c>
      <c r="CF36" s="25">
        <v>25018.379126447049</v>
      </c>
      <c r="CG36" s="25">
        <v>101954</v>
      </c>
      <c r="CH36"/>
      <c r="CI36">
        <f t="shared" si="0"/>
        <v>0.24538889230875738</v>
      </c>
      <c r="CJ36"/>
      <c r="CK36"/>
      <c r="CL36"/>
      <c r="CM36"/>
      <c r="CN36"/>
      <c r="CO36"/>
      <c r="CP36"/>
      <c r="CQ36"/>
      <c r="CR36"/>
      <c r="CS36"/>
      <c r="CT36"/>
      <c r="CU36"/>
    </row>
    <row r="37" spans="1:99" s="5" customFormat="1" x14ac:dyDescent="0.3">
      <c r="A37" s="35" t="s">
        <v>41</v>
      </c>
      <c r="B37" s="13" t="s">
        <v>115</v>
      </c>
      <c r="C37" s="5">
        <v>32</v>
      </c>
      <c r="D37" s="25">
        <v>12.419133851114781</v>
      </c>
      <c r="E37" s="25">
        <v>8.6898044381552335</v>
      </c>
      <c r="F37" s="25">
        <v>1.193485766770126</v>
      </c>
      <c r="G37" s="25">
        <v>5.3596247328811897</v>
      </c>
      <c r="H37" s="25">
        <v>366.70280766656447</v>
      </c>
      <c r="I37" s="25">
        <v>98.368227072380691</v>
      </c>
      <c r="J37" s="25">
        <v>16.221482210325796</v>
      </c>
      <c r="K37" s="25">
        <v>38.201054868243702</v>
      </c>
      <c r="L37" s="25">
        <v>1.8804611435075813</v>
      </c>
      <c r="M37" s="25">
        <v>35.313877374417935</v>
      </c>
      <c r="N37" s="25">
        <v>13.801931887626946</v>
      </c>
      <c r="O37" s="25">
        <v>1.5691739301562229</v>
      </c>
      <c r="P37" s="25">
        <v>9.1187669154443896</v>
      </c>
      <c r="Q37" s="25">
        <v>13.362504628405015</v>
      </c>
      <c r="R37" s="25">
        <v>9.6102571319475718</v>
      </c>
      <c r="S37" s="25">
        <v>7.0166850551536983</v>
      </c>
      <c r="T37" s="25">
        <v>14.734427884322697</v>
      </c>
      <c r="U37" s="25">
        <v>217.35962171619289</v>
      </c>
      <c r="V37" s="25">
        <v>10.095832255490841</v>
      </c>
      <c r="W37" s="25">
        <v>0.25943691379120065</v>
      </c>
      <c r="X37" s="25">
        <v>2.2207382365984345E-2</v>
      </c>
      <c r="Y37" s="25">
        <v>2.2880449947914063</v>
      </c>
      <c r="Z37" s="25">
        <v>13.940670389707927</v>
      </c>
      <c r="AA37" s="25">
        <v>9.389810474770961</v>
      </c>
      <c r="AB37" s="25">
        <v>8.6718497932143528</v>
      </c>
      <c r="AC37" s="25">
        <v>10.054823041195542</v>
      </c>
      <c r="AD37" s="25">
        <v>30.206007482815028</v>
      </c>
      <c r="AE37" s="25">
        <v>13.468237256816359</v>
      </c>
      <c r="AF37" s="25">
        <v>21.050127137193687</v>
      </c>
      <c r="AG37" s="25">
        <v>13.073065052326756</v>
      </c>
      <c r="AH37" s="25">
        <v>21.162403636587065</v>
      </c>
      <c r="AI37" s="25">
        <v>17405.685058288047</v>
      </c>
      <c r="AJ37" s="25">
        <v>547.87496786344434</v>
      </c>
      <c r="AK37" s="25">
        <v>756.88150604138093</v>
      </c>
      <c r="AL37" s="25">
        <v>323.88078119482907</v>
      </c>
      <c r="AM37" s="25">
        <v>225.81662299211283</v>
      </c>
      <c r="AN37" s="25">
        <v>97.633183718986601</v>
      </c>
      <c r="AO37" s="25">
        <v>79.034593730625289</v>
      </c>
      <c r="AP37" s="25">
        <v>854.92363846403157</v>
      </c>
      <c r="AQ37" s="25">
        <v>234.8485338184515</v>
      </c>
      <c r="AR37" s="25">
        <v>38.362721355631727</v>
      </c>
      <c r="AS37" s="25">
        <v>27.485458269075718</v>
      </c>
      <c r="AT37" s="25">
        <v>41.949119742265481</v>
      </c>
      <c r="AU37" s="25">
        <v>20.914070381251214</v>
      </c>
      <c r="AV37" s="25">
        <v>562.15288096803124</v>
      </c>
      <c r="AW37" s="25">
        <v>43.245687941383004</v>
      </c>
      <c r="AX37" s="25">
        <v>351.46919372388192</v>
      </c>
      <c r="AY37" s="40">
        <v>65.044062061216493</v>
      </c>
      <c r="AZ37" s="25">
        <v>7.1038037479330667</v>
      </c>
      <c r="BA37" s="25">
        <v>7.0741323737925699</v>
      </c>
      <c r="BB37" s="25">
        <v>219.06182080899765</v>
      </c>
      <c r="BC37" s="25">
        <v>4.2994957026716278</v>
      </c>
      <c r="BD37" s="25">
        <v>20.580154453052806</v>
      </c>
      <c r="BE37" s="25">
        <v>3.3640291246609078</v>
      </c>
      <c r="BF37" s="25">
        <v>288.6825985085332</v>
      </c>
      <c r="BG37" s="25">
        <v>289.90217680210674</v>
      </c>
      <c r="BH37" s="25">
        <v>2116.4629209784416</v>
      </c>
      <c r="BI37" s="25">
        <v>378.52008471981327</v>
      </c>
      <c r="BJ37" s="25">
        <v>18.640704685552716</v>
      </c>
      <c r="BK37" s="25">
        <v>386.96176542391458</v>
      </c>
      <c r="BL37" s="25">
        <v>723.15010419488692</v>
      </c>
      <c r="BM37" s="25">
        <v>136.4608649774008</v>
      </c>
      <c r="BN37" s="25">
        <v>50.407471974589576</v>
      </c>
      <c r="BO37" s="25">
        <v>1365.297785232762</v>
      </c>
      <c r="BP37" s="25">
        <v>145.45213225507948</v>
      </c>
      <c r="BQ37" s="25">
        <v>318.43830111754886</v>
      </c>
      <c r="BR37" s="25">
        <v>583.98243536789414</v>
      </c>
      <c r="BS37" s="25">
        <v>135.66739203606176</v>
      </c>
      <c r="BT37" s="25">
        <v>234.52423390824742</v>
      </c>
      <c r="BU37" s="25">
        <v>296.78207143792031</v>
      </c>
      <c r="BV37" s="25">
        <v>68.816515037834662</v>
      </c>
      <c r="BW37" s="25">
        <v>876.65294613592084</v>
      </c>
      <c r="BX37" s="25">
        <v>0</v>
      </c>
      <c r="BY37" s="25">
        <v>31378.09386564494</v>
      </c>
      <c r="BZ37" s="25">
        <v>4359.5439623499396</v>
      </c>
      <c r="CA37" s="25">
        <v>0.84224591553946704</v>
      </c>
      <c r="CB37" s="25">
        <v>0</v>
      </c>
      <c r="CC37" s="25">
        <v>38106.281061939466</v>
      </c>
      <c r="CD37" s="25">
        <v>27834.343811004135</v>
      </c>
      <c r="CE37" s="25">
        <v>1864.8950531489645</v>
      </c>
      <c r="CF37" s="25">
        <v>72165.906134358025</v>
      </c>
      <c r="CG37" s="25">
        <v>103544</v>
      </c>
      <c r="CH37"/>
      <c r="CI37">
        <f t="shared" si="0"/>
        <v>0.69695884005213271</v>
      </c>
      <c r="CJ37"/>
      <c r="CK37"/>
      <c r="CL37"/>
      <c r="CM37"/>
      <c r="CN37"/>
      <c r="CO37"/>
      <c r="CP37"/>
      <c r="CQ37"/>
      <c r="CR37"/>
      <c r="CS37"/>
      <c r="CT37"/>
      <c r="CU37"/>
    </row>
    <row r="38" spans="1:99" s="5" customFormat="1" x14ac:dyDescent="0.3">
      <c r="A38" s="35" t="s">
        <v>42</v>
      </c>
      <c r="B38" s="11" t="s">
        <v>116</v>
      </c>
      <c r="C38" s="5">
        <v>33</v>
      </c>
      <c r="D38" s="25">
        <v>61.471443243496033</v>
      </c>
      <c r="E38" s="25">
        <v>100.9510779909469</v>
      </c>
      <c r="F38" s="25">
        <v>8.5343875154979525</v>
      </c>
      <c r="G38" s="25">
        <v>33.536284585432739</v>
      </c>
      <c r="H38" s="25">
        <v>351.44181560196319</v>
      </c>
      <c r="I38" s="25">
        <v>105.93191251051248</v>
      </c>
      <c r="J38" s="25">
        <v>28.623827608599345</v>
      </c>
      <c r="K38" s="25">
        <v>106.00237764710496</v>
      </c>
      <c r="L38" s="25">
        <v>20.203186585972457</v>
      </c>
      <c r="M38" s="25">
        <v>138.23009502943813</v>
      </c>
      <c r="N38" s="25">
        <v>54.237113790431863</v>
      </c>
      <c r="O38" s="25">
        <v>3.1297543523975815</v>
      </c>
      <c r="P38" s="25">
        <v>41.057799766490078</v>
      </c>
      <c r="Q38" s="25">
        <v>12.68651278034104</v>
      </c>
      <c r="R38" s="25">
        <v>14.12203476557268</v>
      </c>
      <c r="S38" s="25">
        <v>37.24508463607885</v>
      </c>
      <c r="T38" s="25">
        <v>94.046313324054367</v>
      </c>
      <c r="U38" s="25">
        <v>25.089968767362564</v>
      </c>
      <c r="V38" s="25">
        <v>24.563620027522102</v>
      </c>
      <c r="W38" s="25">
        <v>0.63389096304002268</v>
      </c>
      <c r="X38" s="25">
        <v>0.15812753103878166</v>
      </c>
      <c r="Y38" s="25">
        <v>17.644357479480224</v>
      </c>
      <c r="Z38" s="25">
        <v>128.517484352172</v>
      </c>
      <c r="AA38" s="25">
        <v>37.106257302072869</v>
      </c>
      <c r="AB38" s="25">
        <v>27.521789477193956</v>
      </c>
      <c r="AC38" s="25">
        <v>24.029436324972785</v>
      </c>
      <c r="AD38" s="25">
        <v>122.22623729916268</v>
      </c>
      <c r="AE38" s="25">
        <v>144.97496097091033</v>
      </c>
      <c r="AF38" s="25">
        <v>174.91861915213437</v>
      </c>
      <c r="AG38" s="25">
        <v>232.204389607129</v>
      </c>
      <c r="AH38" s="25">
        <v>169.67039921750245</v>
      </c>
      <c r="AI38" s="25">
        <v>1981.3495340623881</v>
      </c>
      <c r="AJ38" s="25">
        <v>7205.7318152088583</v>
      </c>
      <c r="AK38" s="25">
        <v>2445.063188035022</v>
      </c>
      <c r="AL38" s="25">
        <v>1174.943316230971</v>
      </c>
      <c r="AM38" s="25">
        <v>1006.4146357238128</v>
      </c>
      <c r="AN38" s="25">
        <v>328.24985372252911</v>
      </c>
      <c r="AO38" s="25">
        <v>282.22592215397947</v>
      </c>
      <c r="AP38" s="25">
        <v>2468.8556613926908</v>
      </c>
      <c r="AQ38" s="25">
        <v>4211.3386971755426</v>
      </c>
      <c r="AR38" s="25">
        <v>687.92600212197374</v>
      </c>
      <c r="AS38" s="25">
        <v>492.87330917570256</v>
      </c>
      <c r="AT38" s="25">
        <v>799.26302757061512</v>
      </c>
      <c r="AU38" s="25">
        <v>198.71648585839202</v>
      </c>
      <c r="AV38" s="25">
        <v>7560.7586165971779</v>
      </c>
      <c r="AW38" s="25">
        <v>469.43587383769659</v>
      </c>
      <c r="AX38" s="25">
        <v>1152.1672158094475</v>
      </c>
      <c r="AY38" s="40">
        <v>1150.8759877231025</v>
      </c>
      <c r="AZ38" s="25">
        <v>34.987697777754953</v>
      </c>
      <c r="BA38" s="25">
        <v>8.9950211061220422</v>
      </c>
      <c r="BB38" s="25">
        <v>126.21429420642849</v>
      </c>
      <c r="BC38" s="25">
        <v>36.283964031310575</v>
      </c>
      <c r="BD38" s="25">
        <v>80.774348153953326</v>
      </c>
      <c r="BE38" s="25">
        <v>10.321334342613552</v>
      </c>
      <c r="BF38" s="25">
        <v>54.167703651936158</v>
      </c>
      <c r="BG38" s="25">
        <v>627.47281614248459</v>
      </c>
      <c r="BH38" s="25">
        <v>55.847398921744265</v>
      </c>
      <c r="BI38" s="25">
        <v>84.703040578208757</v>
      </c>
      <c r="BJ38" s="25">
        <v>433.5383297501993</v>
      </c>
      <c r="BK38" s="25">
        <v>614.46180476424547</v>
      </c>
      <c r="BL38" s="25">
        <v>70.262747582605186</v>
      </c>
      <c r="BM38" s="25">
        <v>48.605598818059967</v>
      </c>
      <c r="BN38" s="25">
        <v>45.073338130913605</v>
      </c>
      <c r="BO38" s="25">
        <v>663.14429293179364</v>
      </c>
      <c r="BP38" s="25">
        <v>6.2717719731465991</v>
      </c>
      <c r="BQ38" s="25">
        <v>131.14882308832696</v>
      </c>
      <c r="BR38" s="25">
        <v>61.569511472027592</v>
      </c>
      <c r="BS38" s="25">
        <v>29.235817579768533</v>
      </c>
      <c r="BT38" s="25">
        <v>32.201740803634472</v>
      </c>
      <c r="BU38" s="25">
        <v>36.545806143206093</v>
      </c>
      <c r="BV38" s="25">
        <v>79.163102429354211</v>
      </c>
      <c r="BW38" s="25">
        <v>789.54653894132332</v>
      </c>
      <c r="BX38" s="25">
        <v>0</v>
      </c>
      <c r="BY38" s="25">
        <v>40117.436545927085</v>
      </c>
      <c r="BZ38" s="25">
        <v>8160.608236693969</v>
      </c>
      <c r="CA38" s="25">
        <v>1.0854720629864254</v>
      </c>
      <c r="CB38" s="25">
        <v>0</v>
      </c>
      <c r="CC38" s="25">
        <v>18247.815276959202</v>
      </c>
      <c r="CD38" s="25">
        <v>14696.133219116911</v>
      </c>
      <c r="CE38" s="25">
        <v>-1278.0787507290102</v>
      </c>
      <c r="CF38" s="25">
        <v>39827.563454104071</v>
      </c>
      <c r="CG38" s="25">
        <v>79945</v>
      </c>
      <c r="CH38"/>
      <c r="CI38">
        <f t="shared" si="0"/>
        <v>0.49818704677095593</v>
      </c>
      <c r="CJ38"/>
      <c r="CK38"/>
      <c r="CL38"/>
      <c r="CM38"/>
      <c r="CN38"/>
      <c r="CO38"/>
      <c r="CP38"/>
      <c r="CQ38"/>
      <c r="CR38"/>
      <c r="CS38"/>
      <c r="CT38"/>
      <c r="CU38"/>
    </row>
    <row r="39" spans="1:99" s="5" customFormat="1" x14ac:dyDescent="0.3">
      <c r="A39" s="35" t="s">
        <v>43</v>
      </c>
      <c r="B39" s="11" t="s">
        <v>117</v>
      </c>
      <c r="C39" s="5">
        <v>34</v>
      </c>
      <c r="D39" s="25">
        <v>59.522305703606065</v>
      </c>
      <c r="E39" s="25">
        <v>52.217786105288837</v>
      </c>
      <c r="F39" s="25">
        <v>7.7379426650681999</v>
      </c>
      <c r="G39" s="25">
        <v>121.83013377807498</v>
      </c>
      <c r="H39" s="25">
        <v>2981.3187232983764</v>
      </c>
      <c r="I39" s="25">
        <v>3358.5304734187052</v>
      </c>
      <c r="J39" s="25">
        <v>647.24610176666101</v>
      </c>
      <c r="K39" s="25">
        <v>116.75762496976985</v>
      </c>
      <c r="L39" s="25">
        <v>9.5497742493645656</v>
      </c>
      <c r="M39" s="25">
        <v>134.22487336695494</v>
      </c>
      <c r="N39" s="25">
        <v>105.79099949407707</v>
      </c>
      <c r="O39" s="25">
        <v>2.9828610761777705</v>
      </c>
      <c r="P39" s="25">
        <v>20.954038704035376</v>
      </c>
      <c r="Q39" s="25">
        <v>16.0117665591914</v>
      </c>
      <c r="R39" s="25">
        <v>17.830644563412736</v>
      </c>
      <c r="S39" s="25">
        <v>83.835356791768419</v>
      </c>
      <c r="T39" s="25">
        <v>66.499360523187249</v>
      </c>
      <c r="U39" s="25">
        <v>27.971484305499192</v>
      </c>
      <c r="V39" s="25">
        <v>124.42443945135997</v>
      </c>
      <c r="W39" s="25">
        <v>3.2068614775039497</v>
      </c>
      <c r="X39" s="25">
        <v>0.64315817129398389</v>
      </c>
      <c r="Y39" s="25">
        <v>14.664866993787584</v>
      </c>
      <c r="Z39" s="25">
        <v>55.365175312124499</v>
      </c>
      <c r="AA39" s="25">
        <v>42.928805361589461</v>
      </c>
      <c r="AB39" s="25">
        <v>38.4222462567935</v>
      </c>
      <c r="AC39" s="25">
        <v>23.58168466678584</v>
      </c>
      <c r="AD39" s="25">
        <v>146.51909149651729</v>
      </c>
      <c r="AE39" s="25">
        <v>63.810019097951141</v>
      </c>
      <c r="AF39" s="25">
        <v>227.46372146208054</v>
      </c>
      <c r="AG39" s="25">
        <v>109.64969949828244</v>
      </c>
      <c r="AH39" s="25">
        <v>293.6266731396156</v>
      </c>
      <c r="AI39" s="25">
        <v>187.07604213725611</v>
      </c>
      <c r="AJ39" s="25">
        <v>561.552991324191</v>
      </c>
      <c r="AK39" s="25">
        <v>13998.183884661225</v>
      </c>
      <c r="AL39" s="25">
        <v>1347.7857506206824</v>
      </c>
      <c r="AM39" s="25">
        <v>250.3072976290847</v>
      </c>
      <c r="AN39" s="25">
        <v>400.60780466117706</v>
      </c>
      <c r="AO39" s="25">
        <v>86.468517165453292</v>
      </c>
      <c r="AP39" s="25">
        <v>8156.5291072832433</v>
      </c>
      <c r="AQ39" s="25">
        <v>183.8773062557928</v>
      </c>
      <c r="AR39" s="25">
        <v>29.480190946558871</v>
      </c>
      <c r="AS39" s="25">
        <v>21.121456700492327</v>
      </c>
      <c r="AT39" s="25">
        <v>28.673874343909777</v>
      </c>
      <c r="AU39" s="25">
        <v>87.632478652176914</v>
      </c>
      <c r="AV39" s="25">
        <v>3082.2212027772262</v>
      </c>
      <c r="AW39" s="25">
        <v>347.09497939889587</v>
      </c>
      <c r="AX39" s="25">
        <v>492.90872146548861</v>
      </c>
      <c r="AY39" s="40">
        <v>188.18252456487215</v>
      </c>
      <c r="AZ39" s="25">
        <v>114.1317287125715</v>
      </c>
      <c r="BA39" s="25">
        <v>16.756327513669412</v>
      </c>
      <c r="BB39" s="25">
        <v>183.7210541682006</v>
      </c>
      <c r="BC39" s="25">
        <v>10.695788746995476</v>
      </c>
      <c r="BD39" s="25">
        <v>78.820000487197191</v>
      </c>
      <c r="BE39" s="25">
        <v>9.4137410961183203</v>
      </c>
      <c r="BF39" s="25">
        <v>7.8433874607846139</v>
      </c>
      <c r="BG39" s="25">
        <v>56.01575252421209</v>
      </c>
      <c r="BH39" s="25">
        <v>39.266320030685463</v>
      </c>
      <c r="BI39" s="25">
        <v>17.499684418311713</v>
      </c>
      <c r="BJ39" s="25">
        <v>30.905608576877551</v>
      </c>
      <c r="BK39" s="25">
        <v>36.413597653372676</v>
      </c>
      <c r="BL39" s="25">
        <v>40.176682657267463</v>
      </c>
      <c r="BM39" s="25">
        <v>12.242518732631936</v>
      </c>
      <c r="BN39" s="25">
        <v>21.569957732316201</v>
      </c>
      <c r="BO39" s="25">
        <v>1179.0029429730471</v>
      </c>
      <c r="BP39" s="25">
        <v>5.7246072672928889</v>
      </c>
      <c r="BQ39" s="25">
        <v>111.69726973593008</v>
      </c>
      <c r="BR39" s="25">
        <v>25.460223271399052</v>
      </c>
      <c r="BS39" s="25">
        <v>5.0073719347400694</v>
      </c>
      <c r="BT39" s="25">
        <v>117.48267827292875</v>
      </c>
      <c r="BU39" s="25">
        <v>49.931723664466446</v>
      </c>
      <c r="BV39" s="25">
        <v>13.370874267205979</v>
      </c>
      <c r="BW39" s="25">
        <v>42.232026044923728</v>
      </c>
      <c r="BX39" s="25">
        <v>0</v>
      </c>
      <c r="BY39" s="25">
        <v>40650.204692255793</v>
      </c>
      <c r="BZ39" s="25">
        <v>26105.19647079541</v>
      </c>
      <c r="CA39" s="25">
        <v>1.829221439477124</v>
      </c>
      <c r="CB39" s="25">
        <v>0</v>
      </c>
      <c r="CC39" s="25">
        <v>4346.8636411665539</v>
      </c>
      <c r="CD39" s="25">
        <v>59157.235988138818</v>
      </c>
      <c r="CE39" s="25">
        <v>-948.33001378563677</v>
      </c>
      <c r="CF39" s="25">
        <v>88662.795307754626</v>
      </c>
      <c r="CG39" s="25">
        <v>129313</v>
      </c>
      <c r="CH39"/>
      <c r="CI39">
        <f t="shared" si="0"/>
        <v>0.68564487180526801</v>
      </c>
      <c r="CJ39"/>
      <c r="CK39"/>
      <c r="CL39"/>
      <c r="CM39"/>
      <c r="CN39"/>
      <c r="CO39"/>
      <c r="CP39"/>
      <c r="CQ39"/>
      <c r="CR39"/>
      <c r="CS39"/>
      <c r="CT39"/>
      <c r="CU39"/>
    </row>
    <row r="40" spans="1:99" s="5" customFormat="1" x14ac:dyDescent="0.3">
      <c r="A40" s="35" t="s">
        <v>44</v>
      </c>
      <c r="B40" s="11" t="s">
        <v>118</v>
      </c>
      <c r="C40" s="5">
        <v>35</v>
      </c>
      <c r="D40" s="25">
        <v>6.0793326431152925</v>
      </c>
      <c r="E40" s="25">
        <v>4.2341402793009095</v>
      </c>
      <c r="F40" s="25">
        <v>0.45060294483418861</v>
      </c>
      <c r="G40" s="25">
        <v>1.7532064596121533</v>
      </c>
      <c r="H40" s="25">
        <v>22.732493646363995</v>
      </c>
      <c r="I40" s="25">
        <v>35.923445268958368</v>
      </c>
      <c r="J40" s="25">
        <v>4.6230340424648242</v>
      </c>
      <c r="K40" s="25">
        <v>6.0310656150077255</v>
      </c>
      <c r="L40" s="25">
        <v>39.384321213520785</v>
      </c>
      <c r="M40" s="25">
        <v>6.3633747517004942</v>
      </c>
      <c r="N40" s="25">
        <v>7.4156679627781834</v>
      </c>
      <c r="O40" s="25">
        <v>0.4853673891484559</v>
      </c>
      <c r="P40" s="25">
        <v>0.89219765450299382</v>
      </c>
      <c r="Q40" s="25">
        <v>0.72350440715786468</v>
      </c>
      <c r="R40" s="25">
        <v>0.89559605558574462</v>
      </c>
      <c r="S40" s="25">
        <v>1.5390856550522856</v>
      </c>
      <c r="T40" s="25">
        <v>2.2391794342057389</v>
      </c>
      <c r="U40" s="25">
        <v>0.13638293945280502</v>
      </c>
      <c r="V40" s="25">
        <v>0.50357185243508829</v>
      </c>
      <c r="W40" s="25">
        <v>1.295805255644086E-2</v>
      </c>
      <c r="X40" s="25">
        <v>1.7921972661052677E-3</v>
      </c>
      <c r="Y40" s="25">
        <v>0.39143869470761683</v>
      </c>
      <c r="Z40" s="25">
        <v>5.1554650903360315</v>
      </c>
      <c r="AA40" s="25">
        <v>24.655903412295473</v>
      </c>
      <c r="AB40" s="25">
        <v>3.0129772937813186</v>
      </c>
      <c r="AC40" s="25">
        <v>7.0694448061405017</v>
      </c>
      <c r="AD40" s="25">
        <v>6.0070207472078385</v>
      </c>
      <c r="AE40" s="25">
        <v>9.1046686902495484</v>
      </c>
      <c r="AF40" s="25">
        <v>3.6755743774222056</v>
      </c>
      <c r="AG40" s="25">
        <v>5.3585330825795729</v>
      </c>
      <c r="AH40" s="25">
        <v>7.6734366181145788</v>
      </c>
      <c r="AI40" s="25">
        <v>42.135878464386984</v>
      </c>
      <c r="AJ40" s="25">
        <v>130.55867196330829</v>
      </c>
      <c r="AK40" s="25">
        <v>139.03215919780203</v>
      </c>
      <c r="AL40" s="25">
        <v>6401.0291995062835</v>
      </c>
      <c r="AM40" s="25">
        <v>198.18236285527331</v>
      </c>
      <c r="AN40" s="25">
        <v>27.306349159842785</v>
      </c>
      <c r="AO40" s="25">
        <v>6.955028087194794</v>
      </c>
      <c r="AP40" s="25">
        <v>89.22255793834951</v>
      </c>
      <c r="AQ40" s="25">
        <v>86.668171491859326</v>
      </c>
      <c r="AR40" s="25">
        <v>14.15732454993543</v>
      </c>
      <c r="AS40" s="25">
        <v>10.143194730941259</v>
      </c>
      <c r="AT40" s="25">
        <v>15.485616608259518</v>
      </c>
      <c r="AU40" s="25">
        <v>13.526570934637117</v>
      </c>
      <c r="AV40" s="25">
        <v>188.27528297895037</v>
      </c>
      <c r="AW40" s="25">
        <v>532.17208085673667</v>
      </c>
      <c r="AX40" s="25">
        <v>94.656438781178892</v>
      </c>
      <c r="AY40" s="40">
        <v>864.60320895691905</v>
      </c>
      <c r="AZ40" s="25">
        <v>0.83914315631735381</v>
      </c>
      <c r="BA40" s="25">
        <v>8.1858906758950745E-2</v>
      </c>
      <c r="BB40" s="25">
        <v>9.1036561840329675</v>
      </c>
      <c r="BC40" s="25">
        <v>1.6401264875792059</v>
      </c>
      <c r="BD40" s="25">
        <v>8.1053616704011695</v>
      </c>
      <c r="BE40" s="25">
        <v>0.29355293855328496</v>
      </c>
      <c r="BF40" s="25">
        <v>1.8669431820610858</v>
      </c>
      <c r="BG40" s="25">
        <v>15.046584400360741</v>
      </c>
      <c r="BH40" s="25">
        <v>4.206258609986504</v>
      </c>
      <c r="BI40" s="25">
        <v>5.7782215604884071</v>
      </c>
      <c r="BJ40" s="25">
        <v>10.632691936448024</v>
      </c>
      <c r="BK40" s="25">
        <v>14.295464906277772</v>
      </c>
      <c r="BL40" s="25">
        <v>34.022490097580679</v>
      </c>
      <c r="BM40" s="25">
        <v>1.6650914908455441</v>
      </c>
      <c r="BN40" s="25">
        <v>14.797823088620525</v>
      </c>
      <c r="BO40" s="25">
        <v>21.056968342396452</v>
      </c>
      <c r="BP40" s="25">
        <v>2.196008256563204</v>
      </c>
      <c r="BQ40" s="25">
        <v>54.143997285643749</v>
      </c>
      <c r="BR40" s="25">
        <v>8.0172920945857413</v>
      </c>
      <c r="BS40" s="25">
        <v>3.329808523440775</v>
      </c>
      <c r="BT40" s="25">
        <v>14.693655894817354</v>
      </c>
      <c r="BU40" s="25">
        <v>10.723095359283748</v>
      </c>
      <c r="BV40" s="25">
        <v>4.0666521346822817</v>
      </c>
      <c r="BW40" s="25">
        <v>10.757810926212755</v>
      </c>
      <c r="BX40" s="25">
        <v>0</v>
      </c>
      <c r="BY40" s="25">
        <v>9319.9954377736558</v>
      </c>
      <c r="BZ40" s="25">
        <v>31565.598555046839</v>
      </c>
      <c r="CA40" s="25">
        <v>0</v>
      </c>
      <c r="CB40" s="25">
        <v>0</v>
      </c>
      <c r="CC40" s="25">
        <v>74047.929024189856</v>
      </c>
      <c r="CD40" s="25">
        <v>71777.155606281944</v>
      </c>
      <c r="CE40" s="25">
        <v>1204.3213767128063</v>
      </c>
      <c r="CF40" s="25">
        <v>178595.00456223145</v>
      </c>
      <c r="CG40" s="25">
        <v>187915</v>
      </c>
      <c r="CH40"/>
      <c r="CI40">
        <f t="shared" si="0"/>
        <v>0.95040313206626104</v>
      </c>
      <c r="CJ40"/>
      <c r="CK40"/>
      <c r="CL40"/>
      <c r="CM40"/>
      <c r="CN40"/>
      <c r="CO40"/>
      <c r="CP40"/>
      <c r="CQ40"/>
      <c r="CR40"/>
      <c r="CS40"/>
      <c r="CT40"/>
      <c r="CU40"/>
    </row>
    <row r="41" spans="1:99" s="5" customFormat="1" x14ac:dyDescent="0.3">
      <c r="A41" s="35" t="s">
        <v>45</v>
      </c>
      <c r="B41" s="11" t="s">
        <v>119</v>
      </c>
      <c r="C41" s="5">
        <v>36</v>
      </c>
      <c r="D41" s="25">
        <v>23.030769629208717</v>
      </c>
      <c r="E41" s="25">
        <v>21.334763428006642</v>
      </c>
      <c r="F41" s="25">
        <v>1.7539911411837736</v>
      </c>
      <c r="G41" s="25">
        <v>4.3114620373138086</v>
      </c>
      <c r="H41" s="25">
        <v>133.67925358866589</v>
      </c>
      <c r="I41" s="25">
        <v>118.35306042140583</v>
      </c>
      <c r="J41" s="25">
        <v>20.491406594920392</v>
      </c>
      <c r="K41" s="25">
        <v>58.822250853589146</v>
      </c>
      <c r="L41" s="25">
        <v>3.6580655989026454</v>
      </c>
      <c r="M41" s="25">
        <v>77.508676051511131</v>
      </c>
      <c r="N41" s="25">
        <v>78.143529112663003</v>
      </c>
      <c r="O41" s="25">
        <v>0.70233329744813222</v>
      </c>
      <c r="P41" s="25">
        <v>8.1067602183074658</v>
      </c>
      <c r="Q41" s="25">
        <v>3.9768991010187786</v>
      </c>
      <c r="R41" s="25">
        <v>6.6684836628326378</v>
      </c>
      <c r="S41" s="25">
        <v>12.730870567110621</v>
      </c>
      <c r="T41" s="25">
        <v>9.2106179336940119</v>
      </c>
      <c r="U41" s="25">
        <v>7.2701764040418322</v>
      </c>
      <c r="V41" s="25">
        <v>6.7603660837117481</v>
      </c>
      <c r="W41" s="25">
        <v>0.17408278972224633</v>
      </c>
      <c r="X41" s="25">
        <v>2.8862715455859316E-2</v>
      </c>
      <c r="Y41" s="25">
        <v>2.3484311284074915</v>
      </c>
      <c r="Z41" s="25">
        <v>19.637024268064614</v>
      </c>
      <c r="AA41" s="25">
        <v>17.09776631679464</v>
      </c>
      <c r="AB41" s="25">
        <v>24.773852900607473</v>
      </c>
      <c r="AC41" s="25">
        <v>9.820390171430228</v>
      </c>
      <c r="AD41" s="25">
        <v>63.16321689365504</v>
      </c>
      <c r="AE41" s="25">
        <v>25.632333748347094</v>
      </c>
      <c r="AF41" s="25">
        <v>59.722249486700498</v>
      </c>
      <c r="AG41" s="25">
        <v>25.274921115880044</v>
      </c>
      <c r="AH41" s="25">
        <v>160.67153291879316</v>
      </c>
      <c r="AI41" s="25">
        <v>149.98137675042946</v>
      </c>
      <c r="AJ41" s="25">
        <v>285.45643584851399</v>
      </c>
      <c r="AK41" s="25">
        <v>590.95514679980465</v>
      </c>
      <c r="AL41" s="25">
        <v>41768.119698194343</v>
      </c>
      <c r="AM41" s="25">
        <v>11118.72493870409</v>
      </c>
      <c r="AN41" s="25">
        <v>88.067706926733123</v>
      </c>
      <c r="AO41" s="25">
        <v>48.305878453495758</v>
      </c>
      <c r="AP41" s="25">
        <v>391.5589705473754</v>
      </c>
      <c r="AQ41" s="25">
        <v>178.96091064583609</v>
      </c>
      <c r="AR41" s="25">
        <v>29.233427337313508</v>
      </c>
      <c r="AS41" s="25">
        <v>20.944659782949238</v>
      </c>
      <c r="AT41" s="25">
        <v>27.99468308644564</v>
      </c>
      <c r="AU41" s="25">
        <v>22.002569535951483</v>
      </c>
      <c r="AV41" s="25">
        <v>786.42206006416041</v>
      </c>
      <c r="AW41" s="25">
        <v>16757.380610384294</v>
      </c>
      <c r="AX41" s="25">
        <v>271.92690386794874</v>
      </c>
      <c r="AY41" s="40">
        <v>11241.326851182903</v>
      </c>
      <c r="AZ41" s="25">
        <v>4.2981168519444219</v>
      </c>
      <c r="BA41" s="25">
        <v>3.3999873134724803</v>
      </c>
      <c r="BB41" s="25">
        <v>22.831216726047206</v>
      </c>
      <c r="BC41" s="25">
        <v>9.7792439959294306</v>
      </c>
      <c r="BD41" s="25">
        <v>66.440220699295025</v>
      </c>
      <c r="BE41" s="25">
        <v>0.9692352588187495</v>
      </c>
      <c r="BF41" s="25">
        <v>4.7494570258082378</v>
      </c>
      <c r="BG41" s="25">
        <v>32.283956554095894</v>
      </c>
      <c r="BH41" s="25">
        <v>11.675920574090959</v>
      </c>
      <c r="BI41" s="25">
        <v>25.117535659091725</v>
      </c>
      <c r="BJ41" s="25">
        <v>33.107385669635867</v>
      </c>
      <c r="BK41" s="25">
        <v>42.753067014498214</v>
      </c>
      <c r="BL41" s="25">
        <v>61.705269956035742</v>
      </c>
      <c r="BM41" s="25">
        <v>6.1094552845915722</v>
      </c>
      <c r="BN41" s="25">
        <v>178.64411219393531</v>
      </c>
      <c r="BO41" s="25">
        <v>86.122547399955891</v>
      </c>
      <c r="BP41" s="25">
        <v>3.4288450741843426</v>
      </c>
      <c r="BQ41" s="25">
        <v>944.29532162300757</v>
      </c>
      <c r="BR41" s="25">
        <v>245.02647863352792</v>
      </c>
      <c r="BS41" s="25">
        <v>20.880374625890653</v>
      </c>
      <c r="BT41" s="25">
        <v>122.23661869936019</v>
      </c>
      <c r="BU41" s="25">
        <v>19.06369890094042</v>
      </c>
      <c r="BV41" s="25">
        <v>18.253064329760541</v>
      </c>
      <c r="BW41" s="25">
        <v>36.18062033752885</v>
      </c>
      <c r="BX41" s="25">
        <v>0</v>
      </c>
      <c r="BY41" s="25">
        <v>86781.572978693453</v>
      </c>
      <c r="BZ41" s="25">
        <v>16209.850370734868</v>
      </c>
      <c r="CA41" s="25">
        <v>0</v>
      </c>
      <c r="CB41" s="25">
        <v>0</v>
      </c>
      <c r="CC41" s="25">
        <v>1499.9348819154825</v>
      </c>
      <c r="CD41" s="25">
        <v>3584.2263505479905</v>
      </c>
      <c r="CE41" s="25">
        <v>-2083.5845818673261</v>
      </c>
      <c r="CF41" s="25">
        <v>19210.427021331016</v>
      </c>
      <c r="CG41" s="25">
        <v>105992</v>
      </c>
      <c r="CH41"/>
      <c r="CI41">
        <f t="shared" si="0"/>
        <v>0.18124412239915291</v>
      </c>
      <c r="CJ41"/>
      <c r="CK41"/>
      <c r="CL41"/>
      <c r="CM41"/>
      <c r="CN41"/>
      <c r="CO41"/>
      <c r="CP41"/>
      <c r="CQ41"/>
      <c r="CR41"/>
      <c r="CS41"/>
      <c r="CT41"/>
      <c r="CU41"/>
    </row>
    <row r="42" spans="1:99" s="5" customFormat="1" x14ac:dyDescent="0.3">
      <c r="A42" s="35" t="s">
        <v>46</v>
      </c>
      <c r="B42" s="11" t="s">
        <v>120</v>
      </c>
      <c r="C42" s="5">
        <v>37</v>
      </c>
      <c r="D42" s="25">
        <v>4.9868211495342329</v>
      </c>
      <c r="E42" s="25">
        <v>4.6069195410432195</v>
      </c>
      <c r="F42" s="25">
        <v>0.78082668028628288</v>
      </c>
      <c r="G42" s="25">
        <v>4.0935082752388299</v>
      </c>
      <c r="H42" s="25">
        <v>36.555408577894092</v>
      </c>
      <c r="I42" s="25">
        <v>28.323997559732756</v>
      </c>
      <c r="J42" s="25">
        <v>6.1643923228497508</v>
      </c>
      <c r="K42" s="25">
        <v>23.872375159693842</v>
      </c>
      <c r="L42" s="25">
        <v>2.6165250884680926</v>
      </c>
      <c r="M42" s="25">
        <v>22.287293821742143</v>
      </c>
      <c r="N42" s="25">
        <v>22.019794969376246</v>
      </c>
      <c r="O42" s="25">
        <v>0.951991038742527</v>
      </c>
      <c r="P42" s="25">
        <v>1.516282348817972</v>
      </c>
      <c r="Q42" s="25">
        <v>2.8505447222716263</v>
      </c>
      <c r="R42" s="25">
        <v>2.5595446686656871</v>
      </c>
      <c r="S42" s="25">
        <v>5.8027436843184077</v>
      </c>
      <c r="T42" s="25">
        <v>16.310046908766967</v>
      </c>
      <c r="U42" s="25">
        <v>5.2951023901787542</v>
      </c>
      <c r="V42" s="25">
        <v>6.1149038706905152</v>
      </c>
      <c r="W42" s="25">
        <v>0.15842795053563921</v>
      </c>
      <c r="X42" s="25">
        <v>6.3786200199413431E-2</v>
      </c>
      <c r="Y42" s="25">
        <v>3.9122942593283057</v>
      </c>
      <c r="Z42" s="25">
        <v>12.464991613664969</v>
      </c>
      <c r="AA42" s="25">
        <v>7.1965891240332542</v>
      </c>
      <c r="AB42" s="25">
        <v>8.3193813814717483</v>
      </c>
      <c r="AC42" s="25">
        <v>12.611800614114907</v>
      </c>
      <c r="AD42" s="25">
        <v>13.78068441035977</v>
      </c>
      <c r="AE42" s="25">
        <v>14.683612440308503</v>
      </c>
      <c r="AF42" s="25">
        <v>64.432299023918844</v>
      </c>
      <c r="AG42" s="25">
        <v>14.514972550016264</v>
      </c>
      <c r="AH42" s="25">
        <v>65.749304626838622</v>
      </c>
      <c r="AI42" s="25">
        <v>9.1707604277193493</v>
      </c>
      <c r="AJ42" s="25">
        <v>29.363735830143359</v>
      </c>
      <c r="AK42" s="25">
        <v>80.378690411628156</v>
      </c>
      <c r="AL42" s="25">
        <v>266.06433068103144</v>
      </c>
      <c r="AM42" s="25">
        <v>94.115435593740415</v>
      </c>
      <c r="AN42" s="25">
        <v>480.05988990730475</v>
      </c>
      <c r="AO42" s="25">
        <v>14.790079925163909</v>
      </c>
      <c r="AP42" s="25">
        <v>151.11749226844694</v>
      </c>
      <c r="AQ42" s="25">
        <v>22.426805250168904</v>
      </c>
      <c r="AR42" s="25">
        <v>3.6634390120329217</v>
      </c>
      <c r="AS42" s="25">
        <v>2.6247173435143485</v>
      </c>
      <c r="AT42" s="25">
        <v>1.8076843233351139</v>
      </c>
      <c r="AU42" s="25">
        <v>8.5592197567344641</v>
      </c>
      <c r="AV42" s="25">
        <v>134.34873154656916</v>
      </c>
      <c r="AW42" s="25">
        <v>104.3287185956416</v>
      </c>
      <c r="AX42" s="25">
        <v>47.185007596141773</v>
      </c>
      <c r="AY42" s="40">
        <v>114.28495397222106</v>
      </c>
      <c r="AZ42" s="25">
        <v>8.1753187737252304</v>
      </c>
      <c r="BA42" s="25">
        <v>3.5093606022635617</v>
      </c>
      <c r="BB42" s="25">
        <v>15.741988103756668</v>
      </c>
      <c r="BC42" s="25">
        <v>0.98892850526239373</v>
      </c>
      <c r="BD42" s="25">
        <v>13.772883960977339</v>
      </c>
      <c r="BE42" s="25">
        <v>2.0275665806359684</v>
      </c>
      <c r="BF42" s="25">
        <v>0.96708398221640157</v>
      </c>
      <c r="BG42" s="25">
        <v>5.6539211026815748</v>
      </c>
      <c r="BH42" s="25">
        <v>9.7449629974355858</v>
      </c>
      <c r="BI42" s="25">
        <v>2.8835222526933015</v>
      </c>
      <c r="BJ42" s="25">
        <v>3.4121952982324646</v>
      </c>
      <c r="BK42" s="25">
        <v>5.8203609723868146</v>
      </c>
      <c r="BL42" s="25">
        <v>29.50740973456119</v>
      </c>
      <c r="BM42" s="25">
        <v>1.2495467255479826</v>
      </c>
      <c r="BN42" s="25">
        <v>7.0318623976594559</v>
      </c>
      <c r="BO42" s="25">
        <v>10.740795794175268</v>
      </c>
      <c r="BP42" s="25">
        <v>1.4258653238884478</v>
      </c>
      <c r="BQ42" s="25">
        <v>27.065816749540872</v>
      </c>
      <c r="BR42" s="25">
        <v>3.2530216082114078</v>
      </c>
      <c r="BS42" s="25">
        <v>1.0348088976519616</v>
      </c>
      <c r="BT42" s="25">
        <v>6.8796707652408386</v>
      </c>
      <c r="BU42" s="25">
        <v>6.9804331328033218</v>
      </c>
      <c r="BV42" s="25">
        <v>3.1204937570298665</v>
      </c>
      <c r="BW42" s="25">
        <v>9.3914333435010597</v>
      </c>
      <c r="BX42" s="25">
        <v>0</v>
      </c>
      <c r="BY42" s="25">
        <v>2160.2661107767194</v>
      </c>
      <c r="BZ42" s="25">
        <v>43140.492653138856</v>
      </c>
      <c r="CA42" s="25">
        <v>0.20503361189743591</v>
      </c>
      <c r="CB42" s="25">
        <v>0</v>
      </c>
      <c r="CC42" s="25">
        <v>762.43633239786652</v>
      </c>
      <c r="CD42" s="25">
        <v>3022.7646692592871</v>
      </c>
      <c r="CE42" s="25">
        <v>-7273.1647991816653</v>
      </c>
      <c r="CF42" s="25">
        <v>39652.733889226234</v>
      </c>
      <c r="CG42" s="25">
        <v>41813</v>
      </c>
      <c r="CH42"/>
      <c r="CI42">
        <f t="shared" si="0"/>
        <v>0.94833506060857231</v>
      </c>
      <c r="CJ42"/>
      <c r="CK42"/>
      <c r="CL42"/>
      <c r="CM42"/>
      <c r="CN42"/>
      <c r="CO42"/>
      <c r="CP42"/>
      <c r="CQ42"/>
      <c r="CR42"/>
      <c r="CS42"/>
      <c r="CT42"/>
      <c r="CU42"/>
    </row>
    <row r="43" spans="1:99" s="5" customFormat="1" x14ac:dyDescent="0.3">
      <c r="A43" s="35" t="s">
        <v>47</v>
      </c>
      <c r="B43" s="11" t="s">
        <v>121</v>
      </c>
      <c r="C43" s="5">
        <v>38</v>
      </c>
      <c r="D43" s="25">
        <v>45.782288437245711</v>
      </c>
      <c r="E43" s="25">
        <v>29.239596913345242</v>
      </c>
      <c r="F43" s="25">
        <v>8.4320166405944832</v>
      </c>
      <c r="G43" s="25">
        <v>11.028587123657127</v>
      </c>
      <c r="H43" s="25">
        <v>80.655808675524071</v>
      </c>
      <c r="I43" s="25">
        <v>51.780234565585253</v>
      </c>
      <c r="J43" s="25">
        <v>8.1537520245893482</v>
      </c>
      <c r="K43" s="25">
        <v>70.003355856703521</v>
      </c>
      <c r="L43" s="25">
        <v>6.0434286287507843</v>
      </c>
      <c r="M43" s="25">
        <v>135.22112072819303</v>
      </c>
      <c r="N43" s="25">
        <v>76.098550648828109</v>
      </c>
      <c r="O43" s="25">
        <v>1.0050290181196722</v>
      </c>
      <c r="P43" s="25">
        <v>56.971174720237016</v>
      </c>
      <c r="Q43" s="25">
        <v>747.44728718589477</v>
      </c>
      <c r="R43" s="25">
        <v>163.13019854927774</v>
      </c>
      <c r="S43" s="25">
        <v>36.447294084671327</v>
      </c>
      <c r="T43" s="25">
        <v>22.146178253166504</v>
      </c>
      <c r="U43" s="25">
        <v>12.187559668481464</v>
      </c>
      <c r="V43" s="25">
        <v>29.950776492129563</v>
      </c>
      <c r="W43" s="25">
        <v>0.77037961564342716</v>
      </c>
      <c r="X43" s="25">
        <v>0.15650270436539049</v>
      </c>
      <c r="Y43" s="25">
        <v>3.1970506395294347</v>
      </c>
      <c r="Z43" s="25">
        <v>86.057607100965313</v>
      </c>
      <c r="AA43" s="25">
        <v>59.958222590080375</v>
      </c>
      <c r="AB43" s="25">
        <v>36.090306193794547</v>
      </c>
      <c r="AC43" s="25">
        <v>51.91197983661484</v>
      </c>
      <c r="AD43" s="25">
        <v>169.57606088592962</v>
      </c>
      <c r="AE43" s="25">
        <v>102.00533712396278</v>
      </c>
      <c r="AF43" s="25">
        <v>36.054503029592446</v>
      </c>
      <c r="AG43" s="25">
        <v>7.2052213003160466</v>
      </c>
      <c r="AH43" s="25">
        <v>89.485080536444698</v>
      </c>
      <c r="AI43" s="25">
        <v>61.480600967481401</v>
      </c>
      <c r="AJ43" s="25">
        <v>56.137189229721017</v>
      </c>
      <c r="AK43" s="25">
        <v>375.52821609189743</v>
      </c>
      <c r="AL43" s="25">
        <v>252.09890296761094</v>
      </c>
      <c r="AM43" s="25">
        <v>398.46123699916501</v>
      </c>
      <c r="AN43" s="25">
        <v>38.40365429506231</v>
      </c>
      <c r="AO43" s="25">
        <v>1960.1198644993181</v>
      </c>
      <c r="AP43" s="25">
        <v>165.5925563050794</v>
      </c>
      <c r="AQ43" s="25">
        <v>61.710357013717321</v>
      </c>
      <c r="AR43" s="25">
        <v>10.080442881128995</v>
      </c>
      <c r="AS43" s="25">
        <v>7.2222611522943634</v>
      </c>
      <c r="AT43" s="25">
        <v>6.0937967564972286</v>
      </c>
      <c r="AU43" s="25">
        <v>33.800583613346866</v>
      </c>
      <c r="AV43" s="25">
        <v>874.03621709689321</v>
      </c>
      <c r="AW43" s="25">
        <v>39.292437919857846</v>
      </c>
      <c r="AX43" s="25">
        <v>438.45063461684435</v>
      </c>
      <c r="AY43" s="40">
        <v>72.534590593157205</v>
      </c>
      <c r="AZ43" s="25">
        <v>53.474975030195026</v>
      </c>
      <c r="BA43" s="25">
        <v>1.8863702697401237</v>
      </c>
      <c r="BB43" s="25">
        <v>118.97152528898459</v>
      </c>
      <c r="BC43" s="25">
        <v>11.606562876415598</v>
      </c>
      <c r="BD43" s="25">
        <v>53.666761308420881</v>
      </c>
      <c r="BE43" s="25">
        <v>4.2463808734715762</v>
      </c>
      <c r="BF43" s="25">
        <v>30.04267614873508</v>
      </c>
      <c r="BG43" s="25">
        <v>8.160663636983907</v>
      </c>
      <c r="BH43" s="25">
        <v>52.216172275063364</v>
      </c>
      <c r="BI43" s="25">
        <v>124.57994644583015</v>
      </c>
      <c r="BJ43" s="25">
        <v>104.80804677786166</v>
      </c>
      <c r="BK43" s="25">
        <v>167.06610060286647</v>
      </c>
      <c r="BL43" s="25">
        <v>205.39394308036344</v>
      </c>
      <c r="BM43" s="25">
        <v>186.64130578892917</v>
      </c>
      <c r="BN43" s="25">
        <v>301.35842301516743</v>
      </c>
      <c r="BO43" s="25">
        <v>143.94754620854138</v>
      </c>
      <c r="BP43" s="25">
        <v>11.161014046942418</v>
      </c>
      <c r="BQ43" s="25">
        <v>469.840919301241</v>
      </c>
      <c r="BR43" s="25">
        <v>551.23724144244261</v>
      </c>
      <c r="BS43" s="25">
        <v>25.479786843630265</v>
      </c>
      <c r="BT43" s="25">
        <v>1456.9750726247385</v>
      </c>
      <c r="BU43" s="25">
        <v>8046.0911888969458</v>
      </c>
      <c r="BV43" s="25">
        <v>96.158920656638017</v>
      </c>
      <c r="BW43" s="25">
        <v>86.087862256028302</v>
      </c>
      <c r="BX43" s="25">
        <v>0</v>
      </c>
      <c r="BY43" s="25">
        <v>19396.335438467486</v>
      </c>
      <c r="BZ43" s="25">
        <v>3585.1584726113724</v>
      </c>
      <c r="CA43" s="25">
        <v>13.779791673091975</v>
      </c>
      <c r="CB43" s="25">
        <v>0</v>
      </c>
      <c r="CC43" s="25">
        <v>43100.800641060887</v>
      </c>
      <c r="CD43" s="25">
        <v>10150.493355155131</v>
      </c>
      <c r="CE43" s="25">
        <v>-1011.6289519688544</v>
      </c>
      <c r="CF43" s="25">
        <v>55838.603308531652</v>
      </c>
      <c r="CG43" s="25">
        <v>75235</v>
      </c>
      <c r="CH43"/>
      <c r="CI43">
        <f t="shared" si="0"/>
        <v>0.74218918466846084</v>
      </c>
      <c r="CJ43"/>
      <c r="CK43"/>
      <c r="CL43"/>
      <c r="CM43"/>
      <c r="CN43"/>
      <c r="CO43"/>
      <c r="CP43"/>
      <c r="CQ43"/>
      <c r="CR43"/>
      <c r="CS43"/>
      <c r="CT43"/>
      <c r="CU43"/>
    </row>
    <row r="44" spans="1:99" s="5" customFormat="1" x14ac:dyDescent="0.3">
      <c r="A44" s="35" t="s">
        <v>48</v>
      </c>
      <c r="B44" s="11" t="s">
        <v>122</v>
      </c>
      <c r="C44" s="5">
        <v>39</v>
      </c>
      <c r="D44" s="25">
        <v>95.999296681132464</v>
      </c>
      <c r="E44" s="25">
        <v>40.232594579558715</v>
      </c>
      <c r="F44" s="25">
        <v>86.09328184228761</v>
      </c>
      <c r="G44" s="25">
        <v>716.65195262567761</v>
      </c>
      <c r="H44" s="25">
        <v>3124.6300625370091</v>
      </c>
      <c r="I44" s="25">
        <v>1811.8295405689137</v>
      </c>
      <c r="J44" s="25">
        <v>682.14345655019474</v>
      </c>
      <c r="K44" s="25">
        <v>1147.1754610464577</v>
      </c>
      <c r="L44" s="25">
        <v>428.95832119905316</v>
      </c>
      <c r="M44" s="25">
        <v>665.69625867036598</v>
      </c>
      <c r="N44" s="25">
        <v>393.03264327304981</v>
      </c>
      <c r="O44" s="25">
        <v>12.305103637098773</v>
      </c>
      <c r="P44" s="25">
        <v>145.60212215246301</v>
      </c>
      <c r="Q44" s="25">
        <v>260.75603821784591</v>
      </c>
      <c r="R44" s="25">
        <v>168.16769926545578</v>
      </c>
      <c r="S44" s="25">
        <v>627.01736232719929</v>
      </c>
      <c r="T44" s="25">
        <v>2982.1012032257213</v>
      </c>
      <c r="U44" s="25">
        <v>1057.8342209006767</v>
      </c>
      <c r="V44" s="25">
        <v>620.66820095066282</v>
      </c>
      <c r="W44" s="25">
        <v>16.245734676674889</v>
      </c>
      <c r="X44" s="25">
        <v>12.915451439657728</v>
      </c>
      <c r="Y44" s="25">
        <v>778.15252442762608</v>
      </c>
      <c r="Z44" s="25">
        <v>1193.254417593294</v>
      </c>
      <c r="AA44" s="25">
        <v>534.26246660551578</v>
      </c>
      <c r="AB44" s="25">
        <v>157.71895599651921</v>
      </c>
      <c r="AC44" s="25">
        <v>621.45429989604781</v>
      </c>
      <c r="AD44" s="25">
        <v>554.3408438984851</v>
      </c>
      <c r="AE44" s="25">
        <v>2308.8231723313834</v>
      </c>
      <c r="AF44" s="25">
        <v>8729.3708884533844</v>
      </c>
      <c r="AG44" s="25">
        <v>1976.9636269964024</v>
      </c>
      <c r="AH44" s="25">
        <v>777.57051779516905</v>
      </c>
      <c r="AI44" s="25">
        <v>82.550318001962964</v>
      </c>
      <c r="AJ44" s="25">
        <v>458.15064711375845</v>
      </c>
      <c r="AK44" s="25">
        <v>1494.2985041274596</v>
      </c>
      <c r="AL44" s="25">
        <v>217.14626183967025</v>
      </c>
      <c r="AM44" s="25">
        <v>688.96154088669778</v>
      </c>
      <c r="AN44" s="25">
        <v>423.04824263360138</v>
      </c>
      <c r="AO44" s="25">
        <v>717.61152138013824</v>
      </c>
      <c r="AP44" s="25">
        <v>1073.442535639173</v>
      </c>
      <c r="AQ44" s="25">
        <v>1338.9613134551741</v>
      </c>
      <c r="AR44" s="25">
        <v>218.72054697927086</v>
      </c>
      <c r="AS44" s="25">
        <v>156.70510991279417</v>
      </c>
      <c r="AT44" s="25">
        <v>93.043618673964673</v>
      </c>
      <c r="AU44" s="25">
        <v>1187.090911745606</v>
      </c>
      <c r="AV44" s="25">
        <v>1957.5838891590849</v>
      </c>
      <c r="AW44" s="25">
        <v>735.16436650407445</v>
      </c>
      <c r="AX44" s="25">
        <v>4433.1198376557068</v>
      </c>
      <c r="AY44" s="40">
        <v>1319.0597394837819</v>
      </c>
      <c r="AZ44" s="25">
        <v>1781.7765364328345</v>
      </c>
      <c r="BA44" s="25">
        <v>768.3377038181635</v>
      </c>
      <c r="BB44" s="25">
        <v>3303.0994470395349</v>
      </c>
      <c r="BC44" s="25">
        <v>6.9671588698732334</v>
      </c>
      <c r="BD44" s="25">
        <v>292.83002362657419</v>
      </c>
      <c r="BE44" s="25">
        <v>404.22868151253954</v>
      </c>
      <c r="BF44" s="25">
        <v>154.53953860291639</v>
      </c>
      <c r="BG44" s="25">
        <v>393.52931220105557</v>
      </c>
      <c r="BH44" s="25">
        <v>1214.7449309694282</v>
      </c>
      <c r="BI44" s="25">
        <v>293.29376236333752</v>
      </c>
      <c r="BJ44" s="25">
        <v>155.80858758442469</v>
      </c>
      <c r="BK44" s="25">
        <v>871.89488192017279</v>
      </c>
      <c r="BL44" s="25">
        <v>175.41422656771934</v>
      </c>
      <c r="BM44" s="25">
        <v>151.98634605649491</v>
      </c>
      <c r="BN44" s="25">
        <v>956.83750310888684</v>
      </c>
      <c r="BO44" s="25">
        <v>919.48580131640881</v>
      </c>
      <c r="BP44" s="25">
        <v>224.93923811412708</v>
      </c>
      <c r="BQ44" s="25">
        <v>1063.5660838465978</v>
      </c>
      <c r="BR44" s="25">
        <v>152.45371925648601</v>
      </c>
      <c r="BS44" s="25">
        <v>1.5982707974041468</v>
      </c>
      <c r="BT44" s="25">
        <v>991.79393921623057</v>
      </c>
      <c r="BU44" s="25">
        <v>574.06167577908013</v>
      </c>
      <c r="BV44" s="25">
        <v>526.48429562594583</v>
      </c>
      <c r="BW44" s="25">
        <v>569.91556142450429</v>
      </c>
      <c r="BX44" s="25">
        <v>0</v>
      </c>
      <c r="BY44" s="25">
        <v>65272.213851603665</v>
      </c>
      <c r="BZ44" s="25">
        <v>4025.5921183981891</v>
      </c>
      <c r="CA44" s="25">
        <v>0.69952644059125191</v>
      </c>
      <c r="CB44" s="25">
        <v>0</v>
      </c>
      <c r="CC44" s="25">
        <v>770.6196783729273</v>
      </c>
      <c r="CD44" s="25">
        <v>9962.6097184136033</v>
      </c>
      <c r="CE44" s="25">
        <v>-63.734893227631026</v>
      </c>
      <c r="CF44" s="25">
        <v>14695.786148397679</v>
      </c>
      <c r="CG44" s="25">
        <v>79968</v>
      </c>
      <c r="CH44"/>
      <c r="CI44">
        <f t="shared" si="0"/>
        <v>0.18377083518904661</v>
      </c>
      <c r="CJ44"/>
      <c r="CK44"/>
      <c r="CL44"/>
      <c r="CM44"/>
      <c r="CN44"/>
      <c r="CO44"/>
      <c r="CP44"/>
      <c r="CQ44"/>
      <c r="CR44"/>
      <c r="CS44"/>
      <c r="CT44"/>
      <c r="CU44"/>
    </row>
    <row r="45" spans="1:99" s="18" customFormat="1" x14ac:dyDescent="0.3">
      <c r="A45" s="35" t="s">
        <v>49</v>
      </c>
      <c r="B45" s="4" t="s">
        <v>123</v>
      </c>
      <c r="C45" s="18">
        <v>40</v>
      </c>
      <c r="D45" s="46">
        <v>6395.2848420511436</v>
      </c>
      <c r="E45" s="46">
        <v>3669.191102193688</v>
      </c>
      <c r="F45" s="46">
        <v>323.32533505968428</v>
      </c>
      <c r="G45" s="46">
        <v>428.97571920001906</v>
      </c>
      <c r="H45" s="46">
        <v>249.12162279682406</v>
      </c>
      <c r="I45" s="46">
        <v>811.37785061707632</v>
      </c>
      <c r="J45" s="46">
        <v>272.83286268342215</v>
      </c>
      <c r="K45" s="46">
        <v>881.4067680355048</v>
      </c>
      <c r="L45" s="46">
        <v>55.54508054019044</v>
      </c>
      <c r="M45" s="46">
        <v>1747.4393465696521</v>
      </c>
      <c r="N45" s="46">
        <v>343.95120347653966</v>
      </c>
      <c r="O45" s="46">
        <v>27.165011246407275</v>
      </c>
      <c r="P45" s="46">
        <v>709.91225811816378</v>
      </c>
      <c r="Q45" s="46">
        <v>115.15108572556116</v>
      </c>
      <c r="R45" s="46">
        <v>144.75464421456547</v>
      </c>
      <c r="S45" s="46">
        <v>505.05656660149418</v>
      </c>
      <c r="T45" s="46">
        <v>1086.1980523218085</v>
      </c>
      <c r="U45" s="46">
        <v>77.841970404323575</v>
      </c>
      <c r="V45" s="46">
        <v>17.978287610272929</v>
      </c>
      <c r="W45" s="46">
        <v>0.38697918666622177</v>
      </c>
      <c r="X45" s="46">
        <v>1.8961224790417248E-2</v>
      </c>
      <c r="Y45" s="46">
        <v>54.932393285651408</v>
      </c>
      <c r="Z45" s="46">
        <v>1641.2751239942309</v>
      </c>
      <c r="AA45" s="46">
        <v>251.37967919043862</v>
      </c>
      <c r="AB45" s="46">
        <v>80.845610978814676</v>
      </c>
      <c r="AC45" s="46">
        <v>115.83358679282772</v>
      </c>
      <c r="AD45" s="46">
        <v>846.65337572872818</v>
      </c>
      <c r="AE45" s="46">
        <v>2854.4839302405439</v>
      </c>
      <c r="AF45" s="46">
        <v>1959.9920932796974</v>
      </c>
      <c r="AG45" s="46">
        <v>1834.870637334395</v>
      </c>
      <c r="AH45" s="46">
        <v>862.60401116109608</v>
      </c>
      <c r="AI45" s="46">
        <v>117.35017037558748</v>
      </c>
      <c r="AJ45" s="46">
        <v>398.86574666063683</v>
      </c>
      <c r="AK45" s="46">
        <v>431.75039602487624</v>
      </c>
      <c r="AL45" s="46">
        <v>415.45654108400561</v>
      </c>
      <c r="AM45" s="46">
        <v>900.339338092704</v>
      </c>
      <c r="AN45" s="46">
        <v>175.55883179475919</v>
      </c>
      <c r="AO45" s="46">
        <v>267.98770675658233</v>
      </c>
      <c r="AP45" s="46">
        <v>217.26177002052285</v>
      </c>
      <c r="AQ45" s="46">
        <v>56040.996010442221</v>
      </c>
      <c r="AR45" s="46">
        <v>2248.7232711605329</v>
      </c>
      <c r="AS45" s="46">
        <v>2.3733184303615484</v>
      </c>
      <c r="AT45" s="46">
        <v>3224.3241024390813</v>
      </c>
      <c r="AU45" s="46">
        <v>3664.4363186817113</v>
      </c>
      <c r="AV45" s="46">
        <v>473.83276661455142</v>
      </c>
      <c r="AW45" s="46">
        <v>1333.350375603304</v>
      </c>
      <c r="AX45" s="46">
        <v>17447.128176802285</v>
      </c>
      <c r="AY45" s="48">
        <f>'Fluxos Energia'!P20</f>
        <v>26.3774484024107</v>
      </c>
      <c r="AZ45" s="46">
        <v>53.922481575237569</v>
      </c>
      <c r="BA45" s="46">
        <v>38.803575606969062</v>
      </c>
      <c r="BB45" s="46">
        <v>1181.1446132868057</v>
      </c>
      <c r="BC45" s="46">
        <v>1186.4213504458387</v>
      </c>
      <c r="BD45" s="46">
        <v>1700.4757738361636</v>
      </c>
      <c r="BE45" s="46">
        <v>98.902912421035069</v>
      </c>
      <c r="BF45" s="46">
        <v>335.6281199531112</v>
      </c>
      <c r="BG45" s="46">
        <v>1531.1591204565723</v>
      </c>
      <c r="BH45" s="46">
        <v>595.99822168586786</v>
      </c>
      <c r="BI45" s="46">
        <v>2001.6851401712015</v>
      </c>
      <c r="BJ45" s="46">
        <v>618.68950591094335</v>
      </c>
      <c r="BK45" s="46">
        <v>1104.1971387987751</v>
      </c>
      <c r="BL45" s="46">
        <v>268.65885483073032</v>
      </c>
      <c r="BM45" s="46">
        <v>202.2699884988684</v>
      </c>
      <c r="BN45" s="46">
        <v>164.1814310579839</v>
      </c>
      <c r="BO45" s="46">
        <v>6287.5566551167794</v>
      </c>
      <c r="BP45" s="46">
        <v>89.37397936722536</v>
      </c>
      <c r="BQ45" s="46">
        <v>4731.856904244738</v>
      </c>
      <c r="BR45" s="46">
        <v>1531.872385454642</v>
      </c>
      <c r="BS45" s="46">
        <v>1968.1986246776944</v>
      </c>
      <c r="BT45" s="46">
        <v>1013.6437461149346</v>
      </c>
      <c r="BU45" s="46">
        <v>1538.7878278866106</v>
      </c>
      <c r="BV45" s="46">
        <v>916.34217629072509</v>
      </c>
      <c r="BW45" s="46">
        <v>2497.6159097856694</v>
      </c>
      <c r="BX45" s="46">
        <v>0</v>
      </c>
      <c r="BY45" s="46">
        <v>147409.28471872551</v>
      </c>
      <c r="BZ45" s="46">
        <v>74.173163542265797</v>
      </c>
      <c r="CA45" s="46">
        <v>0</v>
      </c>
      <c r="CB45" s="46">
        <v>0</v>
      </c>
      <c r="CC45" s="46">
        <v>92106.415628982795</v>
      </c>
      <c r="CD45" s="46">
        <v>179.78295665382799</v>
      </c>
      <c r="CE45" s="46">
        <v>-8028.2998607546597</v>
      </c>
      <c r="CF45" s="46">
        <v>84332.071888424252</v>
      </c>
      <c r="CG45" s="46">
        <v>231741.35660714976</v>
      </c>
      <c r="CH45"/>
      <c r="CI45">
        <f t="shared" si="0"/>
        <v>0.36390600764189368</v>
      </c>
      <c r="CJ45"/>
      <c r="CK45"/>
      <c r="CL45"/>
      <c r="CM45"/>
      <c r="CN45"/>
      <c r="CO45"/>
      <c r="CP45"/>
      <c r="CQ45"/>
      <c r="CR45"/>
      <c r="CS45"/>
      <c r="CT45"/>
      <c r="CU45"/>
    </row>
    <row r="46" spans="1:99" s="18" customFormat="1" x14ac:dyDescent="0.3">
      <c r="A46" s="35" t="s">
        <v>50</v>
      </c>
      <c r="B46" s="4" t="s">
        <v>124</v>
      </c>
      <c r="C46" s="18">
        <v>41</v>
      </c>
      <c r="D46" s="46">
        <v>1400.0172235451139</v>
      </c>
      <c r="E46" s="46">
        <v>803.22910957502359</v>
      </c>
      <c r="F46" s="46">
        <v>70.75275793752688</v>
      </c>
      <c r="G46" s="46">
        <v>21.195726764161069</v>
      </c>
      <c r="H46" s="46">
        <v>12.199259806034101</v>
      </c>
      <c r="I46" s="46">
        <v>40.075277110737119</v>
      </c>
      <c r="J46" s="46">
        <v>13.479532257438787</v>
      </c>
      <c r="K46" s="46">
        <v>190.31440517120922</v>
      </c>
      <c r="L46" s="46">
        <v>11.676093085631189</v>
      </c>
      <c r="M46" s="46">
        <v>380.54681347562149</v>
      </c>
      <c r="N46" s="46">
        <v>74.965026320641769</v>
      </c>
      <c r="O46" s="46">
        <v>5.8558789304925387</v>
      </c>
      <c r="P46" s="46">
        <v>154.29860212490846</v>
      </c>
      <c r="Q46" s="46">
        <v>23.836707510015554</v>
      </c>
      <c r="R46" s="46">
        <v>31.317968215000686</v>
      </c>
      <c r="S46" s="46">
        <v>110.40196734449107</v>
      </c>
      <c r="T46" s="46">
        <v>237.12579059888785</v>
      </c>
      <c r="U46" s="46">
        <v>7.7863479085375547</v>
      </c>
      <c r="V46" s="46">
        <v>1.5752700790749781</v>
      </c>
      <c r="W46" s="46">
        <v>3.2926073950023886E-2</v>
      </c>
      <c r="X46" s="46">
        <v>1.8735492585510666E-3</v>
      </c>
      <c r="Y46" s="46">
        <v>5.2719440437416694</v>
      </c>
      <c r="Z46" s="46">
        <v>165.2805081705267</v>
      </c>
      <c r="AA46" s="46">
        <v>25.21065694985635</v>
      </c>
      <c r="AB46" s="46">
        <v>7.9065920444664792</v>
      </c>
      <c r="AC46" s="46">
        <v>11.251018747073257</v>
      </c>
      <c r="AD46" s="46">
        <v>84.821010061106719</v>
      </c>
      <c r="AE46" s="46">
        <v>287.6814772084943</v>
      </c>
      <c r="AF46" s="46">
        <v>197.27343089664228</v>
      </c>
      <c r="AG46" s="46">
        <v>185.02013796801486</v>
      </c>
      <c r="AH46" s="46">
        <v>86.6674232251235</v>
      </c>
      <c r="AI46" s="46">
        <v>11.571197580866773</v>
      </c>
      <c r="AJ46" s="46">
        <v>40.036437247477579</v>
      </c>
      <c r="AK46" s="46">
        <v>43.156590866034414</v>
      </c>
      <c r="AL46" s="46">
        <v>41.649136682680606</v>
      </c>
      <c r="AM46" s="46">
        <v>90.469355239364148</v>
      </c>
      <c r="AN46" s="46">
        <v>17.616358624088001</v>
      </c>
      <c r="AO46" s="46">
        <v>26.709257415213148</v>
      </c>
      <c r="AP46" s="46">
        <v>10.720945718595928</v>
      </c>
      <c r="AQ46" s="46">
        <v>2329.3415319767278</v>
      </c>
      <c r="AR46" s="46">
        <v>8887.7402538823953</v>
      </c>
      <c r="AS46" s="46">
        <v>8.8882234982647274E-2</v>
      </c>
      <c r="AT46" s="46">
        <v>705.61464953902191</v>
      </c>
      <c r="AU46" s="46">
        <v>181.02949201916158</v>
      </c>
      <c r="AV46" s="46">
        <v>99.604798039048049</v>
      </c>
      <c r="AW46" s="46">
        <v>278.12074764016967</v>
      </c>
      <c r="AX46" s="46">
        <v>3669.2503475272042</v>
      </c>
      <c r="AY46" s="48">
        <f>'Fluxos Energia'!P21</f>
        <v>0.99072064053320164</v>
      </c>
      <c r="AZ46" s="46">
        <v>11.526444101193297</v>
      </c>
      <c r="BA46" s="46">
        <v>8.0967208861890239</v>
      </c>
      <c r="BB46" s="46">
        <v>115.34938975458087</v>
      </c>
      <c r="BC46" s="46">
        <v>255.11247467713582</v>
      </c>
      <c r="BD46" s="46">
        <v>350.9225077203759</v>
      </c>
      <c r="BE46" s="46">
        <v>20.97852137756318</v>
      </c>
      <c r="BF46" s="46">
        <v>71.731833997546161</v>
      </c>
      <c r="BG46" s="46">
        <v>326.84620129538564</v>
      </c>
      <c r="BH46" s="46">
        <v>123.48327725766521</v>
      </c>
      <c r="BI46" s="46">
        <v>418.54052636651534</v>
      </c>
      <c r="BJ46" s="46">
        <v>127.2719886937218</v>
      </c>
      <c r="BK46" s="46">
        <v>222.23551952040407</v>
      </c>
      <c r="BL46" s="46">
        <v>54.978845367364066</v>
      </c>
      <c r="BM46" s="46">
        <v>40.20660984178518</v>
      </c>
      <c r="BN46" s="46">
        <v>31.779413204633123</v>
      </c>
      <c r="BO46" s="46">
        <v>1363.2727716625741</v>
      </c>
      <c r="BP46" s="46">
        <v>18.58963394214252</v>
      </c>
      <c r="BQ46" s="46">
        <v>473.71504157564732</v>
      </c>
      <c r="BR46" s="46">
        <v>153.72295707852274</v>
      </c>
      <c r="BS46" s="46">
        <v>412.88237624392127</v>
      </c>
      <c r="BT46" s="46">
        <v>101.67510794586833</v>
      </c>
      <c r="BU46" s="46">
        <v>327.24696915959009</v>
      </c>
      <c r="BV46" s="46">
        <v>186.63241979049721</v>
      </c>
      <c r="BW46" s="46">
        <v>533.07785938852112</v>
      </c>
      <c r="BX46" s="46">
        <v>0</v>
      </c>
      <c r="BY46" s="46">
        <v>26830.65487042172</v>
      </c>
      <c r="BZ46" s="46">
        <v>0</v>
      </c>
      <c r="CA46" s="46">
        <v>0</v>
      </c>
      <c r="CB46" s="46">
        <v>0</v>
      </c>
      <c r="CC46" s="46">
        <v>6979.057831786</v>
      </c>
      <c r="CD46" s="46">
        <v>6.1148535336989696</v>
      </c>
      <c r="CE46" s="46">
        <v>668.92538538760505</v>
      </c>
      <c r="CF46" s="46">
        <v>7654.0980707073031</v>
      </c>
      <c r="CG46" s="46">
        <v>34484.752941129023</v>
      </c>
      <c r="CH46"/>
      <c r="CI46">
        <f t="shared" si="0"/>
        <v>0.22195600715986191</v>
      </c>
      <c r="CJ46"/>
      <c r="CK46"/>
      <c r="CL46"/>
      <c r="CM46"/>
      <c r="CN46"/>
      <c r="CO46"/>
      <c r="CP46"/>
      <c r="CQ46"/>
      <c r="CR46"/>
      <c r="CS46"/>
      <c r="CT46"/>
      <c r="CU46"/>
    </row>
    <row r="47" spans="1:99" s="18" customFormat="1" x14ac:dyDescent="0.3">
      <c r="A47" s="35" t="s">
        <v>51</v>
      </c>
      <c r="B47" s="4" t="s">
        <v>125</v>
      </c>
      <c r="C47" s="18">
        <v>42</v>
      </c>
      <c r="D47" s="46">
        <v>2.1140917685023908</v>
      </c>
      <c r="E47" s="46">
        <v>1.2134196489175375</v>
      </c>
      <c r="F47" s="46">
        <v>0.10864495942257006</v>
      </c>
      <c r="G47" s="46">
        <v>0.1519773584299916</v>
      </c>
      <c r="H47" s="46">
        <v>0.19472275347510684</v>
      </c>
      <c r="I47" s="46">
        <v>0.28765797874156102</v>
      </c>
      <c r="J47" s="46">
        <v>9.7766048925944718E-2</v>
      </c>
      <c r="K47" s="46">
        <v>0.45386221373432289</v>
      </c>
      <c r="L47" s="46">
        <v>4.8693555247294087E-2</v>
      </c>
      <c r="M47" s="46">
        <v>0.70205867100052566</v>
      </c>
      <c r="N47" s="46">
        <v>0.12925739537315478</v>
      </c>
      <c r="O47" s="46">
        <v>1.3660813130261081E-2</v>
      </c>
      <c r="P47" s="46">
        <v>0.30567924307621946</v>
      </c>
      <c r="Q47" s="46">
        <v>0.12478766008522055</v>
      </c>
      <c r="R47" s="46">
        <v>6.9926296055521656E-2</v>
      </c>
      <c r="S47" s="46">
        <v>0.17644551127634889</v>
      </c>
      <c r="T47" s="46">
        <v>0.39893559875776191</v>
      </c>
      <c r="U47" s="46">
        <v>3.8227025541392727E-2</v>
      </c>
      <c r="V47" s="46">
        <v>4.9649387249920178E-2</v>
      </c>
      <c r="W47" s="46">
        <v>1.2482045627834981E-3</v>
      </c>
      <c r="X47" s="46">
        <v>1.3554722007665964E-5</v>
      </c>
      <c r="Y47" s="46">
        <v>6.7787742612850976E-2</v>
      </c>
      <c r="Z47" s="46">
        <v>0.59821907206758762</v>
      </c>
      <c r="AA47" s="46">
        <v>0.10981400755719953</v>
      </c>
      <c r="AB47" s="46">
        <v>6.8236554158800256E-2</v>
      </c>
      <c r="AC47" s="46">
        <v>0.10189907168626587</v>
      </c>
      <c r="AD47" s="46">
        <v>0.38972656732607602</v>
      </c>
      <c r="AE47" s="46">
        <v>1.008438596509883</v>
      </c>
      <c r="AF47" s="46">
        <v>0.73898058396320909</v>
      </c>
      <c r="AG47" s="46">
        <v>0.62350639954471254</v>
      </c>
      <c r="AH47" s="46">
        <v>0.35355807304863207</v>
      </c>
      <c r="AI47" s="46">
        <v>8.4922891636711295E-2</v>
      </c>
      <c r="AJ47" s="46">
        <v>0.16114737985577476</v>
      </c>
      <c r="AK47" s="46">
        <v>0.19648170477553736</v>
      </c>
      <c r="AL47" s="46">
        <v>0.16855949222823208</v>
      </c>
      <c r="AM47" s="46">
        <v>0.35746092489849074</v>
      </c>
      <c r="AN47" s="46">
        <v>7.3893667626261456E-2</v>
      </c>
      <c r="AO47" s="46">
        <v>0.1480368016098797</v>
      </c>
      <c r="AP47" s="46">
        <v>8.7934444559198827E-2</v>
      </c>
      <c r="AQ47" s="46">
        <v>16645.383086888502</v>
      </c>
      <c r="AR47" s="46">
        <v>0.20782398995164733</v>
      </c>
      <c r="AS47" s="46">
        <v>2.7647368420133069E-2</v>
      </c>
      <c r="AT47" s="46">
        <v>1.0805067646843851</v>
      </c>
      <c r="AU47" s="46">
        <v>1.3287705438090009</v>
      </c>
      <c r="AV47" s="46">
        <v>0.41526764393622018</v>
      </c>
      <c r="AW47" s="46">
        <v>1.3202834066005704</v>
      </c>
      <c r="AX47" s="46">
        <v>15.351602225585239</v>
      </c>
      <c r="AY47" s="47">
        <v>0.31437856129634317</v>
      </c>
      <c r="AZ47" s="46">
        <v>3.544987174588593E-2</v>
      </c>
      <c r="BA47" s="46">
        <v>3.8255371596953712E-2</v>
      </c>
      <c r="BB47" s="46">
        <v>1.0927636755986576</v>
      </c>
      <c r="BC47" s="46">
        <v>0.68689011918802567</v>
      </c>
      <c r="BD47" s="46">
        <v>1.9254964466497269</v>
      </c>
      <c r="BE47" s="46">
        <v>7.5540548393522602E-2</v>
      </c>
      <c r="BF47" s="46">
        <v>0.22225649225220545</v>
      </c>
      <c r="BG47" s="46">
        <v>1.0349144805183543</v>
      </c>
      <c r="BH47" s="46">
        <v>0.63671621250046229</v>
      </c>
      <c r="BI47" s="46">
        <v>1.9172753678401568</v>
      </c>
      <c r="BJ47" s="46">
        <v>0.72645642258958343</v>
      </c>
      <c r="BK47" s="46">
        <v>1.6103736920188405</v>
      </c>
      <c r="BL47" s="46">
        <v>0.28202501419976095</v>
      </c>
      <c r="BM47" s="46">
        <v>0.3271418800214434</v>
      </c>
      <c r="BN47" s="46">
        <v>0.31819807204010597</v>
      </c>
      <c r="BO47" s="46">
        <v>2.9174939524490915</v>
      </c>
      <c r="BP47" s="46">
        <v>9.1885624623398957E-2</v>
      </c>
      <c r="BQ47" s="46">
        <v>2.2552452249922998</v>
      </c>
      <c r="BR47" s="46">
        <v>0.66347015475166826</v>
      </c>
      <c r="BS47" s="46">
        <v>1.7997554308709072</v>
      </c>
      <c r="BT47" s="46">
        <v>0.44691178520480601</v>
      </c>
      <c r="BU47" s="46">
        <v>1.1222598207278118</v>
      </c>
      <c r="BV47" s="46">
        <v>1.1954726632300301</v>
      </c>
      <c r="BW47" s="46">
        <v>1.7001468066787</v>
      </c>
      <c r="BX47" s="46">
        <v>0</v>
      </c>
      <c r="BY47" s="46">
        <v>16700.571092145357</v>
      </c>
      <c r="BZ47" s="46">
        <v>0</v>
      </c>
      <c r="CA47" s="46">
        <v>0</v>
      </c>
      <c r="CB47" s="46">
        <v>0</v>
      </c>
      <c r="CC47" s="46">
        <v>19.733519849987101</v>
      </c>
      <c r="CD47" s="46">
        <v>24.2059345392449</v>
      </c>
      <c r="CE47" s="46">
        <v>9.2252057330644703</v>
      </c>
      <c r="CF47" s="46">
        <v>53.164660122296482</v>
      </c>
      <c r="CG47" s="46">
        <v>16753.735752267654</v>
      </c>
      <c r="CH47"/>
      <c r="CI47">
        <f t="shared" si="0"/>
        <v>3.1733018180796204E-3</v>
      </c>
      <c r="CJ47"/>
      <c r="CK47"/>
      <c r="CL47"/>
      <c r="CM47"/>
      <c r="CN47"/>
      <c r="CO47"/>
      <c r="CP47"/>
      <c r="CQ47"/>
      <c r="CR47"/>
      <c r="CS47"/>
      <c r="CT47"/>
      <c r="CU47"/>
    </row>
    <row r="48" spans="1:99" s="18" customFormat="1" x14ac:dyDescent="0.3">
      <c r="A48" s="35" t="s">
        <v>52</v>
      </c>
      <c r="B48" s="4" t="s">
        <v>126</v>
      </c>
      <c r="C48" s="18">
        <v>43</v>
      </c>
      <c r="D48" s="46">
        <v>521.81884440368481</v>
      </c>
      <c r="E48" s="46">
        <v>299.38343174810808</v>
      </c>
      <c r="F48" s="46">
        <v>26.375641157672085</v>
      </c>
      <c r="G48" s="46">
        <v>222.35899791484294</v>
      </c>
      <c r="H48" s="46">
        <v>124.64050516210364</v>
      </c>
      <c r="I48" s="46">
        <v>420.04605321631823</v>
      </c>
      <c r="J48" s="46">
        <v>141.3595571129872</v>
      </c>
      <c r="K48" s="46">
        <v>519.34739635040523</v>
      </c>
      <c r="L48" s="46">
        <v>31.757555455318581</v>
      </c>
      <c r="M48" s="46">
        <v>1039.529371796581</v>
      </c>
      <c r="N48" s="46">
        <v>204.81090642455376</v>
      </c>
      <c r="O48" s="46">
        <v>15.978871574331789</v>
      </c>
      <c r="P48" s="46">
        <v>442.64807427367293</v>
      </c>
      <c r="Q48" s="46">
        <v>67.95582985819307</v>
      </c>
      <c r="R48" s="46">
        <v>89.795921323571989</v>
      </c>
      <c r="S48" s="46">
        <v>316.94613878766728</v>
      </c>
      <c r="T48" s="46">
        <v>753.03007667585541</v>
      </c>
      <c r="U48" s="46">
        <v>49.397585644490086</v>
      </c>
      <c r="V48" s="46">
        <v>22.319131437219447</v>
      </c>
      <c r="W48" s="46">
        <v>0.45692501861861456</v>
      </c>
      <c r="X48" s="46">
        <v>2.8617789902563241E-2</v>
      </c>
      <c r="Y48" s="46">
        <v>79.176542560397252</v>
      </c>
      <c r="Z48" s="46">
        <v>2551.5810357386217</v>
      </c>
      <c r="AA48" s="46">
        <v>388.32409738831029</v>
      </c>
      <c r="AB48" s="46">
        <v>120.10695926216833</v>
      </c>
      <c r="AC48" s="46">
        <v>170.33375745636798</v>
      </c>
      <c r="AD48" s="46">
        <v>1305.7145939516126</v>
      </c>
      <c r="AE48" s="46">
        <v>263.63484190803092</v>
      </c>
      <c r="AF48" s="46">
        <v>1804.7351374705336</v>
      </c>
      <c r="AG48" s="46">
        <v>576.36351450617769</v>
      </c>
      <c r="AH48" s="46">
        <v>269.6070084195224</v>
      </c>
      <c r="AI48" s="46">
        <v>35.74702752033749</v>
      </c>
      <c r="AJ48" s="46">
        <v>124.52314955857504</v>
      </c>
      <c r="AK48" s="46">
        <v>133.99114934874666</v>
      </c>
      <c r="AL48" s="46">
        <v>129.49633580856297</v>
      </c>
      <c r="AM48" s="46">
        <v>281.47073729641568</v>
      </c>
      <c r="AN48" s="46">
        <v>54.778669565608368</v>
      </c>
      <c r="AO48" s="46">
        <v>82.837970217174771</v>
      </c>
      <c r="AP48" s="46">
        <v>65.805057212278143</v>
      </c>
      <c r="AQ48" s="46">
        <v>8230.2788707269774</v>
      </c>
      <c r="AR48" s="46">
        <v>496.4710179174823</v>
      </c>
      <c r="AS48" s="46">
        <v>0.10289925566487136</v>
      </c>
      <c r="AT48" s="46">
        <v>698.16099711610798</v>
      </c>
      <c r="AU48" s="46">
        <v>351.25028049389886</v>
      </c>
      <c r="AV48" s="46">
        <v>46.310899070192555</v>
      </c>
      <c r="AW48" s="46">
        <v>129.61330996575714</v>
      </c>
      <c r="AX48" s="46">
        <v>1705.5087227755357</v>
      </c>
      <c r="AY48" s="48">
        <f>'Fluxos Energia'!P22</f>
        <v>0</v>
      </c>
      <c r="AZ48" s="46">
        <v>4.3409965979291956</v>
      </c>
      <c r="BA48" s="46">
        <v>3.081680454868656</v>
      </c>
      <c r="BB48" s="46">
        <v>115.57832172798365</v>
      </c>
      <c r="BC48" s="46">
        <v>117.74710619134743</v>
      </c>
      <c r="BD48" s="46">
        <v>164.10575946455157</v>
      </c>
      <c r="BE48" s="46">
        <v>9.7246253200549191</v>
      </c>
      <c r="BF48" s="46">
        <v>33.171278592186262</v>
      </c>
      <c r="BG48" s="46">
        <v>151.2081806653739</v>
      </c>
      <c r="BH48" s="46">
        <v>57.679251451756187</v>
      </c>
      <c r="BI48" s="46">
        <v>194.90167100174267</v>
      </c>
      <c r="BJ48" s="46">
        <v>59.578899526608964</v>
      </c>
      <c r="BK48" s="46">
        <v>104.77869212299335</v>
      </c>
      <c r="BL48" s="46">
        <v>25.835397529835245</v>
      </c>
      <c r="BM48" s="46">
        <v>19.034478989945264</v>
      </c>
      <c r="BN48" s="46">
        <v>15.181498160332605</v>
      </c>
      <c r="BO48" s="46">
        <v>627.58400535281521</v>
      </c>
      <c r="BP48" s="46">
        <v>8.6712270809647887</v>
      </c>
      <c r="BQ48" s="46">
        <v>449.38657747942591</v>
      </c>
      <c r="BR48" s="46">
        <v>145.78473232147695</v>
      </c>
      <c r="BS48" s="46">
        <v>192.06581076532112</v>
      </c>
      <c r="BT48" s="46">
        <v>96.429983490523171</v>
      </c>
      <c r="BU48" s="46">
        <v>151.56913404909545</v>
      </c>
      <c r="BV48" s="46">
        <v>87.650661730195651</v>
      </c>
      <c r="BW48" s="46">
        <v>246.61920882367775</v>
      </c>
      <c r="BX48" s="46">
        <v>0</v>
      </c>
      <c r="BY48" s="46">
        <v>30040.937561798513</v>
      </c>
      <c r="BZ48" s="46">
        <v>3.4783577584564198</v>
      </c>
      <c r="CA48" s="46">
        <v>0</v>
      </c>
      <c r="CB48" s="46">
        <v>0</v>
      </c>
      <c r="CC48" s="46">
        <v>2661.4744216102399</v>
      </c>
      <c r="CD48" s="46">
        <v>75.878454015630993</v>
      </c>
      <c r="CE48" s="46">
        <v>7377.3859042707199</v>
      </c>
      <c r="CF48" s="46">
        <v>10118.217137655047</v>
      </c>
      <c r="CG48" s="46">
        <v>40159.15469945356</v>
      </c>
      <c r="CH48"/>
      <c r="CI48">
        <f t="shared" si="0"/>
        <v>0.25195294107604121</v>
      </c>
      <c r="CJ48"/>
      <c r="CK48"/>
      <c r="CL48"/>
      <c r="CM48"/>
      <c r="CN48"/>
      <c r="CO48"/>
      <c r="CP48"/>
      <c r="CQ48"/>
      <c r="CR48"/>
      <c r="CS48"/>
      <c r="CT48"/>
      <c r="CU48"/>
    </row>
    <row r="49" spans="1:99" s="5" customFormat="1" x14ac:dyDescent="0.3">
      <c r="A49" s="35" t="s">
        <v>53</v>
      </c>
      <c r="B49" s="11" t="s">
        <v>127</v>
      </c>
      <c r="C49" s="5">
        <v>44</v>
      </c>
      <c r="D49" s="25">
        <v>11.385935985274436</v>
      </c>
      <c r="E49" s="25">
        <v>2.6792019065488377</v>
      </c>
      <c r="F49" s="25">
        <v>1.477176096947511</v>
      </c>
      <c r="G49" s="25">
        <v>27.466778099537997</v>
      </c>
      <c r="H49" s="25">
        <v>76.39341714586493</v>
      </c>
      <c r="I49" s="25">
        <v>276.98821854047941</v>
      </c>
      <c r="J49" s="25">
        <v>58.205986552434929</v>
      </c>
      <c r="K49" s="25">
        <v>185.26808359632767</v>
      </c>
      <c r="L49" s="25">
        <v>57.976760215508698</v>
      </c>
      <c r="M49" s="25">
        <v>355.73583064350282</v>
      </c>
      <c r="N49" s="25">
        <v>498.03067105678667</v>
      </c>
      <c r="O49" s="25">
        <v>1.152869068502594</v>
      </c>
      <c r="P49" s="25">
        <v>68.904850336306779</v>
      </c>
      <c r="Q49" s="25">
        <v>30.051704559662081</v>
      </c>
      <c r="R49" s="25">
        <v>25.257569020744263</v>
      </c>
      <c r="S49" s="25">
        <v>261.20949047728482</v>
      </c>
      <c r="T49" s="25">
        <v>342.45194239240118</v>
      </c>
      <c r="U49" s="25">
        <v>6.4445517898716611</v>
      </c>
      <c r="V49" s="25">
        <v>412.65920008026944</v>
      </c>
      <c r="W49" s="25">
        <v>10.63000086302589</v>
      </c>
      <c r="X49" s="25">
        <v>1.9108335777401728</v>
      </c>
      <c r="Y49" s="25">
        <v>33.482582879987305</v>
      </c>
      <c r="Z49" s="25">
        <v>701.73744945232147</v>
      </c>
      <c r="AA49" s="25">
        <v>472.51164491328899</v>
      </c>
      <c r="AB49" s="25">
        <v>142.9637987561735</v>
      </c>
      <c r="AC49" s="25">
        <v>84.158642888035033</v>
      </c>
      <c r="AD49" s="25">
        <v>535.38413341082946</v>
      </c>
      <c r="AE49" s="25">
        <v>692.40927836909123</v>
      </c>
      <c r="AF49" s="25">
        <v>4649.6417093644268</v>
      </c>
      <c r="AG49" s="25">
        <v>2358.9360126241581</v>
      </c>
      <c r="AH49" s="25">
        <v>175.02493561481899</v>
      </c>
      <c r="AI49" s="25">
        <v>19.434433703053454</v>
      </c>
      <c r="AJ49" s="25">
        <v>59.444772706659933</v>
      </c>
      <c r="AK49" s="25">
        <v>86.920770037207603</v>
      </c>
      <c r="AL49" s="25">
        <v>126.88606689578958</v>
      </c>
      <c r="AM49" s="25">
        <v>311.10131164303669</v>
      </c>
      <c r="AN49" s="25">
        <v>92.757888905697897</v>
      </c>
      <c r="AO49" s="25">
        <v>79.472996583448349</v>
      </c>
      <c r="AP49" s="25">
        <v>29.881987478666833</v>
      </c>
      <c r="AQ49" s="25">
        <v>67.031585055573885</v>
      </c>
      <c r="AR49" s="25">
        <v>10.949670316022512</v>
      </c>
      <c r="AS49" s="25">
        <v>7.845030172422657</v>
      </c>
      <c r="AT49" s="25">
        <v>1.1739003575789004</v>
      </c>
      <c r="AU49" s="25">
        <v>1062.6781449527298</v>
      </c>
      <c r="AV49" s="25">
        <v>277.72858696960748</v>
      </c>
      <c r="AW49" s="25">
        <v>429.16433058271144</v>
      </c>
      <c r="AX49" s="25">
        <v>4258.8786036149886</v>
      </c>
      <c r="AY49" s="40">
        <v>343.79743351162188</v>
      </c>
      <c r="AZ49" s="25">
        <v>9.7945590589226175</v>
      </c>
      <c r="BA49" s="25">
        <v>8.2109751469891457</v>
      </c>
      <c r="BB49" s="25">
        <v>809.59566521293823</v>
      </c>
      <c r="BC49" s="25">
        <v>445.84402458133093</v>
      </c>
      <c r="BD49" s="25">
        <v>1269.9302326013269</v>
      </c>
      <c r="BE49" s="25">
        <v>25.678695660313274</v>
      </c>
      <c r="BF49" s="25">
        <v>57.186367724128694</v>
      </c>
      <c r="BG49" s="25">
        <v>49.700454115368991</v>
      </c>
      <c r="BH49" s="25">
        <v>122.75778744682799</v>
      </c>
      <c r="BI49" s="25">
        <v>472.7688459856891</v>
      </c>
      <c r="BJ49" s="25">
        <v>432.01442194773057</v>
      </c>
      <c r="BK49" s="25">
        <v>606.85135544814943</v>
      </c>
      <c r="BL49" s="25">
        <v>73.331234477903976</v>
      </c>
      <c r="BM49" s="25">
        <v>39.840043899426355</v>
      </c>
      <c r="BN49" s="25">
        <v>52.186026759690435</v>
      </c>
      <c r="BO49" s="25">
        <v>5777.2928626361463</v>
      </c>
      <c r="BP49" s="25">
        <v>31.682272632844551</v>
      </c>
      <c r="BQ49" s="25">
        <v>10413.963511517219</v>
      </c>
      <c r="BR49" s="25">
        <v>1380.3932614420371</v>
      </c>
      <c r="BS49" s="25">
        <v>276.10958537336415</v>
      </c>
      <c r="BT49" s="25">
        <v>1532.3417178410789</v>
      </c>
      <c r="BU49" s="25">
        <v>2210.7472141368899</v>
      </c>
      <c r="BV49" s="25">
        <v>124.7403971501829</v>
      </c>
      <c r="BW49" s="25">
        <v>2031.1036862129154</v>
      </c>
      <c r="BX49" s="25">
        <v>0</v>
      </c>
      <c r="BY49" s="25">
        <v>48077.743972774399</v>
      </c>
      <c r="BZ49" s="25">
        <v>24.483588934090676</v>
      </c>
      <c r="CA49" s="25">
        <v>7.567895966005847E-2</v>
      </c>
      <c r="CB49" s="25">
        <v>0</v>
      </c>
      <c r="CC49" s="25">
        <v>33927.859585955033</v>
      </c>
      <c r="CD49" s="25">
        <v>34.004921992859849</v>
      </c>
      <c r="CE49" s="25">
        <v>155.82622566054073</v>
      </c>
      <c r="CF49" s="25">
        <v>34142.250001502187</v>
      </c>
      <c r="CG49" s="25">
        <v>82220</v>
      </c>
      <c r="CH49"/>
      <c r="CI49">
        <f t="shared" si="0"/>
        <v>0.4152548042021672</v>
      </c>
      <c r="CJ49"/>
      <c r="CK49"/>
      <c r="CL49"/>
      <c r="CM49"/>
      <c r="CN49"/>
      <c r="CO49"/>
      <c r="CP49"/>
      <c r="CQ49"/>
      <c r="CR49"/>
      <c r="CS49"/>
      <c r="CT49"/>
      <c r="CU49"/>
    </row>
    <row r="50" spans="1:99" s="5" customFormat="1" x14ac:dyDescent="0.3">
      <c r="A50" s="35" t="s">
        <v>54</v>
      </c>
      <c r="B50" s="13" t="s">
        <v>128</v>
      </c>
      <c r="C50" s="5">
        <v>45</v>
      </c>
      <c r="D50" s="25">
        <v>104.44437799575309</v>
      </c>
      <c r="E50" s="25">
        <v>188.15897807636571</v>
      </c>
      <c r="F50" s="25">
        <v>12.143414890044884</v>
      </c>
      <c r="G50" s="25">
        <v>6.7017627372241373</v>
      </c>
      <c r="H50" s="25">
        <v>2129.1012085362008</v>
      </c>
      <c r="I50" s="25">
        <v>1976.3194834801707</v>
      </c>
      <c r="J50" s="25">
        <v>297.8028543692983</v>
      </c>
      <c r="K50" s="25">
        <v>11.045395852960475</v>
      </c>
      <c r="L50" s="25">
        <v>8.5788605790336394</v>
      </c>
      <c r="M50" s="25">
        <v>26.166897952772889</v>
      </c>
      <c r="N50" s="25">
        <v>5.5606197568396496</v>
      </c>
      <c r="O50" s="25">
        <v>0.75902274958898563</v>
      </c>
      <c r="P50" s="25">
        <v>25.310311767506914</v>
      </c>
      <c r="Q50" s="25">
        <v>4.4915832145390713</v>
      </c>
      <c r="R50" s="25">
        <v>1.747297147881032</v>
      </c>
      <c r="S50" s="25">
        <v>2.1934295800055317</v>
      </c>
      <c r="T50" s="25">
        <v>36.091911312794949</v>
      </c>
      <c r="U50" s="25">
        <v>20.367000673598167</v>
      </c>
      <c r="V50" s="25">
        <v>33.996864112439361</v>
      </c>
      <c r="W50" s="25">
        <v>0.87185730741528222</v>
      </c>
      <c r="X50" s="25">
        <v>5.5708767566477633E-3</v>
      </c>
      <c r="Y50" s="25">
        <v>30.079174622546024</v>
      </c>
      <c r="Z50" s="25">
        <v>75.628418984406466</v>
      </c>
      <c r="AA50" s="25">
        <v>8.4548561744811295</v>
      </c>
      <c r="AB50" s="25">
        <v>2.7737366601298268</v>
      </c>
      <c r="AC50" s="25">
        <v>5.1263300538650238</v>
      </c>
      <c r="AD50" s="25">
        <v>13.091309114593802</v>
      </c>
      <c r="AE50" s="25">
        <v>29.82842117534112</v>
      </c>
      <c r="AF50" s="25">
        <v>140.4383482720915</v>
      </c>
      <c r="AG50" s="25">
        <v>1994.8901051356327</v>
      </c>
      <c r="AH50" s="25">
        <v>68.820009743395374</v>
      </c>
      <c r="AI50" s="25">
        <v>84.541967435014499</v>
      </c>
      <c r="AJ50" s="25">
        <v>13.950060352383382</v>
      </c>
      <c r="AK50" s="25">
        <v>78.407544094695751</v>
      </c>
      <c r="AL50" s="25">
        <v>276.34445370649644</v>
      </c>
      <c r="AM50" s="25">
        <v>40.157532101152768</v>
      </c>
      <c r="AN50" s="25">
        <v>200.37671608509396</v>
      </c>
      <c r="AO50" s="25">
        <v>21.959668456431778</v>
      </c>
      <c r="AP50" s="25">
        <v>7.8919568344397035</v>
      </c>
      <c r="AQ50" s="25">
        <v>16.786776535950032</v>
      </c>
      <c r="AR50" s="25">
        <v>2.7421351976833641</v>
      </c>
      <c r="AS50" s="25">
        <v>1.9646375408408165</v>
      </c>
      <c r="AT50" s="25">
        <v>1.1312394354986428</v>
      </c>
      <c r="AU50" s="25">
        <v>4766.0306906556561</v>
      </c>
      <c r="AV50" s="25">
        <v>57477.263457093395</v>
      </c>
      <c r="AW50" s="25">
        <v>536.31096736743245</v>
      </c>
      <c r="AX50" s="25">
        <v>1171.2009835576889</v>
      </c>
      <c r="AY50" s="40">
        <v>314.30678974316061</v>
      </c>
      <c r="AZ50" s="25">
        <v>18.552863362263849</v>
      </c>
      <c r="BA50" s="25">
        <v>33.163819075336576</v>
      </c>
      <c r="BB50" s="25">
        <v>1570.886932558853</v>
      </c>
      <c r="BC50" s="25">
        <v>302.024184243224</v>
      </c>
      <c r="BD50" s="25">
        <v>546.24782075340784</v>
      </c>
      <c r="BE50" s="25">
        <v>15.626072307322612</v>
      </c>
      <c r="BF50" s="25">
        <v>234.13783300186475</v>
      </c>
      <c r="BG50" s="25">
        <v>4200.0960474358781</v>
      </c>
      <c r="BH50" s="25">
        <v>902.15740920408973</v>
      </c>
      <c r="BI50" s="25">
        <v>1220.1516136015259</v>
      </c>
      <c r="BJ50" s="25">
        <v>1941.8476114544337</v>
      </c>
      <c r="BK50" s="25">
        <v>323.17734658713493</v>
      </c>
      <c r="BL50" s="25">
        <v>688.46328546029667</v>
      </c>
      <c r="BM50" s="25">
        <v>17.059034159374335</v>
      </c>
      <c r="BN50" s="25">
        <v>213.38180308225006</v>
      </c>
      <c r="BO50" s="25">
        <v>3273.4101162213587</v>
      </c>
      <c r="BP50" s="25">
        <v>14.270600698343774</v>
      </c>
      <c r="BQ50" s="25">
        <v>15438.557869050681</v>
      </c>
      <c r="BR50" s="25">
        <v>1371.6160086401294</v>
      </c>
      <c r="BS50" s="25">
        <v>457.95439779208516</v>
      </c>
      <c r="BT50" s="25">
        <v>3510.4327797310111</v>
      </c>
      <c r="BU50" s="25">
        <v>33.634583103201265</v>
      </c>
      <c r="BV50" s="25">
        <v>149.18486688961508</v>
      </c>
      <c r="BW50" s="25">
        <v>352.21458555372539</v>
      </c>
      <c r="BX50" s="25">
        <v>0</v>
      </c>
      <c r="BY50" s="25">
        <v>109100.60647306612</v>
      </c>
      <c r="BZ50" s="25">
        <v>3991.5566844752116</v>
      </c>
      <c r="CA50" s="25">
        <v>0</v>
      </c>
      <c r="CB50" s="25">
        <v>0</v>
      </c>
      <c r="CC50" s="25">
        <v>963.46863162834723</v>
      </c>
      <c r="CD50" s="25">
        <v>438017.36821087886</v>
      </c>
      <c r="CE50" s="25">
        <v>0</v>
      </c>
      <c r="CF50" s="25">
        <v>442972.39352698246</v>
      </c>
      <c r="CG50" s="25">
        <v>552073</v>
      </c>
      <c r="CH50"/>
      <c r="CI50">
        <f t="shared" si="0"/>
        <v>0.80238010829542916</v>
      </c>
      <c r="CJ50"/>
      <c r="CK50"/>
      <c r="CL50"/>
      <c r="CM50"/>
      <c r="CN50"/>
      <c r="CO50"/>
      <c r="CP50"/>
      <c r="CQ50"/>
      <c r="CR50"/>
      <c r="CS50"/>
      <c r="CT50"/>
      <c r="CU50"/>
    </row>
    <row r="51" spans="1:99" s="5" customFormat="1" x14ac:dyDescent="0.3">
      <c r="A51" s="35" t="s">
        <v>55</v>
      </c>
      <c r="B51" s="11" t="s">
        <v>129</v>
      </c>
      <c r="C51" s="5">
        <v>46</v>
      </c>
      <c r="D51" s="25">
        <v>213.37480103832794</v>
      </c>
      <c r="E51" s="25">
        <v>44.765363093675312</v>
      </c>
      <c r="F51" s="25">
        <v>20.017807714492882</v>
      </c>
      <c r="G51" s="25">
        <v>61.762281315343984</v>
      </c>
      <c r="H51" s="25">
        <v>200.03361236079127</v>
      </c>
      <c r="I51" s="25">
        <v>1188.7545472264649</v>
      </c>
      <c r="J51" s="25">
        <v>87.962170525103176</v>
      </c>
      <c r="K51" s="25">
        <v>26.83165522550852</v>
      </c>
      <c r="L51" s="25">
        <v>21.104617555213629</v>
      </c>
      <c r="M51" s="25">
        <v>45.302600211638676</v>
      </c>
      <c r="N51" s="25">
        <v>41.953652935806936</v>
      </c>
      <c r="O51" s="25">
        <v>0.55653701350820239</v>
      </c>
      <c r="P51" s="25">
        <v>5.0787063910581844</v>
      </c>
      <c r="Q51" s="25">
        <v>1.7204557394325104</v>
      </c>
      <c r="R51" s="25">
        <v>5.1833937244737598</v>
      </c>
      <c r="S51" s="25">
        <v>2.1249755801720234</v>
      </c>
      <c r="T51" s="25">
        <v>11.237133882404294</v>
      </c>
      <c r="U51" s="25">
        <v>1.3627497741262395</v>
      </c>
      <c r="V51" s="25">
        <v>8.0836759866511194</v>
      </c>
      <c r="W51" s="25">
        <v>0.20730790379976882</v>
      </c>
      <c r="X51" s="25">
        <v>1.3322615398619008E-3</v>
      </c>
      <c r="Y51" s="25">
        <v>9.5977519962707216</v>
      </c>
      <c r="Z51" s="25">
        <v>8.2785612285069607</v>
      </c>
      <c r="AA51" s="25">
        <v>18.52958757181959</v>
      </c>
      <c r="AB51" s="25">
        <v>2.8651066338464566</v>
      </c>
      <c r="AC51" s="25">
        <v>53.26247082751614</v>
      </c>
      <c r="AD51" s="25">
        <v>242.92391132263256</v>
      </c>
      <c r="AE51" s="25">
        <v>322.63818096142745</v>
      </c>
      <c r="AF51" s="25">
        <v>22.299600349084447</v>
      </c>
      <c r="AG51" s="25">
        <v>59.935414824624345</v>
      </c>
      <c r="AH51" s="25">
        <v>8.9730046844383899</v>
      </c>
      <c r="AI51" s="25">
        <v>564.6815077901415</v>
      </c>
      <c r="AJ51" s="25">
        <v>34.453139461017706</v>
      </c>
      <c r="AK51" s="25">
        <v>2581.1766351062402</v>
      </c>
      <c r="AL51" s="25">
        <v>14341.55838378254</v>
      </c>
      <c r="AM51" s="25">
        <v>3300.3373134390467</v>
      </c>
      <c r="AN51" s="25">
        <v>983.16666526052234</v>
      </c>
      <c r="AO51" s="25">
        <v>52.330694355244297</v>
      </c>
      <c r="AP51" s="25">
        <v>301.31336943600428</v>
      </c>
      <c r="AQ51" s="25">
        <v>307.70658297023147</v>
      </c>
      <c r="AR51" s="25">
        <v>50.264149875025154</v>
      </c>
      <c r="AS51" s="25">
        <v>36.012387677438824</v>
      </c>
      <c r="AT51" s="25">
        <v>20.778222294571197</v>
      </c>
      <c r="AU51" s="25">
        <v>785.35759982255843</v>
      </c>
      <c r="AV51" s="25">
        <v>473.88532155061534</v>
      </c>
      <c r="AW51" s="25">
        <v>6440.170059070414</v>
      </c>
      <c r="AX51" s="25">
        <v>3989.5370378023049</v>
      </c>
      <c r="AY51" s="40">
        <v>10881.125533085664</v>
      </c>
      <c r="AZ51" s="25">
        <v>16.998841306626257</v>
      </c>
      <c r="BA51" s="25">
        <v>37.881388843951967</v>
      </c>
      <c r="BB51" s="25">
        <v>468.52787033164481</v>
      </c>
      <c r="BC51" s="25">
        <v>0.85423412175968472</v>
      </c>
      <c r="BD51" s="25">
        <v>127.65474750974724</v>
      </c>
      <c r="BE51" s="25">
        <v>7.9318225706842913</v>
      </c>
      <c r="BF51" s="25">
        <v>63.957248925881871</v>
      </c>
      <c r="BG51" s="25">
        <v>42.991332419774345</v>
      </c>
      <c r="BH51" s="25">
        <v>17.659687764729792</v>
      </c>
      <c r="BI51" s="25">
        <v>105.19948954504332</v>
      </c>
      <c r="BJ51" s="25">
        <v>25.894499030955213</v>
      </c>
      <c r="BK51" s="25">
        <v>4.5107129366356569</v>
      </c>
      <c r="BL51" s="25">
        <v>104.63291894372357</v>
      </c>
      <c r="BM51" s="25">
        <v>24.997551249211742</v>
      </c>
      <c r="BN51" s="25">
        <v>985.30411581027749</v>
      </c>
      <c r="BO51" s="25">
        <v>69.08566996402034</v>
      </c>
      <c r="BP51" s="25">
        <v>169.90306121994516</v>
      </c>
      <c r="BQ51" s="25">
        <v>2105.9906583047068</v>
      </c>
      <c r="BR51" s="25">
        <v>386.81705052489747</v>
      </c>
      <c r="BS51" s="25">
        <v>10.290896307426587</v>
      </c>
      <c r="BT51" s="25">
        <v>1115.0396035565848</v>
      </c>
      <c r="BU51" s="25">
        <v>756.98635480200608</v>
      </c>
      <c r="BV51" s="25">
        <v>48.775690198333443</v>
      </c>
      <c r="BW51" s="25">
        <v>56.266082128551538</v>
      </c>
      <c r="BX51" s="25">
        <v>0</v>
      </c>
      <c r="BY51" s="25">
        <v>54634.729098956406</v>
      </c>
      <c r="BZ51" s="25">
        <v>13664.824970330388</v>
      </c>
      <c r="CA51" s="25">
        <v>0.20101334499748616</v>
      </c>
      <c r="CB51" s="25">
        <v>0</v>
      </c>
      <c r="CC51" s="25">
        <v>83335.689843752582</v>
      </c>
      <c r="CD51" s="25">
        <v>23505.118287990615</v>
      </c>
      <c r="CE51" s="25">
        <v>-47.563214374699541</v>
      </c>
      <c r="CF51" s="25">
        <v>120458.2709010439</v>
      </c>
      <c r="CG51" s="25">
        <v>175093</v>
      </c>
      <c r="CH51"/>
      <c r="CI51">
        <f t="shared" si="0"/>
        <v>0.68796737106020167</v>
      </c>
      <c r="CJ51"/>
      <c r="CK51"/>
      <c r="CL51"/>
      <c r="CM51"/>
      <c r="CN51"/>
      <c r="CO51"/>
      <c r="CP51"/>
      <c r="CQ51"/>
      <c r="CR51"/>
      <c r="CS51"/>
      <c r="CT51"/>
      <c r="CU51"/>
    </row>
    <row r="52" spans="1:99" s="5" customFormat="1" x14ac:dyDescent="0.3">
      <c r="A52" s="35" t="s">
        <v>56</v>
      </c>
      <c r="B52" s="11" t="s">
        <v>130</v>
      </c>
      <c r="C52" s="5">
        <v>47</v>
      </c>
      <c r="D52" s="25">
        <v>20065.541706563621</v>
      </c>
      <c r="E52" s="25">
        <v>10578.299785838793</v>
      </c>
      <c r="F52" s="25">
        <v>921.82921251614709</v>
      </c>
      <c r="G52" s="25">
        <v>706.51262849657394</v>
      </c>
      <c r="H52" s="25">
        <v>5517.4566938904163</v>
      </c>
      <c r="I52" s="25">
        <v>2970.1372374260145</v>
      </c>
      <c r="J52" s="25">
        <v>754.48005385188662</v>
      </c>
      <c r="K52" s="25">
        <v>33868.094291948582</v>
      </c>
      <c r="L52" s="25">
        <v>822.1010947530882</v>
      </c>
      <c r="M52" s="25">
        <v>33523.526065624763</v>
      </c>
      <c r="N52" s="25">
        <v>6301.9199192604456</v>
      </c>
      <c r="O52" s="25">
        <v>2229.3668409412026</v>
      </c>
      <c r="P52" s="25">
        <v>5179.4487849168536</v>
      </c>
      <c r="Q52" s="25">
        <v>6931.9009539894305</v>
      </c>
      <c r="R52" s="25">
        <v>5598.3531478971108</v>
      </c>
      <c r="S52" s="25">
        <v>2431.9729433450375</v>
      </c>
      <c r="T52" s="25">
        <v>7897.9729107214971</v>
      </c>
      <c r="U52" s="25">
        <v>1623.316593676898</v>
      </c>
      <c r="V52" s="25">
        <v>22262.355117920535</v>
      </c>
      <c r="W52" s="25">
        <v>567.16528087012659</v>
      </c>
      <c r="X52" s="25">
        <v>67.456585823462035</v>
      </c>
      <c r="Y52" s="25">
        <v>2076.0696515024588</v>
      </c>
      <c r="Z52" s="25">
        <v>10203.639387131579</v>
      </c>
      <c r="AA52" s="25">
        <v>6324.7889013458134</v>
      </c>
      <c r="AB52" s="25">
        <v>4149.2998470587772</v>
      </c>
      <c r="AC52" s="25">
        <v>4998.2658447644781</v>
      </c>
      <c r="AD52" s="25">
        <v>9399.1905089403172</v>
      </c>
      <c r="AE52" s="25">
        <v>6500.766194258531</v>
      </c>
      <c r="AF52" s="25">
        <v>7645.9370009666663</v>
      </c>
      <c r="AG52" s="25">
        <v>4695.2800829161752</v>
      </c>
      <c r="AH52" s="25">
        <v>7185.1642708040781</v>
      </c>
      <c r="AI52" s="25">
        <v>11261.649944928764</v>
      </c>
      <c r="AJ52" s="25">
        <v>7021.0688273661181</v>
      </c>
      <c r="AK52" s="25">
        <v>12401.701450999752</v>
      </c>
      <c r="AL52" s="25">
        <v>5613.1896610773765</v>
      </c>
      <c r="AM52" s="25">
        <v>5033.881228588315</v>
      </c>
      <c r="AN52" s="25">
        <v>1692.0256145105111</v>
      </c>
      <c r="AO52" s="25">
        <v>6771.1089491394687</v>
      </c>
      <c r="AP52" s="25">
        <v>6343.2247555907634</v>
      </c>
      <c r="AQ52" s="25">
        <v>3470.2671279758006</v>
      </c>
      <c r="AR52" s="25">
        <v>566.2875932681585</v>
      </c>
      <c r="AS52" s="25">
        <v>405.72392841422777</v>
      </c>
      <c r="AT52" s="25">
        <v>241.06616049123929</v>
      </c>
      <c r="AU52" s="25">
        <v>1369.5878911629823</v>
      </c>
      <c r="AV52" s="25">
        <v>32538.159260872741</v>
      </c>
      <c r="AW52" s="25">
        <v>1957.5111608912059</v>
      </c>
      <c r="AX52" s="25">
        <v>23303.721000672413</v>
      </c>
      <c r="AY52" s="40">
        <v>11823.040499430528</v>
      </c>
      <c r="AZ52" s="25">
        <v>459.20876514324829</v>
      </c>
      <c r="BA52" s="25">
        <v>1240.7376323839374</v>
      </c>
      <c r="BB52" s="25">
        <v>1360.3615475100489</v>
      </c>
      <c r="BC52" s="25">
        <v>1200.16428329731</v>
      </c>
      <c r="BD52" s="25">
        <v>24860.589492552768</v>
      </c>
      <c r="BE52" s="25">
        <v>1464.6658423432182</v>
      </c>
      <c r="BF52" s="25">
        <v>1272.1645866824017</v>
      </c>
      <c r="BG52" s="25">
        <v>4607.3854476909264</v>
      </c>
      <c r="BH52" s="25">
        <v>3117.9396059135042</v>
      </c>
      <c r="BI52" s="25">
        <v>3851.8159122881866</v>
      </c>
      <c r="BJ52" s="25">
        <v>2039.0853134722138</v>
      </c>
      <c r="BK52" s="25">
        <v>2754.8220399539814</v>
      </c>
      <c r="BL52" s="25">
        <v>1662.6058618047957</v>
      </c>
      <c r="BM52" s="25">
        <v>3375.4601037459565</v>
      </c>
      <c r="BN52" s="25">
        <v>1110.7929290398056</v>
      </c>
      <c r="BO52" s="25">
        <v>6017.6210691162396</v>
      </c>
      <c r="BP52" s="25">
        <v>460.41962990087433</v>
      </c>
      <c r="BQ52" s="25">
        <v>7320.3861655476358</v>
      </c>
      <c r="BR52" s="25">
        <v>5232.9747963414893</v>
      </c>
      <c r="BS52" s="25">
        <v>1673.3487107260698</v>
      </c>
      <c r="BT52" s="25">
        <v>7300.7418781253546</v>
      </c>
      <c r="BU52" s="25">
        <v>19050.647809622886</v>
      </c>
      <c r="BV52" s="25">
        <v>758.17377742172118</v>
      </c>
      <c r="BW52" s="25">
        <v>4810.0605338152945</v>
      </c>
      <c r="BX52" s="25">
        <v>0</v>
      </c>
      <c r="BY52" s="25">
        <v>472812.99832978169</v>
      </c>
      <c r="BZ52" s="25">
        <v>83853.490913122063</v>
      </c>
      <c r="CA52" s="25">
        <v>2765.5801388253753</v>
      </c>
      <c r="CB52" s="25">
        <v>2.4717411121239743</v>
      </c>
      <c r="CC52" s="25">
        <v>503799.2473376143</v>
      </c>
      <c r="CD52" s="25">
        <v>55581.557027372633</v>
      </c>
      <c r="CE52" s="25">
        <v>1763.6545121717481</v>
      </c>
      <c r="CF52" s="25">
        <v>647766.00167021831</v>
      </c>
      <c r="CG52" s="25">
        <v>1120579</v>
      </c>
      <c r="CH52"/>
      <c r="CI52">
        <f t="shared" si="0"/>
        <v>0.57806366322251113</v>
      </c>
      <c r="CJ52"/>
      <c r="CK52"/>
      <c r="CL52"/>
      <c r="CM52"/>
      <c r="CN52"/>
      <c r="CO52"/>
      <c r="CP52"/>
      <c r="CQ52"/>
      <c r="CR52"/>
      <c r="CS52"/>
      <c r="CT52"/>
      <c r="CU52"/>
    </row>
    <row r="53" spans="1:99" s="5" customFormat="1" x14ac:dyDescent="0.3">
      <c r="A53" s="36" t="s">
        <v>57</v>
      </c>
      <c r="B53" s="37" t="s">
        <v>131</v>
      </c>
      <c r="C53" s="65">
        <v>48</v>
      </c>
      <c r="D53" s="40">
        <v>7307.3660232477596</v>
      </c>
      <c r="E53" s="40">
        <v>2201.7665120681136</v>
      </c>
      <c r="F53" s="40">
        <v>759.10340752990169</v>
      </c>
      <c r="G53" s="40">
        <v>912.95436208083402</v>
      </c>
      <c r="H53" s="40">
        <v>6475.7006601466092</v>
      </c>
      <c r="I53" s="40">
        <v>3552.9980438873413</v>
      </c>
      <c r="J53" s="40">
        <v>781.7960738524331</v>
      </c>
      <c r="K53" s="40">
        <v>13074.053973132557</v>
      </c>
      <c r="L53" s="40">
        <v>3165.556141587002</v>
      </c>
      <c r="M53" s="40">
        <v>19108.959591359398</v>
      </c>
      <c r="N53" s="40">
        <v>3878.9551326853975</v>
      </c>
      <c r="O53" s="40">
        <v>300.63614987092728</v>
      </c>
      <c r="P53" s="40">
        <v>1315.00911060158</v>
      </c>
      <c r="Q53" s="40">
        <v>1051.8336654525804</v>
      </c>
      <c r="R53" s="40">
        <v>1211.3050703596639</v>
      </c>
      <c r="S53" s="40">
        <v>1569.2350687456862</v>
      </c>
      <c r="T53" s="40">
        <v>4157.8348546183315</v>
      </c>
      <c r="U53" s="40">
        <v>362.96299434351118</v>
      </c>
      <c r="V53" s="40">
        <v>5179.9924896021985</v>
      </c>
      <c r="W53" s="40">
        <v>131.32714249839793</v>
      </c>
      <c r="X53" s="40">
        <v>1.2085581841205741</v>
      </c>
      <c r="Y53" s="40">
        <v>2459.0715608331079</v>
      </c>
      <c r="Z53" s="40">
        <v>7156.4766755123464</v>
      </c>
      <c r="AA53" s="40">
        <v>2644.5351018205947</v>
      </c>
      <c r="AB53" s="40">
        <v>1989.3038032327186</v>
      </c>
      <c r="AC53" s="40">
        <v>3369.966023381889</v>
      </c>
      <c r="AD53" s="40">
        <v>3931.0659008956814</v>
      </c>
      <c r="AE53" s="40">
        <v>3424.3341707904519</v>
      </c>
      <c r="AF53" s="40">
        <v>7094.8221607334444</v>
      </c>
      <c r="AG53" s="40">
        <v>1499.330712084917</v>
      </c>
      <c r="AH53" s="40">
        <v>3232.6086077441591</v>
      </c>
      <c r="AI53" s="40">
        <v>2218.7861598598147</v>
      </c>
      <c r="AJ53" s="40">
        <v>1900.3046112759368</v>
      </c>
      <c r="AK53" s="40">
        <v>2935.6551544705976</v>
      </c>
      <c r="AL53" s="40">
        <v>5758.2056320100082</v>
      </c>
      <c r="AM53" s="40">
        <v>2546.4417560488491</v>
      </c>
      <c r="AN53" s="40">
        <v>772.23847171810689</v>
      </c>
      <c r="AO53" s="40">
        <v>1818.4498348962331</v>
      </c>
      <c r="AP53" s="40">
        <v>694.19440831480495</v>
      </c>
      <c r="AQ53" s="40">
        <v>3289.3868614696476</v>
      </c>
      <c r="AR53" s="40">
        <v>537.32433217993366</v>
      </c>
      <c r="AS53" s="40">
        <v>384.97283266695285</v>
      </c>
      <c r="AT53" s="40">
        <v>639.87315691344418</v>
      </c>
      <c r="AU53" s="40">
        <v>502.70007673407656</v>
      </c>
      <c r="AV53" s="40">
        <v>5229.3343750739723</v>
      </c>
      <c r="AW53" s="40">
        <v>1827.7701448998821</v>
      </c>
      <c r="AX53" s="40">
        <v>45681.213222787577</v>
      </c>
      <c r="AY53" s="40">
        <v>42845.105908360987</v>
      </c>
      <c r="AZ53" s="40">
        <v>286.10225480011775</v>
      </c>
      <c r="BA53" s="40">
        <v>351.73585615243695</v>
      </c>
      <c r="BB53" s="40">
        <v>5689.8904157816396</v>
      </c>
      <c r="BC53" s="40">
        <v>159.70357458075645</v>
      </c>
      <c r="BD53" s="40">
        <v>2928.6506095261602</v>
      </c>
      <c r="BE53" s="40">
        <v>432.91400896660303</v>
      </c>
      <c r="BF53" s="40">
        <v>501.40469538133152</v>
      </c>
      <c r="BG53" s="40">
        <v>642.82359557461996</v>
      </c>
      <c r="BH53" s="40">
        <v>779.7681183094694</v>
      </c>
      <c r="BI53" s="40">
        <v>2072.0931144338556</v>
      </c>
      <c r="BJ53" s="40">
        <v>359.99090184204476</v>
      </c>
      <c r="BK53" s="40">
        <v>1279.8994913363929</v>
      </c>
      <c r="BL53" s="40">
        <v>1038.5243666643423</v>
      </c>
      <c r="BM53" s="40">
        <v>445.46072578398775</v>
      </c>
      <c r="BN53" s="40">
        <v>596.29321067965964</v>
      </c>
      <c r="BO53" s="40">
        <v>897.37588982598277</v>
      </c>
      <c r="BP53" s="40">
        <v>146.71538069477421</v>
      </c>
      <c r="BQ53" s="40">
        <v>4091.6499007281814</v>
      </c>
      <c r="BR53" s="40">
        <v>2338.8551006309112</v>
      </c>
      <c r="BS53" s="40">
        <v>1558.6124707310425</v>
      </c>
      <c r="BT53" s="40">
        <v>1497.2123866294062</v>
      </c>
      <c r="BU53" s="40">
        <v>615.04952014553612</v>
      </c>
      <c r="BV53" s="40">
        <v>325.60879577067749</v>
      </c>
      <c r="BW53" s="40">
        <v>2457.6103397295406</v>
      </c>
      <c r="BX53" s="40">
        <v>0</v>
      </c>
      <c r="BY53" s="40">
        <v>264377.97140726389</v>
      </c>
      <c r="BZ53" s="40">
        <v>16374.593619082512</v>
      </c>
      <c r="CA53" s="40">
        <v>89.02712311319813</v>
      </c>
      <c r="CB53" s="40">
        <v>0</v>
      </c>
      <c r="CC53" s="40">
        <v>113227.29825149941</v>
      </c>
      <c r="CD53" s="40">
        <v>4736.7297729722841</v>
      </c>
      <c r="CE53" s="40">
        <v>7.4247544151011349</v>
      </c>
      <c r="CF53" s="40">
        <v>134435.07352108249</v>
      </c>
      <c r="CG53" s="40">
        <v>398813</v>
      </c>
      <c r="CH53"/>
      <c r="CI53">
        <f t="shared" si="0"/>
        <v>0.3370879924202132</v>
      </c>
      <c r="CJ53"/>
      <c r="CK53"/>
      <c r="CL53"/>
      <c r="CM53"/>
      <c r="CN53"/>
      <c r="CO53"/>
      <c r="CP53"/>
      <c r="CQ53"/>
      <c r="CR53"/>
      <c r="CS53"/>
      <c r="CT53"/>
      <c r="CU53"/>
    </row>
    <row r="54" spans="1:99" s="5" customFormat="1" x14ac:dyDescent="0.3">
      <c r="A54" s="35" t="s">
        <v>58</v>
      </c>
      <c r="B54" s="11" t="s">
        <v>132</v>
      </c>
      <c r="C54" s="5">
        <v>49</v>
      </c>
      <c r="D54" s="25">
        <v>39.738558740146246</v>
      </c>
      <c r="E54" s="25">
        <v>30.188918246216822</v>
      </c>
      <c r="F54" s="25">
        <v>2.6028833823347202</v>
      </c>
      <c r="G54" s="25">
        <v>2.5855371349157599</v>
      </c>
      <c r="H54" s="25">
        <v>6014.8755587431851</v>
      </c>
      <c r="I54" s="25">
        <v>6.5371674912135287</v>
      </c>
      <c r="J54" s="25">
        <v>12.379639175879493</v>
      </c>
      <c r="K54" s="25">
        <v>1215.6784063633283</v>
      </c>
      <c r="L54" s="25">
        <v>99.638254040825615</v>
      </c>
      <c r="M54" s="25">
        <v>529.87292202419474</v>
      </c>
      <c r="N54" s="25">
        <v>15.88119763356746</v>
      </c>
      <c r="O54" s="25">
        <v>4.1122728787308764</v>
      </c>
      <c r="P54" s="25">
        <v>17.862456136156563</v>
      </c>
      <c r="Q54" s="25">
        <v>18.671242358527557</v>
      </c>
      <c r="R54" s="25">
        <v>10.956892188280534</v>
      </c>
      <c r="S54" s="25">
        <v>168.8246464021579</v>
      </c>
      <c r="T54" s="25">
        <v>1369.3082061469966</v>
      </c>
      <c r="U54" s="25">
        <v>15.165712719845541</v>
      </c>
      <c r="V54" s="25">
        <v>101.21961418139165</v>
      </c>
      <c r="W54" s="25">
        <v>2.5958000121991187</v>
      </c>
      <c r="X54" s="25">
        <v>1.6586294373946282E-2</v>
      </c>
      <c r="Y54" s="25">
        <v>38.12868923004001</v>
      </c>
      <c r="Z54" s="25">
        <v>681.41859492518847</v>
      </c>
      <c r="AA54" s="25">
        <v>22.967492923394623</v>
      </c>
      <c r="AB54" s="25">
        <v>44.625488462328235</v>
      </c>
      <c r="AC54" s="25">
        <v>7.3439862481081155</v>
      </c>
      <c r="AD54" s="25">
        <v>61.018072297882867</v>
      </c>
      <c r="AE54" s="25">
        <v>117.53425250062286</v>
      </c>
      <c r="AF54" s="25">
        <v>364.35022320822014</v>
      </c>
      <c r="AG54" s="25">
        <v>29.901182597955984</v>
      </c>
      <c r="AH54" s="25">
        <v>46.359125724543944</v>
      </c>
      <c r="AI54" s="25">
        <v>47.513142873108485</v>
      </c>
      <c r="AJ54" s="25">
        <v>46.656802865813631</v>
      </c>
      <c r="AK54" s="25">
        <v>252.53357961632307</v>
      </c>
      <c r="AL54" s="25">
        <v>200.58448276321442</v>
      </c>
      <c r="AM54" s="25">
        <v>87.17513606303028</v>
      </c>
      <c r="AN54" s="25">
        <v>92.291004147773691</v>
      </c>
      <c r="AO54" s="25">
        <v>11.271709712572363</v>
      </c>
      <c r="AP54" s="25">
        <v>19.772229527510056</v>
      </c>
      <c r="AQ54" s="25">
        <v>10.425441832857267</v>
      </c>
      <c r="AR54" s="25">
        <v>1.7030053947555313</v>
      </c>
      <c r="AS54" s="25">
        <v>1.2201398142650921</v>
      </c>
      <c r="AT54" s="25">
        <v>1.9369097344608115</v>
      </c>
      <c r="AU54" s="25">
        <v>3.9900222023776273</v>
      </c>
      <c r="AV54" s="25">
        <v>85.468364875685026</v>
      </c>
      <c r="AW54" s="25">
        <v>17.570055112240993</v>
      </c>
      <c r="AX54" s="25">
        <v>974.42611412135864</v>
      </c>
      <c r="AY54" s="40">
        <v>662.32474817511718</v>
      </c>
      <c r="AZ54" s="25">
        <v>942.87093059620565</v>
      </c>
      <c r="BA54" s="25">
        <v>4.0695481146660315</v>
      </c>
      <c r="BB54" s="25">
        <v>56.843633095432182</v>
      </c>
      <c r="BC54" s="25">
        <v>4.3362899842979017</v>
      </c>
      <c r="BD54" s="25">
        <v>66.858184593534176</v>
      </c>
      <c r="BE54" s="25">
        <v>1.4128613280297491</v>
      </c>
      <c r="BF54" s="25">
        <v>3.4855759526679879</v>
      </c>
      <c r="BG54" s="25">
        <v>6.1442029474498181</v>
      </c>
      <c r="BH54" s="25">
        <v>19.801372660073508</v>
      </c>
      <c r="BI54" s="25">
        <v>14.746732686413331</v>
      </c>
      <c r="BJ54" s="25">
        <v>9.2220012855881137</v>
      </c>
      <c r="BK54" s="25">
        <v>15.018517159942935</v>
      </c>
      <c r="BL54" s="25">
        <v>5.1919710583971082</v>
      </c>
      <c r="BM54" s="25">
        <v>4.4003647920266644</v>
      </c>
      <c r="BN54" s="25">
        <v>3.7254654495693149</v>
      </c>
      <c r="BO54" s="25">
        <v>239.95377005778735</v>
      </c>
      <c r="BP54" s="25">
        <v>1.6846209135302099</v>
      </c>
      <c r="BQ54" s="25">
        <v>14.07295316425826</v>
      </c>
      <c r="BR54" s="25">
        <v>5.5129645052011389</v>
      </c>
      <c r="BS54" s="25">
        <v>12.051006748532979</v>
      </c>
      <c r="BT54" s="25">
        <v>7.2066724344558706</v>
      </c>
      <c r="BU54" s="25">
        <v>19.466725314694735</v>
      </c>
      <c r="BV54" s="25">
        <v>9.8233458443424642</v>
      </c>
      <c r="BW54" s="25">
        <v>13.563344936561172</v>
      </c>
      <c r="BX54" s="25">
        <v>0</v>
      </c>
      <c r="BY54" s="25">
        <v>15090.685524868877</v>
      </c>
      <c r="BZ54" s="25">
        <v>5851.6851012527004</v>
      </c>
      <c r="CA54" s="25">
        <v>2.0410605773876287</v>
      </c>
      <c r="CB54" s="25">
        <v>0</v>
      </c>
      <c r="CC54" s="25">
        <v>1989.5854759988795</v>
      </c>
      <c r="CD54" s="25">
        <v>108.00283731465244</v>
      </c>
      <c r="CE54" s="25">
        <v>0</v>
      </c>
      <c r="CF54" s="25">
        <v>7951.3144751436203</v>
      </c>
      <c r="CG54" s="25">
        <v>23042</v>
      </c>
      <c r="CH54"/>
      <c r="CI54">
        <f t="shared" si="0"/>
        <v>0.34507918041591962</v>
      </c>
      <c r="CJ54"/>
      <c r="CK54"/>
      <c r="CL54"/>
      <c r="CM54"/>
      <c r="CN54"/>
      <c r="CO54"/>
      <c r="CP54"/>
      <c r="CQ54"/>
      <c r="CR54"/>
      <c r="CS54"/>
      <c r="CT54"/>
      <c r="CU54"/>
    </row>
    <row r="55" spans="1:99" s="5" customFormat="1" x14ac:dyDescent="0.3">
      <c r="A55" s="35" t="s">
        <v>59</v>
      </c>
      <c r="B55" s="11" t="s">
        <v>133</v>
      </c>
      <c r="C55" s="5">
        <v>50</v>
      </c>
      <c r="D55" s="25">
        <v>0.79905326692108847</v>
      </c>
      <c r="E55" s="25">
        <v>1.4439554785159681E-2</v>
      </c>
      <c r="F55" s="25">
        <v>1.5836669790570173</v>
      </c>
      <c r="G55" s="25">
        <v>3.1838363064399311</v>
      </c>
      <c r="H55" s="25">
        <v>2233.721365296376</v>
      </c>
      <c r="I55" s="25">
        <v>14.193181798831777</v>
      </c>
      <c r="J55" s="25">
        <v>26.652112690132729</v>
      </c>
      <c r="K55" s="25">
        <v>281.00853600982867</v>
      </c>
      <c r="L55" s="25">
        <v>6.5657007927906239</v>
      </c>
      <c r="M55" s="25">
        <v>241.49937327503272</v>
      </c>
      <c r="N55" s="25">
        <v>40.851482869586718</v>
      </c>
      <c r="O55" s="25">
        <v>19.611217216316742</v>
      </c>
      <c r="P55" s="25">
        <v>27.322520590872287</v>
      </c>
      <c r="Q55" s="25">
        <v>31.392047492944254</v>
      </c>
      <c r="R55" s="25">
        <v>44.045633143730328</v>
      </c>
      <c r="S55" s="25">
        <v>47.832557330721329</v>
      </c>
      <c r="T55" s="25">
        <v>96.658070521193025</v>
      </c>
      <c r="U55" s="25">
        <v>14.98810947867139</v>
      </c>
      <c r="V55" s="25">
        <v>39.344344055720526</v>
      </c>
      <c r="W55" s="25">
        <v>1.0089946460058863</v>
      </c>
      <c r="X55" s="25">
        <v>6.44713850902995E-3</v>
      </c>
      <c r="Y55" s="25">
        <v>5.9729268799432429</v>
      </c>
      <c r="Z55" s="25">
        <v>264.93539712872956</v>
      </c>
      <c r="AA55" s="25">
        <v>280.40282687550774</v>
      </c>
      <c r="AB55" s="25">
        <v>11.368271568480099</v>
      </c>
      <c r="AC55" s="25">
        <v>127.40858922296806</v>
      </c>
      <c r="AD55" s="25">
        <v>43.297397548671846</v>
      </c>
      <c r="AE55" s="25">
        <v>102.16068047384822</v>
      </c>
      <c r="AF55" s="25">
        <v>93.104242004305348</v>
      </c>
      <c r="AG55" s="25">
        <v>12.549693807093385</v>
      </c>
      <c r="AH55" s="25">
        <v>48.356506890068552</v>
      </c>
      <c r="AI55" s="25">
        <v>234.43860203246516</v>
      </c>
      <c r="AJ55" s="25">
        <v>144.25546938827034</v>
      </c>
      <c r="AK55" s="25">
        <v>177.37014319415687</v>
      </c>
      <c r="AL55" s="25">
        <v>220.18353642741127</v>
      </c>
      <c r="AM55" s="25">
        <v>91.31017008409313</v>
      </c>
      <c r="AN55" s="25">
        <v>47.099513457103818</v>
      </c>
      <c r="AO55" s="25">
        <v>33.44472077240443</v>
      </c>
      <c r="AP55" s="25">
        <v>72.917505390122955</v>
      </c>
      <c r="AQ55" s="25">
        <v>321.08406570378929</v>
      </c>
      <c r="AR55" s="25">
        <v>52.449373832795224</v>
      </c>
      <c r="AS55" s="25">
        <v>37.578019097146665</v>
      </c>
      <c r="AT55" s="25">
        <v>117.87551411520981</v>
      </c>
      <c r="AU55" s="25">
        <v>44.588147844944181</v>
      </c>
      <c r="AV55" s="25">
        <v>926.79588030933155</v>
      </c>
      <c r="AW55" s="25">
        <v>195.094440121877</v>
      </c>
      <c r="AX55" s="25">
        <v>3175.7569603532124</v>
      </c>
      <c r="AY55" s="40">
        <v>202.62404661747215</v>
      </c>
      <c r="AZ55" s="25">
        <v>85.475450371379267</v>
      </c>
      <c r="BA55" s="25">
        <v>12.776601096574467</v>
      </c>
      <c r="BB55" s="25">
        <v>716.74798812707093</v>
      </c>
      <c r="BC55" s="25">
        <v>67.135472436385641</v>
      </c>
      <c r="BD55" s="25">
        <v>64.579261167507681</v>
      </c>
      <c r="BE55" s="25">
        <v>12.95193854753712</v>
      </c>
      <c r="BF55" s="25">
        <v>142.7618131583499</v>
      </c>
      <c r="BG55" s="25">
        <v>154.00668186818808</v>
      </c>
      <c r="BH55" s="25">
        <v>661.76746376484198</v>
      </c>
      <c r="BI55" s="25">
        <v>1955.7044157217938</v>
      </c>
      <c r="BJ55" s="25">
        <v>61.593475700029707</v>
      </c>
      <c r="BK55" s="25">
        <v>848.28966343902027</v>
      </c>
      <c r="BL55" s="25">
        <v>251.59133410202563</v>
      </c>
      <c r="BM55" s="25">
        <v>548.838226182639</v>
      </c>
      <c r="BN55" s="25">
        <v>84.822661739423751</v>
      </c>
      <c r="BO55" s="25">
        <v>305.04012607751815</v>
      </c>
      <c r="BP55" s="25">
        <v>22.538514957049436</v>
      </c>
      <c r="BQ55" s="25">
        <v>1037.9844848969544</v>
      </c>
      <c r="BR55" s="25">
        <v>307.43786699756174</v>
      </c>
      <c r="BS55" s="25">
        <v>1902.2029143282734</v>
      </c>
      <c r="BT55" s="25">
        <v>343.80313866984761</v>
      </c>
      <c r="BU55" s="25">
        <v>6.1739410674261332</v>
      </c>
      <c r="BV55" s="25">
        <v>90.362573023187764</v>
      </c>
      <c r="BW55" s="25">
        <v>6697.2625784778875</v>
      </c>
      <c r="BX55" s="25">
        <v>0</v>
      </c>
      <c r="BY55" s="25">
        <v>26638.553917514364</v>
      </c>
      <c r="BZ55" s="25">
        <v>7922.3153352442387</v>
      </c>
      <c r="CA55" s="25">
        <v>0</v>
      </c>
      <c r="CB55" s="25">
        <v>0</v>
      </c>
      <c r="CC55" s="25">
        <v>10246.13074725425</v>
      </c>
      <c r="CD55" s="25">
        <v>0</v>
      </c>
      <c r="CE55" s="25">
        <v>0</v>
      </c>
      <c r="CF55" s="25">
        <v>18168.446082498489</v>
      </c>
      <c r="CG55" s="25">
        <v>44807</v>
      </c>
      <c r="CH55"/>
      <c r="CI55">
        <f t="shared" si="0"/>
        <v>0.40548231487264241</v>
      </c>
      <c r="CJ55"/>
      <c r="CK55"/>
      <c r="CL55"/>
      <c r="CM55"/>
      <c r="CN55"/>
      <c r="CO55"/>
      <c r="CP55"/>
      <c r="CQ55"/>
      <c r="CR55"/>
      <c r="CS55"/>
      <c r="CT55"/>
      <c r="CU55"/>
    </row>
    <row r="56" spans="1:99" s="5" customFormat="1" x14ac:dyDescent="0.3">
      <c r="A56" s="35" t="s">
        <v>60</v>
      </c>
      <c r="B56" s="11" t="s">
        <v>134</v>
      </c>
      <c r="C56" s="5">
        <v>51</v>
      </c>
      <c r="D56" s="25">
        <v>1107.5530893104053</v>
      </c>
      <c r="E56" s="25">
        <v>52.734320300833829</v>
      </c>
      <c r="F56" s="25">
        <v>257.12418087482206</v>
      </c>
      <c r="G56" s="25">
        <v>27.332603392649428</v>
      </c>
      <c r="H56" s="25">
        <v>4686.5244651753528</v>
      </c>
      <c r="I56" s="25">
        <v>2866.9374720018664</v>
      </c>
      <c r="J56" s="25">
        <v>452.77896691470039</v>
      </c>
      <c r="K56" s="25">
        <v>3106.4543221425342</v>
      </c>
      <c r="L56" s="25">
        <v>1445.7661406731338</v>
      </c>
      <c r="M56" s="25">
        <v>3759.9643714657623</v>
      </c>
      <c r="N56" s="25">
        <v>1966.434338465094</v>
      </c>
      <c r="O56" s="25">
        <v>30.597631579185716</v>
      </c>
      <c r="P56" s="25">
        <v>174.62685915767094</v>
      </c>
      <c r="Q56" s="25">
        <v>117.35982557940046</v>
      </c>
      <c r="R56" s="25">
        <v>178.81607674240067</v>
      </c>
      <c r="S56" s="25">
        <v>283.69214735234266</v>
      </c>
      <c r="T56" s="25">
        <v>1642.0242484833598</v>
      </c>
      <c r="U56" s="25">
        <v>168.0324596306701</v>
      </c>
      <c r="V56" s="25">
        <v>785.99973305102799</v>
      </c>
      <c r="W56" s="25">
        <v>20.157141806389667</v>
      </c>
      <c r="X56" s="25">
        <v>0.12879739816894351</v>
      </c>
      <c r="Y56" s="25">
        <v>888.97562803098106</v>
      </c>
      <c r="Z56" s="25">
        <v>1113.0502184619572</v>
      </c>
      <c r="AA56" s="25">
        <v>890.70270508442729</v>
      </c>
      <c r="AB56" s="25">
        <v>427.10706328202031</v>
      </c>
      <c r="AC56" s="25">
        <v>680.8296416773336</v>
      </c>
      <c r="AD56" s="25">
        <v>289.22322789928495</v>
      </c>
      <c r="AE56" s="25">
        <v>340.4563316440142</v>
      </c>
      <c r="AF56" s="25">
        <v>3106.143447158548</v>
      </c>
      <c r="AG56" s="25">
        <v>156.05659709763083</v>
      </c>
      <c r="AH56" s="25">
        <v>882.07570623616118</v>
      </c>
      <c r="AI56" s="25">
        <v>721.49553988904836</v>
      </c>
      <c r="AJ56" s="25">
        <v>872.11436804355446</v>
      </c>
      <c r="AK56" s="25">
        <v>355.37907464917532</v>
      </c>
      <c r="AL56" s="25">
        <v>3921.2234692979123</v>
      </c>
      <c r="AM56" s="25">
        <v>725.8449677609218</v>
      </c>
      <c r="AN56" s="25">
        <v>363.13483923989639</v>
      </c>
      <c r="AO56" s="25">
        <v>382.29547029925698</v>
      </c>
      <c r="AP56" s="25">
        <v>230.35013783318922</v>
      </c>
      <c r="AQ56" s="25">
        <v>533.24293120405105</v>
      </c>
      <c r="AR56" s="25">
        <v>87.105717255425631</v>
      </c>
      <c r="AS56" s="25">
        <v>62.407995888186534</v>
      </c>
      <c r="AT56" s="25">
        <v>91.493001976555561</v>
      </c>
      <c r="AU56" s="25">
        <v>26.775828013869667</v>
      </c>
      <c r="AV56" s="25">
        <v>631.94792252939851</v>
      </c>
      <c r="AW56" s="25">
        <v>761.13506529545714</v>
      </c>
      <c r="AX56" s="25">
        <v>16732.046905600353</v>
      </c>
      <c r="AY56" s="40">
        <v>8818.9588852887646</v>
      </c>
      <c r="AZ56" s="25">
        <v>2554.2717158953233</v>
      </c>
      <c r="BA56" s="25">
        <v>5204.6672426241585</v>
      </c>
      <c r="BB56" s="25">
        <v>5321.281311320422</v>
      </c>
      <c r="BC56" s="25">
        <v>72.467839472057094</v>
      </c>
      <c r="BD56" s="25">
        <v>328.64455285321708</v>
      </c>
      <c r="BE56" s="25">
        <v>57.145727050278083</v>
      </c>
      <c r="BF56" s="25">
        <v>87.252761869702184</v>
      </c>
      <c r="BG56" s="25">
        <v>571.79887165813284</v>
      </c>
      <c r="BH56" s="25">
        <v>184.265875497129</v>
      </c>
      <c r="BI56" s="25">
        <v>4048.7975784176729</v>
      </c>
      <c r="BJ56" s="25">
        <v>236.48941730981929</v>
      </c>
      <c r="BK56" s="25">
        <v>685.69265925087916</v>
      </c>
      <c r="BL56" s="25">
        <v>220.72559103183312</v>
      </c>
      <c r="BM56" s="25">
        <v>295.91744032336356</v>
      </c>
      <c r="BN56" s="25">
        <v>239.99222233599662</v>
      </c>
      <c r="BO56" s="25">
        <v>830.20474620239497</v>
      </c>
      <c r="BP56" s="25">
        <v>78.821922895319474</v>
      </c>
      <c r="BQ56" s="25">
        <v>3809.818074670743</v>
      </c>
      <c r="BR56" s="25">
        <v>316.69512482140237</v>
      </c>
      <c r="BS56" s="25">
        <v>504.49716694563062</v>
      </c>
      <c r="BT56" s="25">
        <v>409.62304004189883</v>
      </c>
      <c r="BU56" s="25">
        <v>347.65630013322732</v>
      </c>
      <c r="BV56" s="25">
        <v>80.772732225547003</v>
      </c>
      <c r="BW56" s="25">
        <v>1440.9069236435296</v>
      </c>
      <c r="BX56" s="25">
        <v>0</v>
      </c>
      <c r="BY56" s="25">
        <v>95151.018716624792</v>
      </c>
      <c r="BZ56" s="25">
        <v>11538.986655413724</v>
      </c>
      <c r="CA56" s="25">
        <v>0.43480693774667994</v>
      </c>
      <c r="CB56" s="25">
        <v>0</v>
      </c>
      <c r="CC56" s="25">
        <v>32126.448709308461</v>
      </c>
      <c r="CD56" s="25">
        <v>27.164585408448154</v>
      </c>
      <c r="CE56" s="25">
        <v>-5.3473668458267343E-2</v>
      </c>
      <c r="CF56" s="25">
        <v>43692.981283399931</v>
      </c>
      <c r="CG56" s="25">
        <v>138844</v>
      </c>
      <c r="CH56"/>
      <c r="CI56">
        <f t="shared" si="0"/>
        <v>0.31469117342773134</v>
      </c>
      <c r="CJ56"/>
      <c r="CK56"/>
      <c r="CL56"/>
      <c r="CM56"/>
      <c r="CN56"/>
      <c r="CO56"/>
      <c r="CP56"/>
      <c r="CQ56"/>
      <c r="CR56"/>
      <c r="CS56"/>
      <c r="CT56"/>
      <c r="CU56"/>
    </row>
    <row r="57" spans="1:99" s="5" customFormat="1" x14ac:dyDescent="0.3">
      <c r="A57" s="35" t="s">
        <v>61</v>
      </c>
      <c r="B57" s="13" t="s">
        <v>135</v>
      </c>
      <c r="C57" s="5">
        <v>52</v>
      </c>
      <c r="D57" s="25">
        <v>4.1299403891300894</v>
      </c>
      <c r="E57" s="25">
        <v>1.6539141168804776</v>
      </c>
      <c r="F57" s="25">
        <v>1.8855479741863035</v>
      </c>
      <c r="G57" s="25">
        <v>7.1801427190256737</v>
      </c>
      <c r="H57" s="25">
        <v>210.79458798825763</v>
      </c>
      <c r="I57" s="25">
        <v>67.189308294123691</v>
      </c>
      <c r="J57" s="25">
        <v>10.722197356910591</v>
      </c>
      <c r="K57" s="25">
        <v>227.90752147712357</v>
      </c>
      <c r="L57" s="25">
        <v>17.923758997004594</v>
      </c>
      <c r="M57" s="25">
        <v>219.73660869357889</v>
      </c>
      <c r="N57" s="25">
        <v>37.954434703365123</v>
      </c>
      <c r="O57" s="25">
        <v>18.431230210578658</v>
      </c>
      <c r="P57" s="25">
        <v>19.077938535895267</v>
      </c>
      <c r="Q57" s="25">
        <v>16.25863062844563</v>
      </c>
      <c r="R57" s="25">
        <v>20.680217006945465</v>
      </c>
      <c r="S57" s="25">
        <v>6.5217089329862228</v>
      </c>
      <c r="T57" s="25">
        <v>63.922052311575101</v>
      </c>
      <c r="U57" s="25">
        <v>6.4289490904216215</v>
      </c>
      <c r="V57" s="25">
        <v>24.168982174261171</v>
      </c>
      <c r="W57" s="25">
        <v>0.61981904130119891</v>
      </c>
      <c r="X57" s="25">
        <v>3.9604364855863397E-3</v>
      </c>
      <c r="Y57" s="25">
        <v>11.931859118285539</v>
      </c>
      <c r="Z57" s="25">
        <v>99.185218472284745</v>
      </c>
      <c r="AA57" s="25">
        <v>109.70875104985157</v>
      </c>
      <c r="AB57" s="25">
        <v>28.097571139949583</v>
      </c>
      <c r="AC57" s="25">
        <v>149.94686271690583</v>
      </c>
      <c r="AD57" s="25">
        <v>79.003465364983967</v>
      </c>
      <c r="AE57" s="25">
        <v>57.578128736208946</v>
      </c>
      <c r="AF57" s="25">
        <v>146.301262182264</v>
      </c>
      <c r="AG57" s="25">
        <v>33.303140250125658</v>
      </c>
      <c r="AH57" s="25">
        <v>115.729047456459</v>
      </c>
      <c r="AI57" s="25">
        <v>112.15544866816481</v>
      </c>
      <c r="AJ57" s="25">
        <v>84.579515697068715</v>
      </c>
      <c r="AK57" s="25">
        <v>210.10910413450665</v>
      </c>
      <c r="AL57" s="25">
        <v>92.81491084604329</v>
      </c>
      <c r="AM57" s="25">
        <v>69.413079918143765</v>
      </c>
      <c r="AN57" s="25">
        <v>44.510514192529314</v>
      </c>
      <c r="AO57" s="25">
        <v>82.030390631206998</v>
      </c>
      <c r="AP57" s="25">
        <v>53.462758137576323</v>
      </c>
      <c r="AQ57" s="25">
        <v>111.47479007738856</v>
      </c>
      <c r="AR57" s="25">
        <v>18.20950823232435</v>
      </c>
      <c r="AS57" s="25">
        <v>13.046433123975129</v>
      </c>
      <c r="AT57" s="25">
        <v>33.053968069323808</v>
      </c>
      <c r="AU57" s="25">
        <v>9.7735635946774817</v>
      </c>
      <c r="AV57" s="25">
        <v>701.0105264509159</v>
      </c>
      <c r="AW57" s="25">
        <v>259.87589815154803</v>
      </c>
      <c r="AX57" s="25">
        <v>2207.8944152886243</v>
      </c>
      <c r="AY57" s="40">
        <v>143.84622313269489</v>
      </c>
      <c r="AZ57" s="25">
        <v>3.2071102550848822</v>
      </c>
      <c r="BA57" s="25">
        <v>48.46961589671853</v>
      </c>
      <c r="BB57" s="25">
        <v>154.51379073081534</v>
      </c>
      <c r="BC57" s="25">
        <v>1.4376490191730635</v>
      </c>
      <c r="BD57" s="25">
        <v>31.326821418496454</v>
      </c>
      <c r="BE57" s="25">
        <v>41.951638028711251</v>
      </c>
      <c r="BF57" s="25">
        <v>100.1945395103802</v>
      </c>
      <c r="BG57" s="25">
        <v>64.727150329350081</v>
      </c>
      <c r="BH57" s="25">
        <v>375.71861868480795</v>
      </c>
      <c r="BI57" s="25">
        <v>679.87963362726805</v>
      </c>
      <c r="BJ57" s="25">
        <v>43.252992669439386</v>
      </c>
      <c r="BK57" s="25">
        <v>239.44119742959046</v>
      </c>
      <c r="BL57" s="25">
        <v>184.68858197646082</v>
      </c>
      <c r="BM57" s="25">
        <v>108.1845177176971</v>
      </c>
      <c r="BN57" s="25">
        <v>103.5002900171001</v>
      </c>
      <c r="BO57" s="25">
        <v>118.54613348883626</v>
      </c>
      <c r="BP57" s="25">
        <v>29.531699344222481</v>
      </c>
      <c r="BQ57" s="25">
        <v>1383.4049461425404</v>
      </c>
      <c r="BR57" s="25">
        <v>155.66127396500133</v>
      </c>
      <c r="BS57" s="25">
        <v>255.27052038774477</v>
      </c>
      <c r="BT57" s="25">
        <v>224.24028635002691</v>
      </c>
      <c r="BU57" s="25">
        <v>4.831271841991799</v>
      </c>
      <c r="BV57" s="25">
        <v>96.513917184275584</v>
      </c>
      <c r="BW57" s="25">
        <v>4241.445451017602</v>
      </c>
      <c r="BX57" s="25">
        <v>0</v>
      </c>
      <c r="BY57" s="25">
        <v>14751.177452945849</v>
      </c>
      <c r="BZ57" s="25">
        <v>6880.209336048214</v>
      </c>
      <c r="CA57" s="25">
        <v>0.24925654779688283</v>
      </c>
      <c r="CB57" s="25">
        <v>0</v>
      </c>
      <c r="CC57" s="25">
        <v>6148.9937125620991</v>
      </c>
      <c r="CD57" s="25">
        <v>6.3702419016962235</v>
      </c>
      <c r="CE57" s="25">
        <v>0</v>
      </c>
      <c r="CF57" s="25">
        <v>13035.822547059804</v>
      </c>
      <c r="CG57" s="25">
        <v>27787</v>
      </c>
      <c r="CH57"/>
      <c r="CI57">
        <f t="shared" si="0"/>
        <v>0.46913385925288098</v>
      </c>
      <c r="CJ57"/>
      <c r="CK57"/>
      <c r="CL57"/>
      <c r="CM57"/>
      <c r="CN57"/>
      <c r="CO57"/>
      <c r="CP57"/>
      <c r="CQ57"/>
      <c r="CR57"/>
      <c r="CS57"/>
      <c r="CT57"/>
      <c r="CU57"/>
    </row>
    <row r="58" spans="1:99" s="5" customFormat="1" x14ac:dyDescent="0.3">
      <c r="A58" s="35" t="s">
        <v>62</v>
      </c>
      <c r="B58" s="11" t="s">
        <v>136</v>
      </c>
      <c r="C58" s="5">
        <v>53</v>
      </c>
      <c r="D58" s="25">
        <v>5.7119932735848611</v>
      </c>
      <c r="E58" s="25">
        <v>1.4331555606058743</v>
      </c>
      <c r="F58" s="25">
        <v>2.3233255211820136</v>
      </c>
      <c r="G58" s="25">
        <v>2.347896864613694</v>
      </c>
      <c r="H58" s="25">
        <v>283.53170987077993</v>
      </c>
      <c r="I58" s="25">
        <v>12.248523266194535</v>
      </c>
      <c r="J58" s="25">
        <v>7.5612080659865466</v>
      </c>
      <c r="K58" s="25">
        <v>11.132710380226914</v>
      </c>
      <c r="L58" s="25">
        <v>2.699068888044085</v>
      </c>
      <c r="M58" s="25">
        <v>142.84797368956083</v>
      </c>
      <c r="N58" s="25">
        <v>4.3215952222837561</v>
      </c>
      <c r="O58" s="25">
        <v>0.62829077831660807</v>
      </c>
      <c r="P58" s="25">
        <v>10.940055490937596</v>
      </c>
      <c r="Q58" s="25">
        <v>5.0451783118353903</v>
      </c>
      <c r="R58" s="25">
        <v>1.5443919100336991</v>
      </c>
      <c r="S58" s="25">
        <v>1.3941140877125768</v>
      </c>
      <c r="T58" s="25">
        <v>10.376542611336134</v>
      </c>
      <c r="U58" s="25">
        <v>13.041173943425179</v>
      </c>
      <c r="V58" s="25">
        <v>6.3176786733876149</v>
      </c>
      <c r="W58" s="25">
        <v>0.16201830554363614</v>
      </c>
      <c r="X58" s="25">
        <v>1.0352428141943415E-3</v>
      </c>
      <c r="Y58" s="25">
        <v>3.477555211943594</v>
      </c>
      <c r="Z58" s="25">
        <v>101.34716896151355</v>
      </c>
      <c r="AA58" s="25">
        <v>120.55989439740378</v>
      </c>
      <c r="AB58" s="25">
        <v>2.8213971837212117</v>
      </c>
      <c r="AC58" s="25">
        <v>277.56402506414582</v>
      </c>
      <c r="AD58" s="25">
        <v>19.001141502228066</v>
      </c>
      <c r="AE58" s="25">
        <v>3.8044545382215311</v>
      </c>
      <c r="AF58" s="25">
        <v>34.642971176702112</v>
      </c>
      <c r="AG58" s="25">
        <v>59.37071991650479</v>
      </c>
      <c r="AH58" s="25">
        <v>29.351325738963634</v>
      </c>
      <c r="AI58" s="25">
        <v>6.3299634959740887</v>
      </c>
      <c r="AJ58" s="25">
        <v>2.7023425081903838</v>
      </c>
      <c r="AK58" s="25">
        <v>96.737355014011698</v>
      </c>
      <c r="AL58" s="25">
        <v>401.0511018513044</v>
      </c>
      <c r="AM58" s="25">
        <v>17.727465690797683</v>
      </c>
      <c r="AN58" s="25">
        <v>3.8891572364784723</v>
      </c>
      <c r="AO58" s="25">
        <v>3.4957758393728264</v>
      </c>
      <c r="AP58" s="25">
        <v>91.2304217083514</v>
      </c>
      <c r="AQ58" s="25">
        <v>196.26756790793888</v>
      </c>
      <c r="AR58" s="25">
        <v>32.060485523917798</v>
      </c>
      <c r="AS58" s="25">
        <v>22.97014147627948</v>
      </c>
      <c r="AT58" s="25">
        <v>56.486009004530274</v>
      </c>
      <c r="AU58" s="25">
        <v>12.381419761657984</v>
      </c>
      <c r="AV58" s="25">
        <v>28.155344045088931</v>
      </c>
      <c r="AW58" s="25">
        <v>166.75301266337561</v>
      </c>
      <c r="AX58" s="25">
        <v>845.30466811454164</v>
      </c>
      <c r="AY58" s="40">
        <v>43.108678152778765</v>
      </c>
      <c r="AZ58" s="25">
        <v>6.6604751236730477</v>
      </c>
      <c r="BA58" s="25">
        <v>789.18576729284098</v>
      </c>
      <c r="BB58" s="25">
        <v>60.95671091984584</v>
      </c>
      <c r="BC58" s="25">
        <v>246.79012356927458</v>
      </c>
      <c r="BD58" s="25">
        <v>43.246198133561975</v>
      </c>
      <c r="BE58" s="25">
        <v>4.916015595987993</v>
      </c>
      <c r="BF58" s="25">
        <v>676.29798457555387</v>
      </c>
      <c r="BG58" s="25">
        <v>82.536731008727145</v>
      </c>
      <c r="BH58" s="25">
        <v>45.198176938507501</v>
      </c>
      <c r="BI58" s="25">
        <v>2652.6170622015643</v>
      </c>
      <c r="BJ58" s="25">
        <v>76.064863973035742</v>
      </c>
      <c r="BK58" s="25">
        <v>1420.0686317556774</v>
      </c>
      <c r="BL58" s="25">
        <v>10.699210170689003</v>
      </c>
      <c r="BM58" s="25">
        <v>244.56918146234131</v>
      </c>
      <c r="BN58" s="25">
        <v>16.8016652905619</v>
      </c>
      <c r="BO58" s="25">
        <v>1589.0943610225627</v>
      </c>
      <c r="BP58" s="25">
        <v>6.7428345471960593</v>
      </c>
      <c r="BQ58" s="25">
        <v>10034.803579670324</v>
      </c>
      <c r="BR58" s="25">
        <v>1761.0156824189401</v>
      </c>
      <c r="BS58" s="25">
        <v>264.58281386664521</v>
      </c>
      <c r="BT58" s="25">
        <v>4477.6520204477038</v>
      </c>
      <c r="BU58" s="25">
        <v>4109.6975460689673</v>
      </c>
      <c r="BV58" s="25">
        <v>62.948878005696599</v>
      </c>
      <c r="BW58" s="25">
        <v>8593.9851075231836</v>
      </c>
      <c r="BX58" s="25">
        <v>0</v>
      </c>
      <c r="BY58" s="25">
        <v>40481.332825227408</v>
      </c>
      <c r="BZ58" s="25">
        <v>5122.7291598456031</v>
      </c>
      <c r="CA58" s="25">
        <v>0.21106401224736046</v>
      </c>
      <c r="CB58" s="25">
        <v>0</v>
      </c>
      <c r="CC58" s="25">
        <v>231328.33279449592</v>
      </c>
      <c r="CD58" s="25">
        <v>5.3941564490169629</v>
      </c>
      <c r="CE58" s="25">
        <v>0</v>
      </c>
      <c r="CF58" s="25">
        <v>236456.66717480277</v>
      </c>
      <c r="CG58" s="25">
        <v>276938</v>
      </c>
      <c r="CH58"/>
      <c r="CI58">
        <f t="shared" si="0"/>
        <v>0.85382528643524103</v>
      </c>
      <c r="CJ58"/>
      <c r="CK58"/>
      <c r="CL58"/>
      <c r="CM58"/>
      <c r="CN58"/>
      <c r="CO58"/>
      <c r="CP58"/>
      <c r="CQ58"/>
      <c r="CR58"/>
      <c r="CS58"/>
      <c r="CT58"/>
      <c r="CU58"/>
    </row>
    <row r="59" spans="1:99" s="5" customFormat="1" x14ac:dyDescent="0.3">
      <c r="A59" s="35" t="s">
        <v>63</v>
      </c>
      <c r="B59" s="11" t="s">
        <v>137</v>
      </c>
      <c r="C59" s="5">
        <v>54</v>
      </c>
      <c r="D59" s="25">
        <v>2.0258132149867252</v>
      </c>
      <c r="E59" s="25">
        <v>0.91149838588941379</v>
      </c>
      <c r="F59" s="25">
        <v>0.1822430209748187</v>
      </c>
      <c r="G59" s="25">
        <v>8.6837528400186562E-2</v>
      </c>
      <c r="H59" s="25">
        <v>1.1233094123965901</v>
      </c>
      <c r="I59" s="25">
        <v>0.96245542282347751</v>
      </c>
      <c r="J59" s="25">
        <v>0.24641011305250751</v>
      </c>
      <c r="K59" s="25">
        <v>5.8841823162726774</v>
      </c>
      <c r="L59" s="25">
        <v>0.69258435348848013</v>
      </c>
      <c r="M59" s="25">
        <v>6.4348791007019921</v>
      </c>
      <c r="N59" s="25">
        <v>10.596533914261132</v>
      </c>
      <c r="O59" s="25">
        <v>0.233236784716363</v>
      </c>
      <c r="P59" s="25">
        <v>1.2834554785248247</v>
      </c>
      <c r="Q59" s="25">
        <v>1.4841893026128259</v>
      </c>
      <c r="R59" s="25">
        <v>0.81508008565592727</v>
      </c>
      <c r="S59" s="25">
        <v>1.1191412446894213</v>
      </c>
      <c r="T59" s="25">
        <v>6.5122798659269021</v>
      </c>
      <c r="U59" s="25">
        <v>45.700343912602541</v>
      </c>
      <c r="V59" s="25">
        <v>2.2185371103076563</v>
      </c>
      <c r="W59" s="25">
        <v>5.6895360991163262E-2</v>
      </c>
      <c r="X59" s="25">
        <v>3.8196834771031475E-4</v>
      </c>
      <c r="Y59" s="25">
        <v>0.78824225214414634</v>
      </c>
      <c r="Z59" s="25">
        <v>121.28068740323424</v>
      </c>
      <c r="AA59" s="25">
        <v>1.5730779879621539</v>
      </c>
      <c r="AB59" s="25">
        <v>0.60857889989279024</v>
      </c>
      <c r="AC59" s="25">
        <v>1.21478178808615</v>
      </c>
      <c r="AD59" s="25">
        <v>2.3424463338117487</v>
      </c>
      <c r="AE59" s="25">
        <v>1.1009232019463009</v>
      </c>
      <c r="AF59" s="25">
        <v>1.7264799436406693</v>
      </c>
      <c r="AG59" s="25">
        <v>0.52027498405020067</v>
      </c>
      <c r="AH59" s="25">
        <v>1.7508633322688381</v>
      </c>
      <c r="AI59" s="25">
        <v>9.7763993432559619</v>
      </c>
      <c r="AJ59" s="25">
        <v>1.1422225232476197</v>
      </c>
      <c r="AK59" s="25">
        <v>2.1106986045670366</v>
      </c>
      <c r="AL59" s="25">
        <v>1.6438696962854227</v>
      </c>
      <c r="AM59" s="25">
        <v>3.7261301883896647</v>
      </c>
      <c r="AN59" s="25">
        <v>0.41958233630724334</v>
      </c>
      <c r="AO59" s="25">
        <v>1.9487136635978644</v>
      </c>
      <c r="AP59" s="25">
        <v>13.555992238427523</v>
      </c>
      <c r="AQ59" s="25">
        <v>60.779443523597919</v>
      </c>
      <c r="AR59" s="25">
        <v>9.9283773167969773</v>
      </c>
      <c r="AS59" s="25">
        <v>7.1133118500833632</v>
      </c>
      <c r="AT59" s="25">
        <v>18.017854697654155</v>
      </c>
      <c r="AU59" s="25">
        <v>5.1970877260274131</v>
      </c>
      <c r="AV59" s="25">
        <v>5.462842999503466</v>
      </c>
      <c r="AW59" s="25">
        <v>8.6483781874724102</v>
      </c>
      <c r="AX59" s="25">
        <v>546.41530252215944</v>
      </c>
      <c r="AY59" s="40">
        <v>4.7530342397125187</v>
      </c>
      <c r="AZ59" s="25">
        <v>0.14129981457110569</v>
      </c>
      <c r="BA59" s="25">
        <v>1.7442844113978919</v>
      </c>
      <c r="BB59" s="25">
        <v>5.8243706003479288</v>
      </c>
      <c r="BC59" s="25">
        <v>49.678506678278808</v>
      </c>
      <c r="BD59" s="25">
        <v>11.823150216683201</v>
      </c>
      <c r="BE59" s="25">
        <v>66.255003652261479</v>
      </c>
      <c r="BF59" s="25">
        <v>11.912114357984734</v>
      </c>
      <c r="BG59" s="25">
        <v>116.15928233582866</v>
      </c>
      <c r="BH59" s="25">
        <v>27.293283348842138</v>
      </c>
      <c r="BI59" s="25">
        <v>1117.0738257166572</v>
      </c>
      <c r="BJ59" s="25">
        <v>50.80409460818364</v>
      </c>
      <c r="BK59" s="25">
        <v>261.00112658909984</v>
      </c>
      <c r="BL59" s="25">
        <v>105.7901066333506</v>
      </c>
      <c r="BM59" s="25">
        <v>1522.6839540381463</v>
      </c>
      <c r="BN59" s="25">
        <v>19.496104513616036</v>
      </c>
      <c r="BO59" s="25">
        <v>65.060908493551835</v>
      </c>
      <c r="BP59" s="25">
        <v>0.41834075070169691</v>
      </c>
      <c r="BQ59" s="25">
        <v>861.45928642045214</v>
      </c>
      <c r="BR59" s="25">
        <v>2152.4843865835683</v>
      </c>
      <c r="BS59" s="25">
        <v>1193.0430377192133</v>
      </c>
      <c r="BT59" s="25">
        <v>29.877389256922896</v>
      </c>
      <c r="BU59" s="25">
        <v>116.80605127803531</v>
      </c>
      <c r="BV59" s="25">
        <v>18.994663529403145</v>
      </c>
      <c r="BW59" s="25">
        <v>125.85249391933657</v>
      </c>
      <c r="BX59" s="25">
        <v>0</v>
      </c>
      <c r="BY59" s="25">
        <v>8853.7929511481816</v>
      </c>
      <c r="BZ59" s="25">
        <v>788.70625769899766</v>
      </c>
      <c r="CA59" s="25">
        <v>0.18694241084766214</v>
      </c>
      <c r="CB59" s="25">
        <v>0</v>
      </c>
      <c r="CC59" s="25">
        <v>8410.8482348965717</v>
      </c>
      <c r="CD59" s="25">
        <v>25.38590928757036</v>
      </c>
      <c r="CE59" s="25">
        <v>-175.92029543528432</v>
      </c>
      <c r="CF59" s="25">
        <v>9049.2070488587051</v>
      </c>
      <c r="CG59" s="25">
        <v>17903</v>
      </c>
      <c r="CH59"/>
      <c r="CI59">
        <f t="shared" si="0"/>
        <v>0.50545757967149108</v>
      </c>
      <c r="CJ59"/>
      <c r="CK59"/>
      <c r="CL59"/>
      <c r="CM59"/>
      <c r="CN59"/>
      <c r="CO59"/>
      <c r="CP59"/>
      <c r="CQ59"/>
      <c r="CR59"/>
      <c r="CS59"/>
      <c r="CT59"/>
      <c r="CU59"/>
    </row>
    <row r="60" spans="1:99" s="5" customFormat="1" x14ac:dyDescent="0.3">
      <c r="A60" s="35" t="s">
        <v>64</v>
      </c>
      <c r="B60" s="11" t="s">
        <v>138</v>
      </c>
      <c r="C60" s="5">
        <v>55</v>
      </c>
      <c r="D60" s="25">
        <v>1.4623936840894449</v>
      </c>
      <c r="E60" s="25">
        <v>0.74959420751684103</v>
      </c>
      <c r="F60" s="25">
        <v>6.8320076448985578E-2</v>
      </c>
      <c r="G60" s="25">
        <v>5.2242622594728699E-2</v>
      </c>
      <c r="H60" s="25">
        <v>0.44620480116524386</v>
      </c>
      <c r="I60" s="25">
        <v>0.21020320123129194</v>
      </c>
      <c r="J60" s="25">
        <v>5.4978499854368784E-2</v>
      </c>
      <c r="K60" s="25">
        <v>2.4564688066523765</v>
      </c>
      <c r="L60" s="25">
        <v>8.2689809930710387E-2</v>
      </c>
      <c r="M60" s="25">
        <v>2.3987122170862167</v>
      </c>
      <c r="N60" s="25">
        <v>0.45741897910085544</v>
      </c>
      <c r="O60" s="25">
        <v>0.17031789499433475</v>
      </c>
      <c r="P60" s="25">
        <v>0.44932796357389115</v>
      </c>
      <c r="Q60" s="25">
        <v>0.59337073298647591</v>
      </c>
      <c r="R60" s="25">
        <v>0.43556960979208392</v>
      </c>
      <c r="S60" s="25">
        <v>0.18500157520996946</v>
      </c>
      <c r="T60" s="25">
        <v>0.59992882725414964</v>
      </c>
      <c r="U60" s="25">
        <v>0.12323921035776123</v>
      </c>
      <c r="V60" s="25">
        <v>1.5341917133547167</v>
      </c>
      <c r="W60" s="25">
        <v>3.934469520013345E-2</v>
      </c>
      <c r="X60" s="25">
        <v>2.5139945048761577E-4</v>
      </c>
      <c r="Y60" s="25">
        <v>0.17409640432525381</v>
      </c>
      <c r="Z60" s="25">
        <v>0.78391528750776462</v>
      </c>
      <c r="AA60" s="25">
        <v>0.48273775138454528</v>
      </c>
      <c r="AB60" s="25">
        <v>0.33535901626304171</v>
      </c>
      <c r="AC60" s="25">
        <v>0.39313732829697673</v>
      </c>
      <c r="AD60" s="25">
        <v>0.78057684119533766</v>
      </c>
      <c r="AE60" s="25">
        <v>0.50300547888907288</v>
      </c>
      <c r="AF60" s="25">
        <v>0.57894524481941168</v>
      </c>
      <c r="AG60" s="25">
        <v>0.34079801136237703</v>
      </c>
      <c r="AH60" s="25">
        <v>0.58084694911215107</v>
      </c>
      <c r="AI60" s="25">
        <v>0.86508674310725708</v>
      </c>
      <c r="AJ60" s="25">
        <v>0.53800500638230953</v>
      </c>
      <c r="AK60" s="25">
        <v>0.95309495601876537</v>
      </c>
      <c r="AL60" s="25">
        <v>0.42722378206188683</v>
      </c>
      <c r="AM60" s="25">
        <v>0.41364234608035422</v>
      </c>
      <c r="AN60" s="25">
        <v>0.13424463392557376</v>
      </c>
      <c r="AO60" s="25">
        <v>0.54666389318098263</v>
      </c>
      <c r="AP60" s="25">
        <v>0.47352151811536686</v>
      </c>
      <c r="AQ60" s="25">
        <v>0.44168181465374001</v>
      </c>
      <c r="AR60" s="25">
        <v>7.2149125685024573E-2</v>
      </c>
      <c r="AS60" s="25">
        <v>5.1692156163340747E-2</v>
      </c>
      <c r="AT60" s="25">
        <v>2.9764373500110811E-2</v>
      </c>
      <c r="AU60" s="25">
        <v>0.15822930078479941</v>
      </c>
      <c r="AV60" s="25">
        <v>2.5908657861780524</v>
      </c>
      <c r="AW60" s="25">
        <v>0.92628260906895366</v>
      </c>
      <c r="AX60" s="25">
        <v>10.199374782515363</v>
      </c>
      <c r="AY60" s="40">
        <v>2.0504121453923929</v>
      </c>
      <c r="AZ60" s="25">
        <v>3.5482508774162633E-2</v>
      </c>
      <c r="BA60" s="25">
        <v>9.960429344692634E-2</v>
      </c>
      <c r="BB60" s="25">
        <v>0.69255754942542536</v>
      </c>
      <c r="BC60" s="25">
        <v>4.1351881908847616</v>
      </c>
      <c r="BD60" s="25">
        <v>2.9238603519814714</v>
      </c>
      <c r="BE60" s="25">
        <v>9.6079550360328785</v>
      </c>
      <c r="BF60" s="25">
        <v>5381.713715310616</v>
      </c>
      <c r="BG60" s="25">
        <v>4752.774157203743</v>
      </c>
      <c r="BH60" s="25">
        <v>1.5258283561737078</v>
      </c>
      <c r="BI60" s="25">
        <v>3.262742418281535</v>
      </c>
      <c r="BJ60" s="25">
        <v>0.61568536858566381</v>
      </c>
      <c r="BK60" s="25">
        <v>1.301696306945773</v>
      </c>
      <c r="BL60" s="25">
        <v>0.29090175905228749</v>
      </c>
      <c r="BM60" s="25">
        <v>30979.524346272967</v>
      </c>
      <c r="BN60" s="25">
        <v>0.30813851130669717</v>
      </c>
      <c r="BO60" s="25">
        <v>33.35351992575854</v>
      </c>
      <c r="BP60" s="25">
        <v>2.9272783452186357</v>
      </c>
      <c r="BQ60" s="25">
        <v>1.0633686017038397</v>
      </c>
      <c r="BR60" s="25">
        <v>0.49285669538811927</v>
      </c>
      <c r="BS60" s="25">
        <v>1.1412072610311279</v>
      </c>
      <c r="BT60" s="25">
        <v>0.56259615802322094</v>
      </c>
      <c r="BU60" s="25">
        <v>1.8677590433415223</v>
      </c>
      <c r="BV60" s="25">
        <v>122.96938165559818</v>
      </c>
      <c r="BW60" s="25">
        <v>1.1216462773531788</v>
      </c>
      <c r="BX60" s="25">
        <v>0</v>
      </c>
      <c r="BY60" s="25">
        <v>41342.706597215445</v>
      </c>
      <c r="BZ60" s="25">
        <v>601.25605731477049</v>
      </c>
      <c r="CA60" s="25">
        <v>0.15478027564806435</v>
      </c>
      <c r="CB60" s="25">
        <v>0</v>
      </c>
      <c r="CC60" s="25">
        <v>1925.9268504660065</v>
      </c>
      <c r="CD60" s="25">
        <v>3.9557147292791064</v>
      </c>
      <c r="CE60" s="25">
        <v>0</v>
      </c>
      <c r="CF60" s="25">
        <v>2531.2934027857045</v>
      </c>
      <c r="CG60" s="25">
        <v>43874</v>
      </c>
      <c r="CH60"/>
      <c r="CI60">
        <f t="shared" si="0"/>
        <v>5.7694611906498258E-2</v>
      </c>
      <c r="CJ60"/>
      <c r="CK60"/>
      <c r="CL60"/>
      <c r="CM60"/>
      <c r="CN60"/>
      <c r="CO60"/>
      <c r="CP60"/>
      <c r="CQ60"/>
      <c r="CR60"/>
      <c r="CS60"/>
      <c r="CT60"/>
      <c r="CU60"/>
    </row>
    <row r="61" spans="1:99" s="5" customFormat="1" x14ac:dyDescent="0.3">
      <c r="A61" s="35" t="s">
        <v>65</v>
      </c>
      <c r="B61" s="11" t="s">
        <v>139</v>
      </c>
      <c r="C61" s="5">
        <v>56</v>
      </c>
      <c r="D61" s="25">
        <v>16.095394153161944</v>
      </c>
      <c r="E61" s="25">
        <v>8.1882034910178749</v>
      </c>
      <c r="F61" s="25">
        <v>6.7764694878306342</v>
      </c>
      <c r="G61" s="25">
        <v>23.844407690864713</v>
      </c>
      <c r="H61" s="25">
        <v>652.40866885198704</v>
      </c>
      <c r="I61" s="25">
        <v>96.569418871452896</v>
      </c>
      <c r="J61" s="25">
        <v>21.508600951986914</v>
      </c>
      <c r="K61" s="25">
        <v>649.00720235094684</v>
      </c>
      <c r="L61" s="25">
        <v>121.70130252143487</v>
      </c>
      <c r="M61" s="25">
        <v>1204.8444794955258</v>
      </c>
      <c r="N61" s="25">
        <v>308.95515704815602</v>
      </c>
      <c r="O61" s="25">
        <v>13.943432718020063</v>
      </c>
      <c r="P61" s="25">
        <v>168.84066419224717</v>
      </c>
      <c r="Q61" s="25">
        <v>424.00173967069503</v>
      </c>
      <c r="R61" s="25">
        <v>140.25247036372838</v>
      </c>
      <c r="S61" s="25">
        <v>89.021644706421668</v>
      </c>
      <c r="T61" s="25">
        <v>337.68279629567581</v>
      </c>
      <c r="U61" s="25">
        <v>241.63111814568936</v>
      </c>
      <c r="V61" s="25">
        <v>193.08726778347003</v>
      </c>
      <c r="W61" s="25">
        <v>4.9517668697058719</v>
      </c>
      <c r="X61" s="25">
        <v>3.1640135058985414E-2</v>
      </c>
      <c r="Y61" s="25">
        <v>122.25364147509148</v>
      </c>
      <c r="Z61" s="25">
        <v>248.15978265308127</v>
      </c>
      <c r="AA61" s="25">
        <v>227.37705321043117</v>
      </c>
      <c r="AB61" s="25">
        <v>27.927794598186544</v>
      </c>
      <c r="AC61" s="25">
        <v>214.84180673116987</v>
      </c>
      <c r="AD61" s="25">
        <v>300.51242398043337</v>
      </c>
      <c r="AE61" s="25">
        <v>332.19137837964087</v>
      </c>
      <c r="AF61" s="25">
        <v>174.76699851017469</v>
      </c>
      <c r="AG61" s="25">
        <v>62.175480092054336</v>
      </c>
      <c r="AH61" s="25">
        <v>298.17345964792634</v>
      </c>
      <c r="AI61" s="25">
        <v>718.89968021904997</v>
      </c>
      <c r="AJ61" s="25">
        <v>350.56179704849018</v>
      </c>
      <c r="AK61" s="25">
        <v>359.04944895342072</v>
      </c>
      <c r="AL61" s="25">
        <v>1101.7208063331718</v>
      </c>
      <c r="AM61" s="25">
        <v>1104.5691831587555</v>
      </c>
      <c r="AN61" s="25">
        <v>123.1056115251104</v>
      </c>
      <c r="AO61" s="25">
        <v>380.86497118253624</v>
      </c>
      <c r="AP61" s="25">
        <v>108.3633217234439</v>
      </c>
      <c r="AQ61" s="25">
        <v>306.81574180255535</v>
      </c>
      <c r="AR61" s="25">
        <v>50.118630160969374</v>
      </c>
      <c r="AS61" s="25">
        <v>35.908128232679161</v>
      </c>
      <c r="AT61" s="25">
        <v>20.6759210629581</v>
      </c>
      <c r="AU61" s="25">
        <v>153.34863179159547</v>
      </c>
      <c r="AV61" s="25">
        <v>897.56288759480742</v>
      </c>
      <c r="AW61" s="25">
        <v>933.65266393600314</v>
      </c>
      <c r="AX61" s="25">
        <v>5911.7444429114339</v>
      </c>
      <c r="AY61" s="40">
        <v>828.5013731770631</v>
      </c>
      <c r="AZ61" s="25">
        <v>29.106145415253007</v>
      </c>
      <c r="BA61" s="25">
        <v>53.795880817354956</v>
      </c>
      <c r="BB61" s="25">
        <v>707.67379578570581</v>
      </c>
      <c r="BC61" s="25">
        <v>209.13638542857552</v>
      </c>
      <c r="BD61" s="25">
        <v>680.30335063822633</v>
      </c>
      <c r="BE61" s="25">
        <v>85.316471310573164</v>
      </c>
      <c r="BF61" s="25">
        <v>268.18291236428001</v>
      </c>
      <c r="BG61" s="25">
        <v>17663.068469250476</v>
      </c>
      <c r="BH61" s="25">
        <v>1509.9743635627997</v>
      </c>
      <c r="BI61" s="25">
        <v>7005.6622339306641</v>
      </c>
      <c r="BJ61" s="25">
        <v>516.45216878376425</v>
      </c>
      <c r="BK61" s="25">
        <v>2346.2453974211521</v>
      </c>
      <c r="BL61" s="25">
        <v>307.50402440826031</v>
      </c>
      <c r="BM61" s="25">
        <v>2111.8393730889734</v>
      </c>
      <c r="BN61" s="25">
        <v>107.61295726615778</v>
      </c>
      <c r="BO61" s="25">
        <v>1663.4056929905148</v>
      </c>
      <c r="BP61" s="25">
        <v>236.40062885837148</v>
      </c>
      <c r="BQ61" s="25">
        <v>4486.4823165761836</v>
      </c>
      <c r="BR61" s="25">
        <v>834.69827706691672</v>
      </c>
      <c r="BS61" s="25">
        <v>1159.8556294594989</v>
      </c>
      <c r="BT61" s="25">
        <v>376.67354478307169</v>
      </c>
      <c r="BU61" s="25">
        <v>1044.0377959837992</v>
      </c>
      <c r="BV61" s="25">
        <v>214.00008386922875</v>
      </c>
      <c r="BW61" s="25">
        <v>1459.6282737187817</v>
      </c>
      <c r="BX61" s="25">
        <v>0</v>
      </c>
      <c r="BY61" s="25">
        <v>65194.243078665888</v>
      </c>
      <c r="BZ61" s="25">
        <v>1877.6632270372982</v>
      </c>
      <c r="CA61" s="25">
        <v>1.2080902034348919</v>
      </c>
      <c r="CB61" s="25">
        <v>0</v>
      </c>
      <c r="CC61" s="25">
        <v>99402.1889032771</v>
      </c>
      <c r="CD61" s="25">
        <v>403.69670081928729</v>
      </c>
      <c r="CE61" s="25">
        <v>0</v>
      </c>
      <c r="CF61" s="25">
        <v>101684.75692133712</v>
      </c>
      <c r="CG61" s="25">
        <v>166879</v>
      </c>
      <c r="CH61"/>
      <c r="CI61">
        <f t="shared" si="0"/>
        <v>0.6093322522386706</v>
      </c>
      <c r="CJ61"/>
      <c r="CK61"/>
      <c r="CL61"/>
      <c r="CM61"/>
      <c r="CN61"/>
      <c r="CO61"/>
      <c r="CP61"/>
      <c r="CQ61"/>
      <c r="CR61"/>
      <c r="CS61"/>
      <c r="CT61"/>
      <c r="CU61"/>
    </row>
    <row r="62" spans="1:99" s="5" customFormat="1" x14ac:dyDescent="0.3">
      <c r="A62" s="35" t="s">
        <v>66</v>
      </c>
      <c r="B62" s="11" t="s">
        <v>140</v>
      </c>
      <c r="C62" s="5">
        <v>57</v>
      </c>
      <c r="D62" s="25">
        <v>38.728256353026197</v>
      </c>
      <c r="E62" s="25">
        <v>19.623890088850146</v>
      </c>
      <c r="F62" s="25">
        <v>1.7845164544971936</v>
      </c>
      <c r="G62" s="25">
        <v>1.6246711609089481</v>
      </c>
      <c r="H62" s="25">
        <v>62.83360492559887</v>
      </c>
      <c r="I62" s="25">
        <v>325.52937927100385</v>
      </c>
      <c r="J62" s="25">
        <v>32.157036189811031</v>
      </c>
      <c r="K62" s="25">
        <v>572.69611490078648</v>
      </c>
      <c r="L62" s="25">
        <v>13.936163515011824</v>
      </c>
      <c r="M62" s="25">
        <v>988.09711363429676</v>
      </c>
      <c r="N62" s="25">
        <v>80.711040888771251</v>
      </c>
      <c r="O62" s="25">
        <v>34.102023776982904</v>
      </c>
      <c r="P62" s="25">
        <v>43.84524496183181</v>
      </c>
      <c r="Q62" s="25">
        <v>54.641887062058103</v>
      </c>
      <c r="R62" s="25">
        <v>18.522191257457813</v>
      </c>
      <c r="S62" s="25">
        <v>16.423592180781757</v>
      </c>
      <c r="T62" s="25">
        <v>231.89467735719307</v>
      </c>
      <c r="U62" s="25">
        <v>4.3449913433617811</v>
      </c>
      <c r="V62" s="25">
        <v>67.015268949577163</v>
      </c>
      <c r="W62" s="25">
        <v>1.7186218043184394</v>
      </c>
      <c r="X62" s="25">
        <v>1.0981418841954195E-2</v>
      </c>
      <c r="Y62" s="25">
        <v>3.8632430637546182</v>
      </c>
      <c r="Z62" s="25">
        <v>398.49709219225417</v>
      </c>
      <c r="AA62" s="25">
        <v>256.29127837608087</v>
      </c>
      <c r="AB62" s="25">
        <v>28.507674842669076</v>
      </c>
      <c r="AC62" s="25">
        <v>445.72369258532217</v>
      </c>
      <c r="AD62" s="25">
        <v>165.08976778260086</v>
      </c>
      <c r="AE62" s="25">
        <v>90.365383280495251</v>
      </c>
      <c r="AF62" s="25">
        <v>212.02172640770348</v>
      </c>
      <c r="AG62" s="25">
        <v>37.230247315691351</v>
      </c>
      <c r="AH62" s="25">
        <v>117.79315570050633</v>
      </c>
      <c r="AI62" s="25">
        <v>216.72525779514413</v>
      </c>
      <c r="AJ62" s="25">
        <v>353.89937825485384</v>
      </c>
      <c r="AK62" s="25">
        <v>201.36635389025892</v>
      </c>
      <c r="AL62" s="25">
        <v>898.8604704715973</v>
      </c>
      <c r="AM62" s="25">
        <v>148.09881454280236</v>
      </c>
      <c r="AN62" s="25">
        <v>56.925881015558012</v>
      </c>
      <c r="AO62" s="25">
        <v>139.64198790949871</v>
      </c>
      <c r="AP62" s="25">
        <v>104.28166841144629</v>
      </c>
      <c r="AQ62" s="25">
        <v>1178.9423337780784</v>
      </c>
      <c r="AR62" s="25">
        <v>192.58130127416271</v>
      </c>
      <c r="AS62" s="25">
        <v>137.97731580369876</v>
      </c>
      <c r="AT62" s="25">
        <v>79.463750393803863</v>
      </c>
      <c r="AU62" s="25">
        <v>386.97546061087439</v>
      </c>
      <c r="AV62" s="25">
        <v>450.07065072931778</v>
      </c>
      <c r="AW62" s="25">
        <v>448.45671081407789</v>
      </c>
      <c r="AX62" s="25">
        <v>9249.1320622787753</v>
      </c>
      <c r="AY62" s="40">
        <v>950.631560981608</v>
      </c>
      <c r="AZ62" s="25">
        <v>1.3063107684784032</v>
      </c>
      <c r="BA62" s="25">
        <v>728.46924818059244</v>
      </c>
      <c r="BB62" s="25">
        <v>1386.1741189130844</v>
      </c>
      <c r="BC62" s="25">
        <v>77.741748066025139</v>
      </c>
      <c r="BD62" s="25">
        <v>144.72223065325733</v>
      </c>
      <c r="BE62" s="25">
        <v>432.95244089647503</v>
      </c>
      <c r="BF62" s="25">
        <v>1134.1664620907934</v>
      </c>
      <c r="BG62" s="25">
        <v>3003.669536936146</v>
      </c>
      <c r="BH62" s="25">
        <v>10878.656025888309</v>
      </c>
      <c r="BI62" s="25">
        <v>15800.579762554977</v>
      </c>
      <c r="BJ62" s="25">
        <v>374.86157953550168</v>
      </c>
      <c r="BK62" s="25">
        <v>2785.733315785762</v>
      </c>
      <c r="BL62" s="25">
        <v>60.919595416456183</v>
      </c>
      <c r="BM62" s="25">
        <v>8243.9433594445964</v>
      </c>
      <c r="BN62" s="25">
        <v>406.71786948488955</v>
      </c>
      <c r="BO62" s="25">
        <v>1063.1863023875724</v>
      </c>
      <c r="BP62" s="25">
        <v>189.14503965930257</v>
      </c>
      <c r="BQ62" s="25">
        <v>11300.844400055425</v>
      </c>
      <c r="BR62" s="25">
        <v>1406.7020513370592</v>
      </c>
      <c r="BS62" s="25">
        <v>442.48724077401943</v>
      </c>
      <c r="BT62" s="25">
        <v>2218.1458266342102</v>
      </c>
      <c r="BU62" s="25">
        <v>24.347565770161836</v>
      </c>
      <c r="BV62" s="25">
        <v>173.94851766525323</v>
      </c>
      <c r="BW62" s="25">
        <v>1533.2824737564472</v>
      </c>
      <c r="BX62" s="25">
        <v>0</v>
      </c>
      <c r="BY62" s="25">
        <v>83372.358510652411</v>
      </c>
      <c r="BZ62" s="25">
        <v>7680.9940767048547</v>
      </c>
      <c r="CA62" s="25">
        <v>2.1347617238733032</v>
      </c>
      <c r="CB62" s="25">
        <v>0</v>
      </c>
      <c r="CC62" s="25">
        <v>2709.5850052853557</v>
      </c>
      <c r="CD62" s="25">
        <v>73604.041317383584</v>
      </c>
      <c r="CE62" s="25">
        <v>40.886328261854104</v>
      </c>
      <c r="CF62" s="25">
        <v>84037.641489359507</v>
      </c>
      <c r="CG62" s="25">
        <v>167410</v>
      </c>
      <c r="CH62"/>
      <c r="CI62">
        <f t="shared" si="0"/>
        <v>0.50198698697425193</v>
      </c>
      <c r="CJ62"/>
      <c r="CK62"/>
      <c r="CL62"/>
      <c r="CM62"/>
      <c r="CN62"/>
      <c r="CO62"/>
      <c r="CP62"/>
      <c r="CQ62"/>
      <c r="CR62"/>
      <c r="CS62"/>
      <c r="CT62"/>
      <c r="CU62"/>
    </row>
    <row r="63" spans="1:99" s="5" customFormat="1" x14ac:dyDescent="0.3">
      <c r="A63" s="35" t="s">
        <v>67</v>
      </c>
      <c r="B63" s="13" t="s">
        <v>141</v>
      </c>
      <c r="C63" s="5">
        <v>58</v>
      </c>
      <c r="D63" s="25">
        <v>6602.3352820543769</v>
      </c>
      <c r="E63" s="25">
        <v>2359.416172989927</v>
      </c>
      <c r="F63" s="25">
        <v>582.05123161848223</v>
      </c>
      <c r="G63" s="25">
        <v>641.68060783197473</v>
      </c>
      <c r="H63" s="25">
        <v>4232.4863364409757</v>
      </c>
      <c r="I63" s="25">
        <v>1860.5817647822951</v>
      </c>
      <c r="J63" s="25">
        <v>575.34196988331621</v>
      </c>
      <c r="K63" s="25">
        <v>5796.4200030124593</v>
      </c>
      <c r="L63" s="25">
        <v>1719.6327803524207</v>
      </c>
      <c r="M63" s="25">
        <v>5838.5102103517693</v>
      </c>
      <c r="N63" s="25">
        <v>1514.6829725899984</v>
      </c>
      <c r="O63" s="25">
        <v>313.08935110493485</v>
      </c>
      <c r="P63" s="25">
        <v>884.74338212528244</v>
      </c>
      <c r="Q63" s="25">
        <v>1115.5440813563603</v>
      </c>
      <c r="R63" s="25">
        <v>819.5313960375089</v>
      </c>
      <c r="S63" s="25">
        <v>581.7556366009253</v>
      </c>
      <c r="T63" s="25">
        <v>2603.3534922175927</v>
      </c>
      <c r="U63" s="25">
        <v>408.75910421460236</v>
      </c>
      <c r="V63" s="25">
        <v>3201.7427415923166</v>
      </c>
      <c r="W63" s="25">
        <v>82.109420342087134</v>
      </c>
      <c r="X63" s="25">
        <v>0.52465174908223344</v>
      </c>
      <c r="Y63" s="25">
        <v>1273.2515914686749</v>
      </c>
      <c r="Z63" s="25">
        <v>4101.6545644029175</v>
      </c>
      <c r="AA63" s="25">
        <v>1476.4253339379834</v>
      </c>
      <c r="AB63" s="25">
        <v>895.66042481235115</v>
      </c>
      <c r="AC63" s="25">
        <v>1229.2177816781229</v>
      </c>
      <c r="AD63" s="25">
        <v>1995.4977187302229</v>
      </c>
      <c r="AE63" s="25">
        <v>1991.9790980381915</v>
      </c>
      <c r="AF63" s="25">
        <v>3017.80946863692</v>
      </c>
      <c r="AG63" s="25">
        <v>1251.9992517617609</v>
      </c>
      <c r="AH63" s="25">
        <v>1622.2480053415395</v>
      </c>
      <c r="AI63" s="25">
        <v>1922.9433090079483</v>
      </c>
      <c r="AJ63" s="25">
        <v>1439.5881967115095</v>
      </c>
      <c r="AK63" s="25">
        <v>2268.0871422695545</v>
      </c>
      <c r="AL63" s="25">
        <v>3572.3719476650072</v>
      </c>
      <c r="AM63" s="25">
        <v>1433.9013754787461</v>
      </c>
      <c r="AN63" s="25">
        <v>812.70921780385788</v>
      </c>
      <c r="AO63" s="25">
        <v>1041.6387753436397</v>
      </c>
      <c r="AP63" s="25">
        <v>758.13782670701926</v>
      </c>
      <c r="AQ63" s="25">
        <v>5797.2326472892601</v>
      </c>
      <c r="AR63" s="25">
        <v>946.98321963403237</v>
      </c>
      <c r="AS63" s="25">
        <v>678.4781382811143</v>
      </c>
      <c r="AT63" s="25">
        <v>390.66810553707404</v>
      </c>
      <c r="AU63" s="25">
        <v>1504.0576525349597</v>
      </c>
      <c r="AV63" s="25">
        <v>8139.5713778785139</v>
      </c>
      <c r="AW63" s="25">
        <v>2995.6862972509057</v>
      </c>
      <c r="AX63" s="25">
        <v>30959.876911436764</v>
      </c>
      <c r="AY63" s="40">
        <v>9636.0336623211424</v>
      </c>
      <c r="AZ63" s="25">
        <v>656.23570569576134</v>
      </c>
      <c r="BA63" s="25">
        <v>1554.5954009003133</v>
      </c>
      <c r="BB63" s="25">
        <v>3712.8598792394764</v>
      </c>
      <c r="BC63" s="25">
        <v>692.29050557282415</v>
      </c>
      <c r="BD63" s="25">
        <v>3512.5449256361298</v>
      </c>
      <c r="BE63" s="25">
        <v>442.37578934724803</v>
      </c>
      <c r="BF63" s="25">
        <v>1055.7912479525148</v>
      </c>
      <c r="BG63" s="25">
        <v>7280.4945532615111</v>
      </c>
      <c r="BH63" s="25">
        <v>3145.4131626801791</v>
      </c>
      <c r="BI63" s="25">
        <v>83013.598112740801</v>
      </c>
      <c r="BJ63" s="25">
        <v>22883.602366002386</v>
      </c>
      <c r="BK63" s="25">
        <v>4905.4915526766945</v>
      </c>
      <c r="BL63" s="25">
        <v>1337.8200810580283</v>
      </c>
      <c r="BM63" s="25">
        <v>1032.8942421431939</v>
      </c>
      <c r="BN63" s="25">
        <v>1398.2646266221736</v>
      </c>
      <c r="BO63" s="25">
        <v>5741.1878909335273</v>
      </c>
      <c r="BP63" s="25">
        <v>1069.0797960578209</v>
      </c>
      <c r="BQ63" s="25">
        <v>55942.129987645218</v>
      </c>
      <c r="BR63" s="25">
        <v>788.84308051837559</v>
      </c>
      <c r="BS63" s="25">
        <v>2530.70833702459</v>
      </c>
      <c r="BT63" s="25">
        <v>426.36690677848236</v>
      </c>
      <c r="BU63" s="25">
        <v>5587.23100290404</v>
      </c>
      <c r="BV63" s="25">
        <v>1035.141164827857</v>
      </c>
      <c r="BW63" s="25">
        <v>2639.5184822086894</v>
      </c>
      <c r="BX63" s="25">
        <v>0</v>
      </c>
      <c r="BY63" s="25">
        <v>347272.48043163639</v>
      </c>
      <c r="BZ63" s="25">
        <v>6672.8521437571972</v>
      </c>
      <c r="CA63" s="25">
        <v>2246.9377218986174</v>
      </c>
      <c r="CB63" s="25">
        <v>305.59708295350953</v>
      </c>
      <c r="CC63" s="25">
        <v>291803.17950075812</v>
      </c>
      <c r="CD63" s="25">
        <v>707.64795215834283</v>
      </c>
      <c r="CE63" s="25">
        <v>0.30516711532505897</v>
      </c>
      <c r="CF63" s="25">
        <v>301736.51956864109</v>
      </c>
      <c r="CG63" s="25">
        <v>649009</v>
      </c>
      <c r="CH63"/>
      <c r="CI63">
        <f t="shared" si="0"/>
        <v>0.46491885254078308</v>
      </c>
      <c r="CJ63"/>
      <c r="CK63"/>
      <c r="CL63"/>
      <c r="CM63"/>
      <c r="CN63"/>
      <c r="CO63"/>
      <c r="CP63"/>
      <c r="CQ63"/>
      <c r="CR63"/>
      <c r="CS63"/>
      <c r="CT63"/>
      <c r="CU63"/>
    </row>
    <row r="64" spans="1:99" s="5" customFormat="1" x14ac:dyDescent="0.3">
      <c r="A64" s="35" t="s">
        <v>68</v>
      </c>
      <c r="B64" s="11" t="s">
        <v>142</v>
      </c>
      <c r="C64" s="5">
        <v>59</v>
      </c>
      <c r="D64" s="25">
        <v>5.7983309880035012</v>
      </c>
      <c r="E64" s="25">
        <v>5.0735396145030638</v>
      </c>
      <c r="F64" s="25">
        <v>6.5231223615039395</v>
      </c>
      <c r="G64" s="25">
        <v>18.84457571101138</v>
      </c>
      <c r="H64" s="25">
        <v>387.76338482273417</v>
      </c>
      <c r="I64" s="25">
        <v>37.689151422022761</v>
      </c>
      <c r="J64" s="25">
        <v>15.945410217009631</v>
      </c>
      <c r="K64" s="25">
        <v>575.48435055934749</v>
      </c>
      <c r="L64" s="25">
        <v>107.26912327806478</v>
      </c>
      <c r="M64" s="25">
        <v>441.39794646176659</v>
      </c>
      <c r="N64" s="25">
        <v>55.808935759533703</v>
      </c>
      <c r="O64" s="25">
        <v>16.670201590510068</v>
      </c>
      <c r="P64" s="25">
        <v>251.50260660465185</v>
      </c>
      <c r="Q64" s="25">
        <v>306.58675099068518</v>
      </c>
      <c r="R64" s="25">
        <v>78.277468338047271</v>
      </c>
      <c r="S64" s="25">
        <v>34.065194554520573</v>
      </c>
      <c r="T64" s="25">
        <v>142.05910920608576</v>
      </c>
      <c r="U64" s="25">
        <v>42.037899663025385</v>
      </c>
      <c r="V64" s="25">
        <v>154.02916653595349</v>
      </c>
      <c r="W64" s="25">
        <v>3.9501129855773858</v>
      </c>
      <c r="X64" s="25">
        <v>2.5239901564538786E-2</v>
      </c>
      <c r="Y64" s="25">
        <v>173.94992964010504</v>
      </c>
      <c r="Z64" s="25">
        <v>152.20618843509192</v>
      </c>
      <c r="AA64" s="25">
        <v>87.699756193552957</v>
      </c>
      <c r="AB64" s="25">
        <v>144.95827470008754</v>
      </c>
      <c r="AC64" s="25">
        <v>223.23574303813481</v>
      </c>
      <c r="AD64" s="25">
        <v>365.29485224422064</v>
      </c>
      <c r="AE64" s="25">
        <v>150.75660568809104</v>
      </c>
      <c r="AF64" s="25">
        <v>268.17280819516191</v>
      </c>
      <c r="AG64" s="25">
        <v>10.147079229006128</v>
      </c>
      <c r="AH64" s="25">
        <v>218.16220342363175</v>
      </c>
      <c r="AI64" s="25">
        <v>160.17889354359673</v>
      </c>
      <c r="AJ64" s="25">
        <v>93.498087181556457</v>
      </c>
      <c r="AK64" s="25">
        <v>180.47305200160898</v>
      </c>
      <c r="AL64" s="25">
        <v>100.74600091656083</v>
      </c>
      <c r="AM64" s="25">
        <v>187.72096573661335</v>
      </c>
      <c r="AN64" s="25">
        <v>51.460187518531079</v>
      </c>
      <c r="AO64" s="25">
        <v>202.94158458012254</v>
      </c>
      <c r="AP64" s="25">
        <v>49.285813398029759</v>
      </c>
      <c r="AQ64" s="25">
        <v>811.49347584892712</v>
      </c>
      <c r="AR64" s="25">
        <v>132.55819650963286</v>
      </c>
      <c r="AS64" s="25">
        <v>94.973001122992287</v>
      </c>
      <c r="AT64" s="25">
        <v>54.685509130608025</v>
      </c>
      <c r="AU64" s="25">
        <v>268.89759956866237</v>
      </c>
      <c r="AV64" s="25">
        <v>914.68671335755243</v>
      </c>
      <c r="AW64" s="25">
        <v>3108.6302009433775</v>
      </c>
      <c r="AX64" s="25">
        <v>33878.198380157461</v>
      </c>
      <c r="AY64" s="40">
        <v>1079.9391465156523</v>
      </c>
      <c r="AZ64" s="25">
        <v>62.33205812103764</v>
      </c>
      <c r="BA64" s="25">
        <v>89.87413031405427</v>
      </c>
      <c r="BB64" s="25">
        <v>2450.5196338049795</v>
      </c>
      <c r="BC64" s="25">
        <v>1042.2499950936294</v>
      </c>
      <c r="BD64" s="25">
        <v>4818.4130510309096</v>
      </c>
      <c r="BE64" s="25">
        <v>151.48139706159148</v>
      </c>
      <c r="BF64" s="25">
        <v>393.56171581073767</v>
      </c>
      <c r="BG64" s="25">
        <v>1869.9617436311291</v>
      </c>
      <c r="BH64" s="25">
        <v>1554.6774961584388</v>
      </c>
      <c r="BI64" s="25">
        <v>4437.8975799431801</v>
      </c>
      <c r="BJ64" s="25">
        <v>1844.594045558614</v>
      </c>
      <c r="BK64" s="25">
        <v>4400.9332198946577</v>
      </c>
      <c r="BL64" s="25">
        <v>687.82701345191549</v>
      </c>
      <c r="BM64" s="25">
        <v>919.76025297205558</v>
      </c>
      <c r="BN64" s="25">
        <v>932.80649769506329</v>
      </c>
      <c r="BO64" s="25">
        <v>2970.195048604794</v>
      </c>
      <c r="BP64" s="25">
        <v>220.33657754413304</v>
      </c>
      <c r="BQ64" s="25">
        <v>2312.8092728398969</v>
      </c>
      <c r="BR64" s="25">
        <v>513.15229243830993</v>
      </c>
      <c r="BS64" s="25">
        <v>4061.7308570964528</v>
      </c>
      <c r="BT64" s="25">
        <v>367.46922636472192</v>
      </c>
      <c r="BU64" s="25">
        <v>2169.3005808868102</v>
      </c>
      <c r="BV64" s="25">
        <v>3154.2920574739046</v>
      </c>
      <c r="BW64" s="25">
        <v>3091.9599993528677</v>
      </c>
      <c r="BX64" s="25">
        <v>0</v>
      </c>
      <c r="BY64" s="25">
        <v>90369.887613528597</v>
      </c>
      <c r="BZ64" s="25">
        <v>3047.2543167395993</v>
      </c>
      <c r="CA64" s="25">
        <v>0</v>
      </c>
      <c r="CB64" s="25">
        <v>0</v>
      </c>
      <c r="CC64" s="25">
        <v>546334.85807424737</v>
      </c>
      <c r="CD64" s="25">
        <v>0</v>
      </c>
      <c r="CE64" s="25">
        <v>0</v>
      </c>
      <c r="CF64" s="25">
        <v>549382.11239098699</v>
      </c>
      <c r="CG64" s="25">
        <v>639752</v>
      </c>
      <c r="CH64"/>
      <c r="CI64">
        <f t="shared" si="0"/>
        <v>0.85874231325730443</v>
      </c>
      <c r="CJ64"/>
      <c r="CK64"/>
      <c r="CL64"/>
      <c r="CM64"/>
      <c r="CN64"/>
      <c r="CO64"/>
      <c r="CP64"/>
      <c r="CQ64"/>
      <c r="CR64"/>
      <c r="CS64"/>
      <c r="CT64"/>
      <c r="CU64"/>
    </row>
    <row r="65" spans="1:99" s="5" customFormat="1" x14ac:dyDescent="0.3">
      <c r="A65" s="35" t="s">
        <v>69</v>
      </c>
      <c r="B65" s="11" t="s">
        <v>143</v>
      </c>
      <c r="C65" s="5">
        <v>60</v>
      </c>
      <c r="D65" s="25">
        <v>23.272916355466521</v>
      </c>
      <c r="E65" s="25">
        <v>9.8925019398190379</v>
      </c>
      <c r="F65" s="25">
        <v>33.75296003180771</v>
      </c>
      <c r="G65" s="25">
        <v>517.28380854943907</v>
      </c>
      <c r="H65" s="25">
        <v>10436.079361689524</v>
      </c>
      <c r="I65" s="25">
        <v>2747.4792190050885</v>
      </c>
      <c r="J65" s="25">
        <v>302.08222788788345</v>
      </c>
      <c r="K65" s="25">
        <v>4121.9710954896464</v>
      </c>
      <c r="L65" s="25">
        <v>536.00213099611119</v>
      </c>
      <c r="M65" s="25">
        <v>7390.5518425056971</v>
      </c>
      <c r="N65" s="25">
        <v>2064.1462020933764</v>
      </c>
      <c r="O65" s="25">
        <v>742.38887776228273</v>
      </c>
      <c r="P65" s="25">
        <v>371.02640888108976</v>
      </c>
      <c r="Q65" s="25">
        <v>373.04490533874758</v>
      </c>
      <c r="R65" s="25">
        <v>253.95314627965797</v>
      </c>
      <c r="S65" s="25">
        <v>305.81976744430563</v>
      </c>
      <c r="T65" s="25">
        <v>2410.6918564129737</v>
      </c>
      <c r="U65" s="25">
        <v>85.225416994027881</v>
      </c>
      <c r="V65" s="25">
        <v>6216.4726316737288</v>
      </c>
      <c r="W65" s="25">
        <v>159.42285360045116</v>
      </c>
      <c r="X65" s="25">
        <v>1.0186587438650456</v>
      </c>
      <c r="Y65" s="25">
        <v>660.1723984385161</v>
      </c>
      <c r="Z65" s="25">
        <v>3720.7685424709784</v>
      </c>
      <c r="AA65" s="25">
        <v>5223.1735154292974</v>
      </c>
      <c r="AB65" s="25">
        <v>1777.1204292248131</v>
      </c>
      <c r="AC65" s="25">
        <v>5256.8238125519611</v>
      </c>
      <c r="AD65" s="25">
        <v>1812.4679928897315</v>
      </c>
      <c r="AE65" s="25">
        <v>2141.341301527993</v>
      </c>
      <c r="AF65" s="25">
        <v>1388.783376760673</v>
      </c>
      <c r="AG65" s="25">
        <v>590.29317007141174</v>
      </c>
      <c r="AH65" s="25">
        <v>853.83422585465985</v>
      </c>
      <c r="AI65" s="25">
        <v>2979.6333944393905</v>
      </c>
      <c r="AJ65" s="25">
        <v>1734.8444428229632</v>
      </c>
      <c r="AK65" s="25">
        <v>1710.6961873718815</v>
      </c>
      <c r="AL65" s="25">
        <v>2390.9339876713798</v>
      </c>
      <c r="AM65" s="25">
        <v>1188.3368383155353</v>
      </c>
      <c r="AN65" s="25">
        <v>242.00158072399486</v>
      </c>
      <c r="AO65" s="25">
        <v>466.76289230098701</v>
      </c>
      <c r="AP65" s="25">
        <v>738.40724027323449</v>
      </c>
      <c r="AQ65" s="25">
        <v>991.56319941165179</v>
      </c>
      <c r="AR65" s="25">
        <v>161.9727494442601</v>
      </c>
      <c r="AS65" s="25">
        <v>116.04743063735026</v>
      </c>
      <c r="AT65" s="25">
        <v>66.820177868066438</v>
      </c>
      <c r="AU65" s="25">
        <v>1440.4557319132934</v>
      </c>
      <c r="AV65" s="25">
        <v>3953.3066227006584</v>
      </c>
      <c r="AW65" s="25">
        <v>7186.3214217680079</v>
      </c>
      <c r="AX65" s="25">
        <v>27986.876183019751</v>
      </c>
      <c r="AY65" s="40">
        <v>2468.8984850465076</v>
      </c>
      <c r="AZ65" s="25">
        <v>129.40306220419515</v>
      </c>
      <c r="BA65" s="25">
        <v>501.47123014316753</v>
      </c>
      <c r="BB65" s="25">
        <v>2268.5182184061769</v>
      </c>
      <c r="BC65" s="25">
        <v>275.05984668023166</v>
      </c>
      <c r="BD65" s="25">
        <v>1285.3570635588956</v>
      </c>
      <c r="BE65" s="25">
        <v>404.16716929115779</v>
      </c>
      <c r="BF65" s="25">
        <v>2879.7173761172357</v>
      </c>
      <c r="BG65" s="25">
        <v>3346.7482573272928</v>
      </c>
      <c r="BH65" s="25">
        <v>3250.5904801306674</v>
      </c>
      <c r="BI65" s="25">
        <v>16159.323787216927</v>
      </c>
      <c r="BJ65" s="25">
        <v>2774.4413646386806</v>
      </c>
      <c r="BK65" s="25">
        <v>16667.53661750826</v>
      </c>
      <c r="BL65" s="25">
        <v>4649.5690869474884</v>
      </c>
      <c r="BM65" s="25">
        <v>454.01877533068551</v>
      </c>
      <c r="BN65" s="25">
        <v>954.16807430047584</v>
      </c>
      <c r="BO65" s="25">
        <v>4426.9768774596114</v>
      </c>
      <c r="BP65" s="25">
        <v>1461.5696646316403</v>
      </c>
      <c r="BQ65" s="25">
        <v>5306.5420043233789</v>
      </c>
      <c r="BR65" s="25">
        <v>236.70659129242065</v>
      </c>
      <c r="BS65" s="25">
        <v>2501.7124421804237</v>
      </c>
      <c r="BT65" s="25">
        <v>306.63607693679575</v>
      </c>
      <c r="BU65" s="25">
        <v>3383.9809251620154</v>
      </c>
      <c r="BV65" s="25">
        <v>1153.5022710254257</v>
      </c>
      <c r="BW65" s="25">
        <v>3450.1949589799742</v>
      </c>
      <c r="BX65" s="25">
        <v>0</v>
      </c>
      <c r="BY65" s="25">
        <v>196578.14834241717</v>
      </c>
      <c r="BZ65" s="25">
        <v>13956.507962754715</v>
      </c>
      <c r="CA65" s="25">
        <v>0.21307414569733535</v>
      </c>
      <c r="CB65" s="25">
        <v>0</v>
      </c>
      <c r="CC65" s="25">
        <v>18072.685091320462</v>
      </c>
      <c r="CD65" s="25">
        <v>5.4455293675790299</v>
      </c>
      <c r="CE65" s="25">
        <v>0</v>
      </c>
      <c r="CF65" s="25">
        <v>32034.851657588457</v>
      </c>
      <c r="CG65" s="25">
        <v>228613</v>
      </c>
      <c r="CH65"/>
      <c r="CI65">
        <f t="shared" si="0"/>
        <v>0.14012699040556947</v>
      </c>
      <c r="CJ65"/>
      <c r="CK65"/>
      <c r="CL65"/>
      <c r="CM65"/>
      <c r="CN65"/>
      <c r="CO65"/>
      <c r="CP65"/>
      <c r="CQ65"/>
      <c r="CR65"/>
      <c r="CS65"/>
      <c r="CT65"/>
      <c r="CU65"/>
    </row>
    <row r="66" spans="1:99" s="5" customFormat="1" x14ac:dyDescent="0.3">
      <c r="A66" s="35" t="s">
        <v>70</v>
      </c>
      <c r="B66" s="11" t="s">
        <v>144</v>
      </c>
      <c r="C66" s="5">
        <v>61</v>
      </c>
      <c r="D66" s="25">
        <v>718.3966543563281</v>
      </c>
      <c r="E66" s="25">
        <v>23.732097147130816</v>
      </c>
      <c r="F66" s="25">
        <v>0.33195957003182014</v>
      </c>
      <c r="G66" s="25">
        <v>36.083974207080644</v>
      </c>
      <c r="H66" s="25">
        <v>1572.31505554708</v>
      </c>
      <c r="I66" s="25">
        <v>395.45980305987706</v>
      </c>
      <c r="J66" s="25">
        <v>95.707760847209641</v>
      </c>
      <c r="K66" s="25">
        <v>785.13914623763173</v>
      </c>
      <c r="L66" s="25">
        <v>185.91799650692712</v>
      </c>
      <c r="M66" s="25">
        <v>809.50784483494692</v>
      </c>
      <c r="N66" s="25">
        <v>160.01503692457311</v>
      </c>
      <c r="O66" s="25">
        <v>71.356507289358348</v>
      </c>
      <c r="P66" s="25">
        <v>43.626953711115618</v>
      </c>
      <c r="Q66" s="25">
        <v>103.42656028365677</v>
      </c>
      <c r="R66" s="25">
        <v>76.930976899851828</v>
      </c>
      <c r="S66" s="25">
        <v>43.674958739737306</v>
      </c>
      <c r="T66" s="25">
        <v>366.53851753609621</v>
      </c>
      <c r="U66" s="25">
        <v>24.554571734664631</v>
      </c>
      <c r="V66" s="25">
        <v>127.17244912977122</v>
      </c>
      <c r="W66" s="25">
        <v>3.2615066084491526</v>
      </c>
      <c r="X66" s="25">
        <v>2.6308599745689679E-2</v>
      </c>
      <c r="Y66" s="25">
        <v>180.63405196627349</v>
      </c>
      <c r="Z66" s="25">
        <v>557.88364504603817</v>
      </c>
      <c r="AA66" s="25">
        <v>416.34629959775185</v>
      </c>
      <c r="AB66" s="25">
        <v>288.72097384254465</v>
      </c>
      <c r="AC66" s="25">
        <v>651.88767553795071</v>
      </c>
      <c r="AD66" s="25">
        <v>635.73941383452689</v>
      </c>
      <c r="AE66" s="25">
        <v>341.38675864871368</v>
      </c>
      <c r="AF66" s="25">
        <v>312.49243234572816</v>
      </c>
      <c r="AG66" s="25">
        <v>200.18865828079646</v>
      </c>
      <c r="AH66" s="25">
        <v>313.12335878154499</v>
      </c>
      <c r="AI66" s="25">
        <v>432.6866836297246</v>
      </c>
      <c r="AJ66" s="25">
        <v>253.36048053837018</v>
      </c>
      <c r="AK66" s="25">
        <v>1193.2459282038503</v>
      </c>
      <c r="AL66" s="25">
        <v>1225.4392350205328</v>
      </c>
      <c r="AM66" s="25">
        <v>514.61505318396314</v>
      </c>
      <c r="AN66" s="25">
        <v>118.63723635374754</v>
      </c>
      <c r="AO66" s="25">
        <v>180.22440117634508</v>
      </c>
      <c r="AP66" s="25">
        <v>194.58671601245075</v>
      </c>
      <c r="AQ66" s="25">
        <v>1657.3160657788428</v>
      </c>
      <c r="AR66" s="25">
        <v>270.72408499188293</v>
      </c>
      <c r="AS66" s="25">
        <v>193.96370428204139</v>
      </c>
      <c r="AT66" s="25">
        <v>111.5059362215317</v>
      </c>
      <c r="AU66" s="25">
        <v>347.12119381373867</v>
      </c>
      <c r="AV66" s="25">
        <v>1978.6182890752661</v>
      </c>
      <c r="AW66" s="25">
        <v>72.417731323085363</v>
      </c>
      <c r="AX66" s="25">
        <v>1216.3394588959059</v>
      </c>
      <c r="AY66" s="40">
        <v>230.32232767025084</v>
      </c>
      <c r="AZ66" s="25">
        <v>9.9749793051058013</v>
      </c>
      <c r="BA66" s="25">
        <v>0.42553047046471698</v>
      </c>
      <c r="BB66" s="25">
        <v>3339.4436618741329</v>
      </c>
      <c r="BC66" s="25">
        <v>8.8081516522185481</v>
      </c>
      <c r="BD66" s="25">
        <v>28.710019434497475</v>
      </c>
      <c r="BE66" s="25">
        <v>0.89709438329907432</v>
      </c>
      <c r="BF66" s="25">
        <v>1.6923970123296401</v>
      </c>
      <c r="BG66" s="25">
        <v>18.043698371978458</v>
      </c>
      <c r="BH66" s="25">
        <v>248.45837650777761</v>
      </c>
      <c r="BI66" s="25">
        <v>419.52983912533017</v>
      </c>
      <c r="BJ66" s="25">
        <v>18.453922505345368</v>
      </c>
      <c r="BK66" s="25">
        <v>18.507951661913012</v>
      </c>
      <c r="BL66" s="25">
        <v>1722.7997235805485</v>
      </c>
      <c r="BM66" s="25">
        <v>3.9041187447384753</v>
      </c>
      <c r="BN66" s="25">
        <v>55.633660928466611</v>
      </c>
      <c r="BO66" s="25">
        <v>32.969002002624336</v>
      </c>
      <c r="BP66" s="25">
        <v>1.2010057204687821</v>
      </c>
      <c r="BQ66" s="25">
        <v>4719.4629756159902</v>
      </c>
      <c r="BR66" s="25">
        <v>1341.3790137445703</v>
      </c>
      <c r="BS66" s="25">
        <v>88.102104276410259</v>
      </c>
      <c r="BT66" s="25">
        <v>1368.9886549960875</v>
      </c>
      <c r="BU66" s="25">
        <v>11.424638252980708</v>
      </c>
      <c r="BV66" s="25">
        <v>12.845555337072048</v>
      </c>
      <c r="BW66" s="25">
        <v>13.109328671003013</v>
      </c>
      <c r="BX66" s="25">
        <v>0</v>
      </c>
      <c r="BY66" s="25">
        <v>33217.469838000012</v>
      </c>
      <c r="BZ66" s="25">
        <v>22160.160248651791</v>
      </c>
      <c r="CA66" s="25">
        <v>0.10653707284866767</v>
      </c>
      <c r="CB66" s="25">
        <v>0</v>
      </c>
      <c r="CC66" s="25">
        <v>879.51022555371264</v>
      </c>
      <c r="CD66" s="25">
        <v>6641.1850712291762</v>
      </c>
      <c r="CE66" s="25">
        <v>-7.4319204837301536</v>
      </c>
      <c r="CF66" s="25">
        <v>29673.530162023799</v>
      </c>
      <c r="CG66" s="25">
        <v>62891</v>
      </c>
      <c r="CH66"/>
      <c r="CI66">
        <f t="shared" si="0"/>
        <v>0.4718247469753033</v>
      </c>
      <c r="CJ66"/>
      <c r="CK66"/>
      <c r="CL66"/>
      <c r="CM66"/>
      <c r="CN66"/>
      <c r="CO66"/>
      <c r="CP66"/>
      <c r="CQ66"/>
      <c r="CR66"/>
      <c r="CS66"/>
      <c r="CT66"/>
      <c r="CU66"/>
    </row>
    <row r="67" spans="1:99" s="5" customFormat="1" x14ac:dyDescent="0.3">
      <c r="A67" s="35" t="s">
        <v>71</v>
      </c>
      <c r="B67" s="11" t="s">
        <v>145</v>
      </c>
      <c r="C67" s="5">
        <v>62</v>
      </c>
      <c r="D67" s="25">
        <v>15.093023184318485</v>
      </c>
      <c r="E67" s="25">
        <v>428.77741954459185</v>
      </c>
      <c r="F67" s="25">
        <v>101.73546722970767</v>
      </c>
      <c r="G67" s="25">
        <v>37.898929599101791</v>
      </c>
      <c r="H67" s="25">
        <v>834.77219379227222</v>
      </c>
      <c r="I67" s="25">
        <v>14.263895014824083</v>
      </c>
      <c r="J67" s="25">
        <v>0.78761504891165535</v>
      </c>
      <c r="K67" s="25">
        <v>2443.9041178230427</v>
      </c>
      <c r="L67" s="25">
        <v>155.23811105094239</v>
      </c>
      <c r="M67" s="25">
        <v>3877.0480771093448</v>
      </c>
      <c r="N67" s="25">
        <v>4985.176169238769</v>
      </c>
      <c r="O67" s="25">
        <v>222.05138442213556</v>
      </c>
      <c r="P67" s="25">
        <v>90.986076279737233</v>
      </c>
      <c r="Q67" s="25">
        <v>365.73815920927439</v>
      </c>
      <c r="R67" s="25">
        <v>824.21355379777629</v>
      </c>
      <c r="S67" s="25">
        <v>42.449862701070629</v>
      </c>
      <c r="T67" s="25">
        <v>554.92690090155236</v>
      </c>
      <c r="U67" s="25">
        <v>56.514711171160712</v>
      </c>
      <c r="V67" s="25">
        <v>231.93107242626769</v>
      </c>
      <c r="W67" s="25">
        <v>5.9479250686982095</v>
      </c>
      <c r="X67" s="25">
        <v>3.8005252962467283E-2</v>
      </c>
      <c r="Y67" s="25">
        <v>111.54259413927437</v>
      </c>
      <c r="Z67" s="25">
        <v>125.30336328007401</v>
      </c>
      <c r="AA67" s="25">
        <v>534.77932478733828</v>
      </c>
      <c r="AB67" s="25">
        <v>1323.7033577635452</v>
      </c>
      <c r="AC67" s="25">
        <v>2089.7675878003752</v>
      </c>
      <c r="AD67" s="25">
        <v>566.29794415223716</v>
      </c>
      <c r="AE67" s="25">
        <v>266.87945465512837</v>
      </c>
      <c r="AF67" s="25">
        <v>255.85801582811462</v>
      </c>
      <c r="AG67" s="25">
        <v>20.275698743758635</v>
      </c>
      <c r="AH67" s="25">
        <v>531.94417590765761</v>
      </c>
      <c r="AI67" s="25">
        <v>1413.1369619458917</v>
      </c>
      <c r="AJ67" s="25">
        <v>660.99929857141183</v>
      </c>
      <c r="AK67" s="25">
        <v>459.43719935996006</v>
      </c>
      <c r="AL67" s="25">
        <v>4549.4881312101597</v>
      </c>
      <c r="AM67" s="25">
        <v>171.09015186719751</v>
      </c>
      <c r="AN67" s="25">
        <v>259.89892560666954</v>
      </c>
      <c r="AO67" s="25">
        <v>434.68065973430538</v>
      </c>
      <c r="AP67" s="25">
        <v>147.30747115458632</v>
      </c>
      <c r="AQ67" s="25">
        <v>2755.3710581761834</v>
      </c>
      <c r="AR67" s="25">
        <v>450.09236556655981</v>
      </c>
      <c r="AS67" s="25">
        <v>322.47438382504538</v>
      </c>
      <c r="AT67" s="25">
        <v>185.68093724040995</v>
      </c>
      <c r="AU67" s="25">
        <v>213.2669769921242</v>
      </c>
      <c r="AV67" s="25">
        <v>1442.8978255846428</v>
      </c>
      <c r="AW67" s="25">
        <v>2669.0785921410261</v>
      </c>
      <c r="AX67" s="25">
        <v>18997.389371972502</v>
      </c>
      <c r="AY67" s="40">
        <v>763.5779322768077</v>
      </c>
      <c r="AZ67" s="25">
        <v>45.332452878567167</v>
      </c>
      <c r="BA67" s="25">
        <v>193.83665800532469</v>
      </c>
      <c r="BB67" s="25">
        <v>1315.4889290565861</v>
      </c>
      <c r="BC67" s="25">
        <v>335.5221588104647</v>
      </c>
      <c r="BD67" s="25">
        <v>862.49022131088282</v>
      </c>
      <c r="BE67" s="25">
        <v>676.34861945086641</v>
      </c>
      <c r="BF67" s="25">
        <v>1996.1941752903199</v>
      </c>
      <c r="BG67" s="25">
        <v>3016.4241151376455</v>
      </c>
      <c r="BH67" s="25">
        <v>2121.0139750365483</v>
      </c>
      <c r="BI67" s="25">
        <v>9538.6922657731247</v>
      </c>
      <c r="BJ67" s="25">
        <v>928.41987003530789</v>
      </c>
      <c r="BK67" s="25">
        <v>4481.0501076940909</v>
      </c>
      <c r="BL67" s="25">
        <v>407.29628857809814</v>
      </c>
      <c r="BM67" s="25">
        <v>2054.5567801959974</v>
      </c>
      <c r="BN67" s="25">
        <v>1044.2708441913148</v>
      </c>
      <c r="BO67" s="25">
        <v>1742.8634265246103</v>
      </c>
      <c r="BP67" s="25">
        <v>189.44255996050995</v>
      </c>
      <c r="BQ67" s="25">
        <v>4030.7572238501957</v>
      </c>
      <c r="BR67" s="25">
        <v>654.50592633963868</v>
      </c>
      <c r="BS67" s="25">
        <v>2758.0428235483923</v>
      </c>
      <c r="BT67" s="25">
        <v>1108.7243533550179</v>
      </c>
      <c r="BU67" s="25">
        <v>45.433719695587143</v>
      </c>
      <c r="BV67" s="25">
        <v>1489.645856424544</v>
      </c>
      <c r="BW67" s="25">
        <v>1673.124902137891</v>
      </c>
      <c r="BX67" s="25">
        <v>0</v>
      </c>
      <c r="BY67" s="25">
        <v>99721.190683430963</v>
      </c>
      <c r="BZ67" s="25">
        <v>3441.3441972555283</v>
      </c>
      <c r="CA67" s="25">
        <v>0.10452693939869281</v>
      </c>
      <c r="CB67" s="25">
        <v>0</v>
      </c>
      <c r="CC67" s="25">
        <v>1654.689200611997</v>
      </c>
      <c r="CD67" s="25">
        <v>2.6713917652274488</v>
      </c>
      <c r="CE67" s="25">
        <v>0</v>
      </c>
      <c r="CF67" s="25">
        <v>5098.8093165721521</v>
      </c>
      <c r="CG67" s="25">
        <v>104820</v>
      </c>
      <c r="CH67"/>
      <c r="CI67">
        <f t="shared" si="0"/>
        <v>4.8643477547912158E-2</v>
      </c>
      <c r="CJ67"/>
      <c r="CK67"/>
      <c r="CL67"/>
      <c r="CM67"/>
      <c r="CN67"/>
      <c r="CO67"/>
      <c r="CP67"/>
      <c r="CQ67"/>
      <c r="CR67"/>
      <c r="CS67"/>
      <c r="CT67"/>
      <c r="CU67"/>
    </row>
    <row r="68" spans="1:99" s="5" customFormat="1" x14ac:dyDescent="0.3">
      <c r="A68" s="35" t="s">
        <v>72</v>
      </c>
      <c r="B68" s="13" t="s">
        <v>146</v>
      </c>
      <c r="C68" s="5">
        <v>63</v>
      </c>
      <c r="D68" s="25">
        <v>205.60424964953293</v>
      </c>
      <c r="E68" s="25">
        <v>28.023518298222324</v>
      </c>
      <c r="F68" s="25">
        <v>38.508606855517549</v>
      </c>
      <c r="G68" s="25">
        <v>116.86728051323043</v>
      </c>
      <c r="H68" s="25">
        <v>6131.8541762540463</v>
      </c>
      <c r="I68" s="25">
        <v>894.53871931067351</v>
      </c>
      <c r="J68" s="25">
        <v>127.17831177848983</v>
      </c>
      <c r="K68" s="25">
        <v>217.42906554111181</v>
      </c>
      <c r="L68" s="25">
        <v>150.92641103544005</v>
      </c>
      <c r="M68" s="25">
        <v>631.16842581109574</v>
      </c>
      <c r="N68" s="25">
        <v>190.81122677137262</v>
      </c>
      <c r="O68" s="25">
        <v>21.270996659198861</v>
      </c>
      <c r="P68" s="25">
        <v>32.99846305752947</v>
      </c>
      <c r="Q68" s="25">
        <v>55.841001149375131</v>
      </c>
      <c r="R68" s="25">
        <v>40.169062916981353</v>
      </c>
      <c r="S68" s="25">
        <v>86.284969345043024</v>
      </c>
      <c r="T68" s="25">
        <v>473.18735490788873</v>
      </c>
      <c r="U68" s="25">
        <v>90.593479798092531</v>
      </c>
      <c r="V68" s="25">
        <v>252.78269318409866</v>
      </c>
      <c r="W68" s="25">
        <v>6.4931625431138027</v>
      </c>
      <c r="X68" s="25">
        <v>0.45064599733962518</v>
      </c>
      <c r="Y68" s="25">
        <v>58.966029032117767</v>
      </c>
      <c r="Z68" s="25">
        <v>260.72578316504865</v>
      </c>
      <c r="AA68" s="25">
        <v>223.08808232749669</v>
      </c>
      <c r="AB68" s="25">
        <v>49.535794382551529</v>
      </c>
      <c r="AC68" s="25">
        <v>117.3086033485307</v>
      </c>
      <c r="AD68" s="25">
        <v>354.35758435694197</v>
      </c>
      <c r="AE68" s="25">
        <v>229.81965227726525</v>
      </c>
      <c r="AF68" s="25">
        <v>528.0464150104973</v>
      </c>
      <c r="AG68" s="25">
        <v>166.89182734224278</v>
      </c>
      <c r="AH68" s="25">
        <v>339.00118283371751</v>
      </c>
      <c r="AI68" s="25">
        <v>239.28106688759601</v>
      </c>
      <c r="AJ68" s="25">
        <v>112.42012627046684</v>
      </c>
      <c r="AK68" s="25">
        <v>334.31928605873645</v>
      </c>
      <c r="AL68" s="25">
        <v>928.69795763416107</v>
      </c>
      <c r="AM68" s="25">
        <v>325.97179431016639</v>
      </c>
      <c r="AN68" s="25">
        <v>256.3214193516996</v>
      </c>
      <c r="AO68" s="25">
        <v>129.95185615157328</v>
      </c>
      <c r="AP68" s="25">
        <v>210.2934120767498</v>
      </c>
      <c r="AQ68" s="25">
        <v>343.07950048435032</v>
      </c>
      <c r="AR68" s="25">
        <v>56.042348086724061</v>
      </c>
      <c r="AS68" s="25">
        <v>40.152251071013843</v>
      </c>
      <c r="AT68" s="25">
        <v>23.141367766589816</v>
      </c>
      <c r="AU68" s="25">
        <v>727.32046238757903</v>
      </c>
      <c r="AV68" s="25">
        <v>1408.9252559048648</v>
      </c>
      <c r="AW68" s="25">
        <v>417.98522368287553</v>
      </c>
      <c r="AX68" s="25">
        <v>4507.9893468683085</v>
      </c>
      <c r="AY68" s="40">
        <v>1890.69138399657</v>
      </c>
      <c r="AZ68" s="25">
        <v>500.2843845143708</v>
      </c>
      <c r="BA68" s="25">
        <v>1122.7658630557933</v>
      </c>
      <c r="BB68" s="25">
        <v>1079.689850763288</v>
      </c>
      <c r="BC68" s="25">
        <v>75.054183781357338</v>
      </c>
      <c r="BD68" s="25">
        <v>688.59315334436087</v>
      </c>
      <c r="BE68" s="25">
        <v>282.64602669145324</v>
      </c>
      <c r="BF68" s="25">
        <v>555.51643129469835</v>
      </c>
      <c r="BG68" s="25">
        <v>1872.7530622378949</v>
      </c>
      <c r="BH68" s="25">
        <v>1377.181951787745</v>
      </c>
      <c r="BI68" s="25">
        <v>695.51883977965838</v>
      </c>
      <c r="BJ68" s="25">
        <v>164.20389522258773</v>
      </c>
      <c r="BK68" s="25">
        <v>409.66228818732378</v>
      </c>
      <c r="BL68" s="25">
        <v>378.28087832692717</v>
      </c>
      <c r="BM68" s="25">
        <v>142.84219032052388</v>
      </c>
      <c r="BN68" s="25">
        <v>789.20854804280123</v>
      </c>
      <c r="BO68" s="25">
        <v>528.48832551482633</v>
      </c>
      <c r="BP68" s="25">
        <v>141.97707264495585</v>
      </c>
      <c r="BQ68" s="25">
        <v>1448.9570618755711</v>
      </c>
      <c r="BR68" s="25">
        <v>609.81669565994855</v>
      </c>
      <c r="BS68" s="25">
        <v>960.06159177312838</v>
      </c>
      <c r="BT68" s="25">
        <v>749.56684560163535</v>
      </c>
      <c r="BU68" s="25">
        <v>419.02907139924116</v>
      </c>
      <c r="BV68" s="25">
        <v>266.34843807138458</v>
      </c>
      <c r="BW68" s="25">
        <v>168.96916621311962</v>
      </c>
      <c r="BX68" s="25">
        <v>0</v>
      </c>
      <c r="BY68" s="25">
        <v>39500.722650548421</v>
      </c>
      <c r="BZ68" s="25">
        <v>5848.3397258344175</v>
      </c>
      <c r="CA68" s="25">
        <v>0</v>
      </c>
      <c r="CB68" s="25">
        <v>0</v>
      </c>
      <c r="CC68" s="25">
        <v>2640.9916912795111</v>
      </c>
      <c r="CD68" s="25">
        <v>485.66329839225301</v>
      </c>
      <c r="CE68" s="25">
        <v>3.2826339988799145</v>
      </c>
      <c r="CF68" s="25">
        <v>8978.2773495050624</v>
      </c>
      <c r="CG68" s="25">
        <v>48479</v>
      </c>
      <c r="CH68"/>
      <c r="CI68">
        <f t="shared" si="0"/>
        <v>0.1851993100003107</v>
      </c>
      <c r="CJ68"/>
      <c r="CK68"/>
      <c r="CL68"/>
      <c r="CM68"/>
      <c r="CN68"/>
      <c r="CO68"/>
      <c r="CP68"/>
      <c r="CQ68"/>
      <c r="CR68"/>
      <c r="CS68"/>
      <c r="CT68"/>
      <c r="CU68"/>
    </row>
    <row r="69" spans="1:99" s="5" customFormat="1" x14ac:dyDescent="0.3">
      <c r="A69" s="35" t="s">
        <v>73</v>
      </c>
      <c r="B69" s="11" t="s">
        <v>147</v>
      </c>
      <c r="C69" s="5">
        <v>64</v>
      </c>
      <c r="D69" s="25">
        <v>32.649423028091199</v>
      </c>
      <c r="E69" s="25">
        <v>18.755261157951061</v>
      </c>
      <c r="F69" s="25">
        <v>29.35477031948778</v>
      </c>
      <c r="G69" s="25">
        <v>536.17133510112262</v>
      </c>
      <c r="H69" s="25">
        <v>1105.0543823110036</v>
      </c>
      <c r="I69" s="25">
        <v>840.96716723066106</v>
      </c>
      <c r="J69" s="25">
        <v>200.98821522101832</v>
      </c>
      <c r="K69" s="25">
        <v>934.50170802081868</v>
      </c>
      <c r="L69" s="25">
        <v>431.23671092684219</v>
      </c>
      <c r="M69" s="25">
        <v>1456.6948204968085</v>
      </c>
      <c r="N69" s="25">
        <v>1105.5168647542537</v>
      </c>
      <c r="O69" s="25">
        <v>150.87684554241133</v>
      </c>
      <c r="P69" s="25">
        <v>213.69838746672355</v>
      </c>
      <c r="Q69" s="25">
        <v>201.22557205859525</v>
      </c>
      <c r="R69" s="25">
        <v>286.27648391460298</v>
      </c>
      <c r="S69" s="25">
        <v>57.538058185312742</v>
      </c>
      <c r="T69" s="25">
        <v>725.10994721928114</v>
      </c>
      <c r="U69" s="25">
        <v>36.002924232523554</v>
      </c>
      <c r="V69" s="25">
        <v>293.44293323880748</v>
      </c>
      <c r="W69" s="25">
        <v>7.5254107204557679</v>
      </c>
      <c r="X69" s="25">
        <v>4.808485896746191E-2</v>
      </c>
      <c r="Y69" s="25">
        <v>530.39057472236584</v>
      </c>
      <c r="Z69" s="25">
        <v>607.80239758586833</v>
      </c>
      <c r="AA69" s="25">
        <v>985.40458337874952</v>
      </c>
      <c r="AB69" s="25">
        <v>413.05358781774072</v>
      </c>
      <c r="AC69" s="25">
        <v>1363.2085286645388</v>
      </c>
      <c r="AD69" s="25">
        <v>792.36284824142285</v>
      </c>
      <c r="AE69" s="25">
        <v>824.268855190566</v>
      </c>
      <c r="AF69" s="25">
        <v>665.80550378299245</v>
      </c>
      <c r="AG69" s="25">
        <v>665.1474890448012</v>
      </c>
      <c r="AH69" s="25">
        <v>813.0239229424418</v>
      </c>
      <c r="AI69" s="25">
        <v>989.39069107945761</v>
      </c>
      <c r="AJ69" s="25">
        <v>719.62156526722526</v>
      </c>
      <c r="AK69" s="25">
        <v>2151.6935586468908</v>
      </c>
      <c r="AL69" s="25">
        <v>1610.6231247984024</v>
      </c>
      <c r="AM69" s="25">
        <v>435.6103670677503</v>
      </c>
      <c r="AN69" s="25">
        <v>159.95456206518563</v>
      </c>
      <c r="AO69" s="25">
        <v>311.09128867234108</v>
      </c>
      <c r="AP69" s="25">
        <v>457.37414964008502</v>
      </c>
      <c r="AQ69" s="25">
        <v>2733.1140757594053</v>
      </c>
      <c r="AR69" s="25">
        <v>446.45666726864272</v>
      </c>
      <c r="AS69" s="25">
        <v>319.86954166799444</v>
      </c>
      <c r="AT69" s="25">
        <v>184.18106761558121</v>
      </c>
      <c r="AU69" s="25">
        <v>442.03788754256817</v>
      </c>
      <c r="AV69" s="25">
        <v>1940.5177302309221</v>
      </c>
      <c r="AW69" s="25">
        <v>2052.8728961320053</v>
      </c>
      <c r="AX69" s="25">
        <v>34387.888269365707</v>
      </c>
      <c r="AY69" s="40">
        <v>2256.388089598539</v>
      </c>
      <c r="AZ69" s="25">
        <v>101.70296743531351</v>
      </c>
      <c r="BA69" s="25">
        <v>993.32183300690144</v>
      </c>
      <c r="BB69" s="25">
        <v>3310.347216834426</v>
      </c>
      <c r="BC69" s="25">
        <v>963.8540989232057</v>
      </c>
      <c r="BD69" s="25">
        <v>2351.7966015597917</v>
      </c>
      <c r="BE69" s="25">
        <v>227.39343922081298</v>
      </c>
      <c r="BF69" s="25">
        <v>1016.0364473026622</v>
      </c>
      <c r="BG69" s="25">
        <v>18009.30608658319</v>
      </c>
      <c r="BH69" s="25">
        <v>6538.2520784141834</v>
      </c>
      <c r="BI69" s="25">
        <v>20801.038659864713</v>
      </c>
      <c r="BJ69" s="25">
        <v>1551.8024596373566</v>
      </c>
      <c r="BK69" s="25">
        <v>4590.9657980645143</v>
      </c>
      <c r="BL69" s="25">
        <v>548.73087473248006</v>
      </c>
      <c r="BM69" s="25">
        <v>764.43175477833711</v>
      </c>
      <c r="BN69" s="25">
        <v>694.41207160454451</v>
      </c>
      <c r="BO69" s="25">
        <v>7148.239509064646</v>
      </c>
      <c r="BP69" s="25">
        <v>413.07854929836788</v>
      </c>
      <c r="BQ69" s="25">
        <v>26280.895753210785</v>
      </c>
      <c r="BR69" s="25">
        <v>11439.974337001982</v>
      </c>
      <c r="BS69" s="25">
        <v>4317.8972991269766</v>
      </c>
      <c r="BT69" s="25">
        <v>10166.818410314007</v>
      </c>
      <c r="BU69" s="25">
        <v>4405.3130286183668</v>
      </c>
      <c r="BV69" s="25">
        <v>1168.3698969347392</v>
      </c>
      <c r="BW69" s="25">
        <v>7014.5432379977537</v>
      </c>
      <c r="BX69" s="25">
        <v>0</v>
      </c>
      <c r="BY69" s="25">
        <v>202741.31153932598</v>
      </c>
      <c r="BZ69" s="25">
        <v>7098.179265942661</v>
      </c>
      <c r="CA69" s="25">
        <v>0.15880054254801407</v>
      </c>
      <c r="CB69" s="25">
        <v>36935</v>
      </c>
      <c r="CC69" s="25">
        <v>14910.063280014376</v>
      </c>
      <c r="CD69" s="25">
        <v>30.287114208055485</v>
      </c>
      <c r="CE69" s="25">
        <v>0</v>
      </c>
      <c r="CF69" s="25">
        <v>58973.688460707635</v>
      </c>
      <c r="CG69" s="25">
        <v>261715</v>
      </c>
      <c r="CH69"/>
      <c r="CI69">
        <f t="shared" si="0"/>
        <v>0.22533553086642966</v>
      </c>
      <c r="CJ69"/>
      <c r="CK69"/>
      <c r="CL69"/>
      <c r="CM69"/>
      <c r="CN69"/>
      <c r="CO69"/>
      <c r="CP69"/>
      <c r="CQ69"/>
      <c r="CR69"/>
      <c r="CS69"/>
      <c r="CT69"/>
      <c r="CU69"/>
    </row>
    <row r="70" spans="1:99" s="5" customFormat="1" x14ac:dyDescent="0.3">
      <c r="A70" s="35" t="s">
        <v>74</v>
      </c>
      <c r="B70" s="11" t="s">
        <v>148</v>
      </c>
      <c r="C70" s="5">
        <v>65</v>
      </c>
      <c r="D70" s="25">
        <v>1.907882371450748</v>
      </c>
      <c r="E70" s="25">
        <v>0.48734656155973116</v>
      </c>
      <c r="F70" s="25">
        <v>1.9603187760086069</v>
      </c>
      <c r="G70" s="25">
        <v>7.6968911749750628</v>
      </c>
      <c r="H70" s="25">
        <v>127.69534052883463</v>
      </c>
      <c r="I70" s="25">
        <v>93.027520909891479</v>
      </c>
      <c r="J70" s="25">
        <v>17.274263635549723</v>
      </c>
      <c r="K70" s="25">
        <v>379.91235068989135</v>
      </c>
      <c r="L70" s="25">
        <v>99.656064451783166</v>
      </c>
      <c r="M70" s="25">
        <v>346.34328667956413</v>
      </c>
      <c r="N70" s="25">
        <v>122.87558807079138</v>
      </c>
      <c r="O70" s="25">
        <v>118.85417793800191</v>
      </c>
      <c r="P70" s="25">
        <v>31.921961763906456</v>
      </c>
      <c r="Q70" s="25">
        <v>31.064384860588024</v>
      </c>
      <c r="R70" s="25">
        <v>45.298953826524517</v>
      </c>
      <c r="S70" s="25">
        <v>65.240512135197889</v>
      </c>
      <c r="T70" s="25">
        <v>508.88854248996728</v>
      </c>
      <c r="U70" s="25">
        <v>16.364065739302706</v>
      </c>
      <c r="V70" s="25">
        <v>134.50498390270354</v>
      </c>
      <c r="W70" s="25">
        <v>3.4494108842361895</v>
      </c>
      <c r="X70" s="25">
        <v>2.204058250780495E-2</v>
      </c>
      <c r="Y70" s="25">
        <v>2.048708216454096</v>
      </c>
      <c r="Z70" s="25">
        <v>278.22912418076567</v>
      </c>
      <c r="AA70" s="25">
        <v>178.43621708116024</v>
      </c>
      <c r="AB70" s="25">
        <v>38.538573326914829</v>
      </c>
      <c r="AC70" s="25">
        <v>250.2135137259277</v>
      </c>
      <c r="AD70" s="25">
        <v>227.49956690980653</v>
      </c>
      <c r="AE70" s="25">
        <v>414.98244519779206</v>
      </c>
      <c r="AF70" s="25">
        <v>87.548525850318399</v>
      </c>
      <c r="AG70" s="25">
        <v>71.084426126538133</v>
      </c>
      <c r="AH70" s="25">
        <v>186.17602742198338</v>
      </c>
      <c r="AI70" s="25">
        <v>146.13483915549162</v>
      </c>
      <c r="AJ70" s="25">
        <v>96.119728193658503</v>
      </c>
      <c r="AK70" s="25">
        <v>252.48727749669695</v>
      </c>
      <c r="AL70" s="25">
        <v>647.62262244836347</v>
      </c>
      <c r="AM70" s="25">
        <v>312.46624031072156</v>
      </c>
      <c r="AN70" s="25">
        <v>89.149442958866487</v>
      </c>
      <c r="AO70" s="25">
        <v>57.834482220038481</v>
      </c>
      <c r="AP70" s="25">
        <v>210.98389794575056</v>
      </c>
      <c r="AQ70" s="25">
        <v>283.161293237047</v>
      </c>
      <c r="AR70" s="25">
        <v>46.254654498080122</v>
      </c>
      <c r="AS70" s="25">
        <v>33.13973386225539</v>
      </c>
      <c r="AT70" s="25">
        <v>19.081877978809608</v>
      </c>
      <c r="AU70" s="25">
        <v>548.83558735337635</v>
      </c>
      <c r="AV70" s="25">
        <v>578.26143829970658</v>
      </c>
      <c r="AW70" s="25">
        <v>734.48410141703334</v>
      </c>
      <c r="AX70" s="25">
        <v>5576.1445484668102</v>
      </c>
      <c r="AY70" s="40">
        <v>1584.7038377001663</v>
      </c>
      <c r="AZ70" s="25">
        <v>24.92781256572988</v>
      </c>
      <c r="BA70" s="25">
        <v>192.55159066615735</v>
      </c>
      <c r="BB70" s="25">
        <v>3195.2707181322726</v>
      </c>
      <c r="BC70" s="25">
        <v>107.59958893571401</v>
      </c>
      <c r="BD70" s="25">
        <v>717.78816399094251</v>
      </c>
      <c r="BE70" s="25">
        <v>30.752881909411364</v>
      </c>
      <c r="BF70" s="25">
        <v>299.89363554041813</v>
      </c>
      <c r="BG70" s="25">
        <v>598.24394893607109</v>
      </c>
      <c r="BH70" s="25">
        <v>594.26717166641583</v>
      </c>
      <c r="BI70" s="25">
        <v>5066.1246937467113</v>
      </c>
      <c r="BJ70" s="25">
        <v>207.4571169568145</v>
      </c>
      <c r="BK70" s="25">
        <v>882.34939176338287</v>
      </c>
      <c r="BL70" s="25">
        <v>11.760968237936002</v>
      </c>
      <c r="BM70" s="25">
        <v>215.87582210967875</v>
      </c>
      <c r="BN70" s="25">
        <v>131.50020497398734</v>
      </c>
      <c r="BO70" s="25">
        <v>860.06985621587103</v>
      </c>
      <c r="BP70" s="25">
        <v>47.962383080056355</v>
      </c>
      <c r="BQ70" s="25">
        <v>7774.7084209636632</v>
      </c>
      <c r="BR70" s="25">
        <v>3379.7286305500447</v>
      </c>
      <c r="BS70" s="25">
        <v>1502.7259835834338</v>
      </c>
      <c r="BT70" s="25">
        <v>1455.9510072517671</v>
      </c>
      <c r="BU70" s="25">
        <v>1.4681232539730655</v>
      </c>
      <c r="BV70" s="25">
        <v>165.63288088673085</v>
      </c>
      <c r="BW70" s="25">
        <v>3.9649981402501111</v>
      </c>
      <c r="BX70" s="25">
        <v>0</v>
      </c>
      <c r="BY70" s="25">
        <v>42574.644613611206</v>
      </c>
      <c r="BZ70" s="25">
        <v>4.6504577663059132</v>
      </c>
      <c r="CA70" s="25">
        <v>0.10050667249874308</v>
      </c>
      <c r="CB70" s="25">
        <v>0</v>
      </c>
      <c r="CC70" s="25">
        <v>514.03577602316886</v>
      </c>
      <c r="CD70" s="25">
        <v>2.5686459281033156</v>
      </c>
      <c r="CE70" s="25">
        <v>0</v>
      </c>
      <c r="CF70" s="25">
        <v>521.35538639007689</v>
      </c>
      <c r="CG70" s="25">
        <v>43096</v>
      </c>
      <c r="CH70"/>
      <c r="CI70">
        <f t="shared" si="0"/>
        <v>1.2097535418370078E-2</v>
      </c>
      <c r="CJ70"/>
      <c r="CK70"/>
      <c r="CL70"/>
      <c r="CM70"/>
      <c r="CN70"/>
      <c r="CO70"/>
      <c r="CP70"/>
      <c r="CQ70"/>
      <c r="CR70"/>
      <c r="CS70"/>
      <c r="CT70"/>
      <c r="CU70"/>
    </row>
    <row r="71" spans="1:99" s="5" customFormat="1" x14ac:dyDescent="0.3">
      <c r="A71" s="35" t="s">
        <v>75</v>
      </c>
      <c r="B71" s="11" t="s">
        <v>149</v>
      </c>
      <c r="C71" s="5">
        <v>66</v>
      </c>
      <c r="D71" s="25">
        <v>287.04852784451367</v>
      </c>
      <c r="E71" s="25">
        <v>117.96534890945979</v>
      </c>
      <c r="F71" s="25">
        <v>22.219313916159944</v>
      </c>
      <c r="G71" s="25">
        <v>29.510197218123029</v>
      </c>
      <c r="H71" s="25">
        <v>618.18889644974422</v>
      </c>
      <c r="I71" s="25">
        <v>271.26173179985699</v>
      </c>
      <c r="J71" s="25">
        <v>40.93591097223608</v>
      </c>
      <c r="K71" s="25">
        <v>507.10544786347327</v>
      </c>
      <c r="L71" s="25">
        <v>93.451508298468951</v>
      </c>
      <c r="M71" s="25">
        <v>1000.7241142669925</v>
      </c>
      <c r="N71" s="25">
        <v>566.82864067934725</v>
      </c>
      <c r="O71" s="25">
        <v>69.080296869983215</v>
      </c>
      <c r="P71" s="25">
        <v>39.653621148474187</v>
      </c>
      <c r="Q71" s="25">
        <v>55.353349451117296</v>
      </c>
      <c r="R71" s="25">
        <v>89.305712871622603</v>
      </c>
      <c r="S71" s="25">
        <v>66.89326441837369</v>
      </c>
      <c r="T71" s="25">
        <v>304.24376339282782</v>
      </c>
      <c r="U71" s="25">
        <v>14.19256147244627</v>
      </c>
      <c r="V71" s="25">
        <v>226.90977531080588</v>
      </c>
      <c r="W71" s="25">
        <v>5.8228494038710989</v>
      </c>
      <c r="X71" s="25">
        <v>0.18776280709842402</v>
      </c>
      <c r="Y71" s="25">
        <v>71.54631701532746</v>
      </c>
      <c r="Z71" s="25">
        <v>928.14562514159638</v>
      </c>
      <c r="AA71" s="25">
        <v>335.42047479093361</v>
      </c>
      <c r="AB71" s="25">
        <v>229.37249019178245</v>
      </c>
      <c r="AC71" s="25">
        <v>409.50967957532578</v>
      </c>
      <c r="AD71" s="25">
        <v>197.38597703956509</v>
      </c>
      <c r="AE71" s="25">
        <v>225.04424592634516</v>
      </c>
      <c r="AF71" s="25">
        <v>596.78024564842895</v>
      </c>
      <c r="AG71" s="25">
        <v>272.1380599987454</v>
      </c>
      <c r="AH71" s="25">
        <v>165.51574501616787</v>
      </c>
      <c r="AI71" s="25">
        <v>231.98448993787341</v>
      </c>
      <c r="AJ71" s="25">
        <v>180.44031178512384</v>
      </c>
      <c r="AK71" s="25">
        <v>235.51382376645969</v>
      </c>
      <c r="AL71" s="25">
        <v>662.97086087777745</v>
      </c>
      <c r="AM71" s="25">
        <v>155.92218404858696</v>
      </c>
      <c r="AN71" s="25">
        <v>63.373229293612134</v>
      </c>
      <c r="AO71" s="25">
        <v>86.574589455581801</v>
      </c>
      <c r="AP71" s="25">
        <v>86.821987603223789</v>
      </c>
      <c r="AQ71" s="25">
        <v>454.43975043351361</v>
      </c>
      <c r="AR71" s="25">
        <v>103.88576694770563</v>
      </c>
      <c r="AS71" s="25">
        <v>42.989868002769896</v>
      </c>
      <c r="AT71" s="25">
        <v>33.735984529936225</v>
      </c>
      <c r="AU71" s="25">
        <v>188.69075650322367</v>
      </c>
      <c r="AV71" s="25">
        <v>419.85520756134832</v>
      </c>
      <c r="AW71" s="25">
        <v>459.19527429173968</v>
      </c>
      <c r="AX71" s="25">
        <v>3654.3875471763286</v>
      </c>
      <c r="AY71" s="40">
        <v>539.12999832229548</v>
      </c>
      <c r="AZ71" s="25">
        <v>102.5099329973319</v>
      </c>
      <c r="BA71" s="25">
        <v>230.15109923844281</v>
      </c>
      <c r="BB71" s="25">
        <v>547.05289378990267</v>
      </c>
      <c r="BC71" s="25">
        <v>90.371603926043434</v>
      </c>
      <c r="BD71" s="25">
        <v>285.91631769747431</v>
      </c>
      <c r="BE71" s="25">
        <v>70.407561833964252</v>
      </c>
      <c r="BF71" s="25">
        <v>290.6133152351332</v>
      </c>
      <c r="BG71" s="25">
        <v>485.50333563571149</v>
      </c>
      <c r="BH71" s="25">
        <v>438.71221044932014</v>
      </c>
      <c r="BI71" s="25">
        <v>1584.9789784563361</v>
      </c>
      <c r="BJ71" s="25">
        <v>208.14764062974933</v>
      </c>
      <c r="BK71" s="25">
        <v>956.03408087952698</v>
      </c>
      <c r="BL71" s="25">
        <v>401.00097508719585</v>
      </c>
      <c r="BM71" s="25">
        <v>359.19504244813345</v>
      </c>
      <c r="BN71" s="25">
        <v>135.45641456319268</v>
      </c>
      <c r="BO71" s="25">
        <v>847.27995892570129</v>
      </c>
      <c r="BP71" s="25">
        <v>63.421325289456178</v>
      </c>
      <c r="BQ71" s="25">
        <v>1923.8449102739464</v>
      </c>
      <c r="BR71" s="25">
        <v>410.89876026481767</v>
      </c>
      <c r="BS71" s="25">
        <v>423.74671502987565</v>
      </c>
      <c r="BT71" s="25">
        <v>415.91501108463763</v>
      </c>
      <c r="BU71" s="25">
        <v>461.85662646024542</v>
      </c>
      <c r="BV71" s="25">
        <v>208.03805596239246</v>
      </c>
      <c r="BW71" s="25">
        <v>711.8398827478328</v>
      </c>
      <c r="BX71" s="25">
        <v>0</v>
      </c>
      <c r="BY71" s="25">
        <v>27110.545735152675</v>
      </c>
      <c r="BZ71" s="25">
        <v>2675.7793172376355</v>
      </c>
      <c r="CA71" s="25">
        <v>804207.61974603636</v>
      </c>
      <c r="CB71" s="25">
        <v>239.50738606091164</v>
      </c>
      <c r="CC71" s="25">
        <v>14024.792419332854</v>
      </c>
      <c r="CD71" s="25">
        <v>10427.517294669809</v>
      </c>
      <c r="CE71" s="25">
        <v>78.238101509793609</v>
      </c>
      <c r="CF71" s="25">
        <v>831653.45426484733</v>
      </c>
      <c r="CG71" s="25">
        <v>858764</v>
      </c>
      <c r="CH71"/>
      <c r="CI71">
        <f t="shared" ref="CI71:CI78" si="1">CF71/CG71</f>
        <v>0.9684307379732352</v>
      </c>
      <c r="CJ71"/>
      <c r="CK71"/>
      <c r="CL71"/>
      <c r="CM71"/>
      <c r="CN71"/>
      <c r="CO71"/>
      <c r="CP71"/>
      <c r="CQ71"/>
      <c r="CR71"/>
      <c r="CS71"/>
      <c r="CT71"/>
      <c r="CU71"/>
    </row>
    <row r="72" spans="1:99" s="5" customFormat="1" x14ac:dyDescent="0.3">
      <c r="A72" s="35" t="s">
        <v>76</v>
      </c>
      <c r="B72" s="11" t="s">
        <v>150</v>
      </c>
      <c r="C72" s="5">
        <v>67</v>
      </c>
      <c r="D72" s="25">
        <v>2.0639267555544296</v>
      </c>
      <c r="E72" s="25">
        <v>0.27582278463743687</v>
      </c>
      <c r="F72" s="25">
        <v>8.1850937898453463E-2</v>
      </c>
      <c r="G72" s="25">
        <v>1.8878462751132687</v>
      </c>
      <c r="H72" s="25">
        <v>10.075169262200149</v>
      </c>
      <c r="I72" s="25">
        <v>45.752746597845565</v>
      </c>
      <c r="J72" s="25">
        <v>0.86904905760055107</v>
      </c>
      <c r="K72" s="25">
        <v>30.188433714169108</v>
      </c>
      <c r="L72" s="25">
        <v>3.3089813089860112</v>
      </c>
      <c r="M72" s="25">
        <v>20.077640325300095</v>
      </c>
      <c r="N72" s="25">
        <v>26.181813468370393</v>
      </c>
      <c r="O72" s="25">
        <v>5.3494283952472514</v>
      </c>
      <c r="P72" s="25">
        <v>0.82692949892132539</v>
      </c>
      <c r="Q72" s="25">
        <v>4.7370777111865516</v>
      </c>
      <c r="R72" s="25">
        <v>7.4683805082089147</v>
      </c>
      <c r="S72" s="25">
        <v>3.4470009539477098</v>
      </c>
      <c r="T72" s="25">
        <v>11.825420509978191</v>
      </c>
      <c r="U72" s="25">
        <v>0.44971819482643954</v>
      </c>
      <c r="V72" s="25">
        <v>3.852857050045583</v>
      </c>
      <c r="W72" s="25">
        <v>9.880739477614435E-2</v>
      </c>
      <c r="X72" s="25">
        <v>6.3134622404576032E-4</v>
      </c>
      <c r="Y72" s="25">
        <v>0.93157600810179186</v>
      </c>
      <c r="Z72" s="25">
        <v>31.679140939242913</v>
      </c>
      <c r="AA72" s="25">
        <v>11.890595267991705</v>
      </c>
      <c r="AB72" s="25">
        <v>19.671677564177742</v>
      </c>
      <c r="AC72" s="25">
        <v>69.643530629303115</v>
      </c>
      <c r="AD72" s="25">
        <v>12.860111052764756</v>
      </c>
      <c r="AE72" s="25">
        <v>10.966728555138715</v>
      </c>
      <c r="AF72" s="25">
        <v>12.991515864926425</v>
      </c>
      <c r="AG72" s="25">
        <v>33.764487429716837</v>
      </c>
      <c r="AH72" s="25">
        <v>5.9046013268793853</v>
      </c>
      <c r="AI72" s="25">
        <v>17.135074584868725</v>
      </c>
      <c r="AJ72" s="25">
        <v>38.438409301759435</v>
      </c>
      <c r="AK72" s="25">
        <v>39.311970491869424</v>
      </c>
      <c r="AL72" s="25">
        <v>74.669615471071523</v>
      </c>
      <c r="AM72" s="25">
        <v>42.389988946562234</v>
      </c>
      <c r="AN72" s="25">
        <v>7.6822037092862256</v>
      </c>
      <c r="AO72" s="25">
        <v>7.1659021010442876</v>
      </c>
      <c r="AP72" s="25">
        <v>1.9204625856005966</v>
      </c>
      <c r="AQ72" s="25">
        <v>31.705838765293208</v>
      </c>
      <c r="AR72" s="25">
        <v>5.1791775665919282</v>
      </c>
      <c r="AS72" s="25">
        <v>3.7106874550180464</v>
      </c>
      <c r="AT72" s="25">
        <v>2.16648939721592</v>
      </c>
      <c r="AU72" s="25">
        <v>5.0518170914481608</v>
      </c>
      <c r="AV72" s="25">
        <v>14.883541925181662</v>
      </c>
      <c r="AW72" s="25">
        <v>9.194201743317544</v>
      </c>
      <c r="AX72" s="25">
        <v>146.24541251894161</v>
      </c>
      <c r="AY72" s="40">
        <v>14.203746203344206</v>
      </c>
      <c r="AZ72" s="25">
        <v>0.96434272526636722</v>
      </c>
      <c r="BA72" s="25">
        <v>1.539697915840359</v>
      </c>
      <c r="BB72" s="25">
        <v>14.690298679584528</v>
      </c>
      <c r="BC72" s="25">
        <v>2.3003477561564694</v>
      </c>
      <c r="BD72" s="25">
        <v>6.4628035097244343</v>
      </c>
      <c r="BE72" s="25">
        <v>1.308830553431215</v>
      </c>
      <c r="BF72" s="25">
        <v>2.7304267018625623</v>
      </c>
      <c r="BG72" s="25">
        <v>52.387588101802052</v>
      </c>
      <c r="BH72" s="25">
        <v>40.550455982106371</v>
      </c>
      <c r="BI72" s="25">
        <v>61.74464494303318</v>
      </c>
      <c r="BJ72" s="25">
        <v>4.0011354084452124</v>
      </c>
      <c r="BK72" s="25">
        <v>40.435685507104324</v>
      </c>
      <c r="BL72" s="25">
        <v>217.34121964459115</v>
      </c>
      <c r="BM72" s="25">
        <v>7.5854360695776002</v>
      </c>
      <c r="BN72" s="25">
        <v>11.244167570129857</v>
      </c>
      <c r="BO72" s="25">
        <v>26.249768743151524</v>
      </c>
      <c r="BP72" s="25">
        <v>2.7642098928074099</v>
      </c>
      <c r="BQ72" s="25">
        <v>52.523195476353287</v>
      </c>
      <c r="BR72" s="25">
        <v>16.285785393971757</v>
      </c>
      <c r="BS72" s="25">
        <v>9.4770716347897128</v>
      </c>
      <c r="BT72" s="25">
        <v>20.380088899879862</v>
      </c>
      <c r="BU72" s="25">
        <v>24.763166901748136</v>
      </c>
      <c r="BV72" s="25">
        <v>4.3853023230014561</v>
      </c>
      <c r="BW72" s="25">
        <v>22.111277585626347</v>
      </c>
      <c r="BX72" s="25">
        <v>0</v>
      </c>
      <c r="BY72" s="25">
        <v>1494.4049844676808</v>
      </c>
      <c r="BZ72" s="25">
        <v>72.195535644544861</v>
      </c>
      <c r="CA72" s="25">
        <v>335706.38581842551</v>
      </c>
      <c r="CB72" s="25">
        <v>4.2809484004282847</v>
      </c>
      <c r="CC72" s="25">
        <v>1022.7192815821425</v>
      </c>
      <c r="CD72" s="25">
        <v>12795.103448563041</v>
      </c>
      <c r="CE72" s="25">
        <v>-9.0017064846416389E-2</v>
      </c>
      <c r="CF72" s="25">
        <v>349600.59501555085</v>
      </c>
      <c r="CG72" s="25">
        <v>351095</v>
      </c>
      <c r="CH72"/>
      <c r="CI72">
        <f t="shared" si="1"/>
        <v>0.99574358796209239</v>
      </c>
      <c r="CJ72"/>
      <c r="CK72"/>
      <c r="CL72"/>
      <c r="CM72"/>
      <c r="CN72"/>
      <c r="CO72"/>
      <c r="CP72"/>
      <c r="CQ72"/>
      <c r="CR72"/>
      <c r="CS72"/>
      <c r="CT72"/>
      <c r="CU72"/>
    </row>
    <row r="73" spans="1:99" s="5" customFormat="1" x14ac:dyDescent="0.3">
      <c r="A73" s="35" t="s">
        <v>77</v>
      </c>
      <c r="B73" s="11" t="s">
        <v>151</v>
      </c>
      <c r="C73" s="5">
        <v>68</v>
      </c>
      <c r="D73" s="25">
        <v>7.6931196588894162</v>
      </c>
      <c r="E73" s="25">
        <v>3.4398061804698274</v>
      </c>
      <c r="F73" s="25">
        <v>0.23531890688741866</v>
      </c>
      <c r="G73" s="25">
        <v>1.1688349380460785</v>
      </c>
      <c r="H73" s="25">
        <v>32.090803239325453</v>
      </c>
      <c r="I73" s="25">
        <v>239.18651354077423</v>
      </c>
      <c r="J73" s="25">
        <v>32.206601350399488</v>
      </c>
      <c r="K73" s="25">
        <v>13.012275714823172</v>
      </c>
      <c r="L73" s="25">
        <v>0.53031690533919018</v>
      </c>
      <c r="M73" s="25">
        <v>39.269288462979574</v>
      </c>
      <c r="N73" s="25">
        <v>2.7849762096012798</v>
      </c>
      <c r="O73" s="25">
        <v>0.82902132452038613</v>
      </c>
      <c r="P73" s="25">
        <v>2.7504210464847763</v>
      </c>
      <c r="Q73" s="25">
        <v>2.5535982868458889</v>
      </c>
      <c r="R73" s="25">
        <v>1.8939423692618824</v>
      </c>
      <c r="S73" s="25">
        <v>0.82405929004859957</v>
      </c>
      <c r="T73" s="25">
        <v>55.353458389648281</v>
      </c>
      <c r="U73" s="25">
        <v>0.4775425967895906</v>
      </c>
      <c r="V73" s="25">
        <v>16.305044856813964</v>
      </c>
      <c r="W73" s="25">
        <v>0.41814658137677307</v>
      </c>
      <c r="X73" s="25">
        <v>2.6718168801836161E-3</v>
      </c>
      <c r="Y73" s="25">
        <v>0.79686294057605755</v>
      </c>
      <c r="Z73" s="25">
        <v>20.174624758939185</v>
      </c>
      <c r="AA73" s="25">
        <v>45.392102798355651</v>
      </c>
      <c r="AB73" s="25">
        <v>2.2188091099398242</v>
      </c>
      <c r="AC73" s="25">
        <v>4.9579920785830529</v>
      </c>
      <c r="AD73" s="25">
        <v>5.4647431781057154</v>
      </c>
      <c r="AE73" s="25">
        <v>2.2694667730187046</v>
      </c>
      <c r="AF73" s="25">
        <v>300.16181748548058</v>
      </c>
      <c r="AG73" s="25">
        <v>102.58528080084747</v>
      </c>
      <c r="AH73" s="25">
        <v>88.954361061399979</v>
      </c>
      <c r="AI73" s="25">
        <v>4.6984768810331072</v>
      </c>
      <c r="AJ73" s="25">
        <v>3.8106452399874771</v>
      </c>
      <c r="AK73" s="25">
        <v>31.474397604149097</v>
      </c>
      <c r="AL73" s="25">
        <v>125.67488215651107</v>
      </c>
      <c r="AM73" s="25">
        <v>6.565912956829802</v>
      </c>
      <c r="AN73" s="25">
        <v>0.88875294031319196</v>
      </c>
      <c r="AO73" s="25">
        <v>2.3893290269975265</v>
      </c>
      <c r="AP73" s="25">
        <v>13.887960629071138</v>
      </c>
      <c r="AQ73" s="25">
        <v>133.58868042921898</v>
      </c>
      <c r="AR73" s="25">
        <v>21.821832311435166</v>
      </c>
      <c r="AS73" s="25">
        <v>15.634528525507482</v>
      </c>
      <c r="AT73" s="25">
        <v>9.0023705929558737</v>
      </c>
      <c r="AU73" s="25">
        <v>1.9707052682565673</v>
      </c>
      <c r="AV73" s="25">
        <v>11.945281151936943</v>
      </c>
      <c r="AW73" s="25">
        <v>38.038843675537215</v>
      </c>
      <c r="AX73" s="25">
        <v>1167.9270917518841</v>
      </c>
      <c r="AY73" s="40">
        <v>1448.9608851220555</v>
      </c>
      <c r="AZ73" s="25">
        <v>99.031452795503299</v>
      </c>
      <c r="BA73" s="25">
        <v>14.563146371186113</v>
      </c>
      <c r="BB73" s="25">
        <v>361.18155596885236</v>
      </c>
      <c r="BC73" s="25">
        <v>3.4071223149043863</v>
      </c>
      <c r="BD73" s="25">
        <v>15.760841476762209</v>
      </c>
      <c r="BE73" s="25">
        <v>0.69144612366886116</v>
      </c>
      <c r="BF73" s="25">
        <v>1.1102350488226516</v>
      </c>
      <c r="BG73" s="25">
        <v>69.804466120173885</v>
      </c>
      <c r="BH73" s="25">
        <v>5.3559695425427449</v>
      </c>
      <c r="BI73" s="25">
        <v>2315.4388469453534</v>
      </c>
      <c r="BJ73" s="25">
        <v>4.3591810524838177</v>
      </c>
      <c r="BK73" s="25">
        <v>3599.9208111515995</v>
      </c>
      <c r="BL73" s="25">
        <v>207.77212617743078</v>
      </c>
      <c r="BM73" s="25">
        <v>822.59775964373694</v>
      </c>
      <c r="BN73" s="25">
        <v>83.583001871973934</v>
      </c>
      <c r="BO73" s="25">
        <v>2309.1202065329398</v>
      </c>
      <c r="BP73" s="25">
        <v>184.11821011257584</v>
      </c>
      <c r="BQ73" s="25">
        <v>511.90672001070294</v>
      </c>
      <c r="BR73" s="25">
        <v>159.47710499957969</v>
      </c>
      <c r="BS73" s="25">
        <v>8.9007030056402883</v>
      </c>
      <c r="BT73" s="25">
        <v>571.81095619896587</v>
      </c>
      <c r="BU73" s="25">
        <v>9.1103491062203279</v>
      </c>
      <c r="BV73" s="25">
        <v>6.7983796621682746</v>
      </c>
      <c r="BW73" s="25">
        <v>622.26668220225201</v>
      </c>
      <c r="BX73" s="25">
        <v>0</v>
      </c>
      <c r="BY73" s="25">
        <v>16052.369673351172</v>
      </c>
      <c r="BZ73" s="25">
        <v>92.455577528246238</v>
      </c>
      <c r="CA73" s="25">
        <v>0.51459416319356455</v>
      </c>
      <c r="CB73" s="25">
        <v>0</v>
      </c>
      <c r="CC73" s="25">
        <v>126599.373906023</v>
      </c>
      <c r="CD73" s="25">
        <v>692.28624894467021</v>
      </c>
      <c r="CE73" s="25">
        <v>0</v>
      </c>
      <c r="CF73" s="25">
        <v>127384.63032665911</v>
      </c>
      <c r="CG73" s="25">
        <v>143437</v>
      </c>
      <c r="CH73"/>
      <c r="CI73">
        <f t="shared" si="1"/>
        <v>0.88808766445658449</v>
      </c>
      <c r="CJ73"/>
      <c r="CK73"/>
      <c r="CL73"/>
      <c r="CM73"/>
      <c r="CN73"/>
      <c r="CO73"/>
      <c r="CP73"/>
      <c r="CQ73"/>
      <c r="CR73"/>
      <c r="CS73"/>
      <c r="CT73"/>
      <c r="CU73"/>
    </row>
    <row r="74" spans="1:99" s="5" customFormat="1" x14ac:dyDescent="0.3">
      <c r="A74" s="35" t="s">
        <v>78</v>
      </c>
      <c r="B74" s="11" t="s">
        <v>152</v>
      </c>
      <c r="C74" s="5">
        <v>69</v>
      </c>
      <c r="D74" s="25">
        <v>3.2294223729739297E-5</v>
      </c>
      <c r="E74" s="25">
        <v>2.8257445763521883E-5</v>
      </c>
      <c r="F74" s="25">
        <v>3.6331001695956711E-5</v>
      </c>
      <c r="G74" s="25">
        <v>6.1031998076404026E-2</v>
      </c>
      <c r="H74" s="25">
        <v>2.1596762119263156E-3</v>
      </c>
      <c r="I74" s="25">
        <v>4.3869569256025747</v>
      </c>
      <c r="J74" s="25">
        <v>8.8809115256783077E-5</v>
      </c>
      <c r="K74" s="25">
        <v>2.6230680012243184</v>
      </c>
      <c r="L74" s="25">
        <v>0.24430561053612967</v>
      </c>
      <c r="M74" s="25">
        <v>1.2514627556917148</v>
      </c>
      <c r="N74" s="25">
        <v>2.4069289849500528</v>
      </c>
      <c r="O74" s="25">
        <v>0.487509180687482</v>
      </c>
      <c r="P74" s="25">
        <v>1.4007619542774419E-3</v>
      </c>
      <c r="Q74" s="25">
        <v>0.39773332910004544</v>
      </c>
      <c r="R74" s="25">
        <v>0.70109695328709887</v>
      </c>
      <c r="S74" s="25">
        <v>0.33528845873546531</v>
      </c>
      <c r="T74" s="25">
        <v>0.94516035714525537</v>
      </c>
      <c r="U74" s="25">
        <v>3.0697654046681799E-2</v>
      </c>
      <c r="V74" s="25">
        <v>8.5787658126258574E-4</v>
      </c>
      <c r="W74" s="25">
        <v>2.2000439915884898E-5</v>
      </c>
      <c r="X74" s="25">
        <v>1.4057545692514377E-7</v>
      </c>
      <c r="Y74" s="25">
        <v>9.6882671189217888E-4</v>
      </c>
      <c r="Z74" s="25">
        <v>2.773028127515254</v>
      </c>
      <c r="AA74" s="25">
        <v>0.76207647324994199</v>
      </c>
      <c r="AB74" s="25">
        <v>1.859082131996356</v>
      </c>
      <c r="AC74" s="25">
        <v>6.79460849380858</v>
      </c>
      <c r="AD74" s="25">
        <v>1.068257768457415</v>
      </c>
      <c r="AE74" s="25">
        <v>0.82335471478228539</v>
      </c>
      <c r="AF74" s="25">
        <v>0.91539923558673608</v>
      </c>
      <c r="AG74" s="25">
        <v>3.3510438166020577</v>
      </c>
      <c r="AH74" s="25">
        <v>0.30585027941424331</v>
      </c>
      <c r="AI74" s="25">
        <v>1.3717505695393877</v>
      </c>
      <c r="AJ74" s="25">
        <v>3.8389243808624318</v>
      </c>
      <c r="AK74" s="25">
        <v>3.4738465431226837</v>
      </c>
      <c r="AL74" s="25">
        <v>7.34226965497583</v>
      </c>
      <c r="AM74" s="25">
        <v>4.2964019758676573</v>
      </c>
      <c r="AN74" s="25">
        <v>0.76187463435163116</v>
      </c>
      <c r="AO74" s="25">
        <v>0.64086423724800579</v>
      </c>
      <c r="AP74" s="25">
        <v>3.073802182634397E-2</v>
      </c>
      <c r="AQ74" s="25">
        <v>2.42302279024373</v>
      </c>
      <c r="AR74" s="25">
        <v>0.39580297406635273</v>
      </c>
      <c r="AS74" s="25">
        <v>0.28357806073316438</v>
      </c>
      <c r="AT74" s="25">
        <v>0.16328441184438147</v>
      </c>
      <c r="AU74" s="25">
        <v>0.33659637479651972</v>
      </c>
      <c r="AV74" s="25">
        <v>0.6143648322861901</v>
      </c>
      <c r="AW74" s="25">
        <v>1.7313740697106485E-2</v>
      </c>
      <c r="AX74" s="25">
        <v>5.184704507338088</v>
      </c>
      <c r="AY74" s="40">
        <v>6.0147991696639438E-3</v>
      </c>
      <c r="AZ74" s="25">
        <v>3.4716290509469747E-4</v>
      </c>
      <c r="BA74" s="25">
        <v>5.0056046781095907E-4</v>
      </c>
      <c r="BB74" s="25">
        <v>1.364834630378107E-2</v>
      </c>
      <c r="BC74" s="25">
        <v>5.8048867154206389E-3</v>
      </c>
      <c r="BD74" s="25">
        <v>2.6836499919413358E-2</v>
      </c>
      <c r="BE74" s="25">
        <v>6.1770728444221816E-2</v>
      </c>
      <c r="BF74" s="25">
        <v>2.1919704356560548E-3</v>
      </c>
      <c r="BG74" s="25">
        <v>1.9600802263298769</v>
      </c>
      <c r="BH74" s="25">
        <v>2.994083939352373</v>
      </c>
      <c r="BI74" s="25">
        <v>0.23796183795963752</v>
      </c>
      <c r="BJ74" s="25">
        <v>1.0273599924023314E-2</v>
      </c>
      <c r="BK74" s="25">
        <v>2.4511315810872125E-2</v>
      </c>
      <c r="BL74" s="25">
        <v>22.364055260976574</v>
      </c>
      <c r="BM74" s="25">
        <v>5.1226712391298961E-3</v>
      </c>
      <c r="BN74" s="25">
        <v>0.88863744005711631</v>
      </c>
      <c r="BO74" s="25">
        <v>0.1383967998041237</v>
      </c>
      <c r="BP74" s="25">
        <v>1.227180501730093E-3</v>
      </c>
      <c r="BQ74" s="25">
        <v>0.61901854751741858</v>
      </c>
      <c r="BR74" s="25">
        <v>5.4812655002414966E-2</v>
      </c>
      <c r="BS74" s="25">
        <v>5.3085624647323568E-2</v>
      </c>
      <c r="BT74" s="25">
        <v>0.10595587883353831</v>
      </c>
      <c r="BU74" s="25">
        <v>324.82556340841802</v>
      </c>
      <c r="BV74" s="25">
        <v>1.7568057708978176E-2</v>
      </c>
      <c r="BW74" s="25">
        <v>1.7220894803883481E-2</v>
      </c>
      <c r="BX74" s="25">
        <v>0</v>
      </c>
      <c r="BY74" s="25">
        <v>418.13956422780484</v>
      </c>
      <c r="BZ74" s="25">
        <v>2.5367190612490513</v>
      </c>
      <c r="CA74" s="25">
        <v>198903.049000392</v>
      </c>
      <c r="CB74" s="25">
        <v>81.824529596236772</v>
      </c>
      <c r="CC74" s="25">
        <v>1941.8765092080926</v>
      </c>
      <c r="CD74" s="25">
        <v>1368.5736775162118</v>
      </c>
      <c r="CE74" s="25">
        <v>0</v>
      </c>
      <c r="CF74" s="25">
        <v>202297.86043577379</v>
      </c>
      <c r="CG74" s="25">
        <v>202716</v>
      </c>
      <c r="CH74"/>
      <c r="CI74">
        <f t="shared" si="1"/>
        <v>0.99793731346205428</v>
      </c>
      <c r="CJ74"/>
      <c r="CK74"/>
      <c r="CL74"/>
      <c r="CM74"/>
      <c r="CN74"/>
      <c r="CO74"/>
      <c r="CP74"/>
      <c r="CQ74"/>
      <c r="CR74"/>
      <c r="CS74"/>
      <c r="CT74"/>
      <c r="CU74"/>
    </row>
    <row r="75" spans="1:99" s="5" customFormat="1" x14ac:dyDescent="0.3">
      <c r="A75" s="35" t="s">
        <v>79</v>
      </c>
      <c r="B75" s="11" t="s">
        <v>153</v>
      </c>
      <c r="C75" s="5">
        <v>70</v>
      </c>
      <c r="D75" s="25">
        <v>1.1755097437625104E-2</v>
      </c>
      <c r="E75" s="25">
        <v>1.0285710257921965E-2</v>
      </c>
      <c r="F75" s="25">
        <v>1.3224484617328242E-2</v>
      </c>
      <c r="G75" s="25">
        <v>3.9163219281818547E-2</v>
      </c>
      <c r="H75" s="25">
        <v>0.78612214114117884</v>
      </c>
      <c r="I75" s="25">
        <v>0.1454671212312241</v>
      </c>
      <c r="J75" s="25">
        <v>3.2326517953469039E-2</v>
      </c>
      <c r="K75" s="25">
        <v>1.2079369828943807</v>
      </c>
      <c r="L75" s="25">
        <v>0.22130591303421226</v>
      </c>
      <c r="M75" s="25">
        <v>0.91451942093471872</v>
      </c>
      <c r="N75" s="25">
        <v>0.15102934091385145</v>
      </c>
      <c r="O75" s="25">
        <v>4.1469126009467838E-2</v>
      </c>
      <c r="P75" s="25">
        <v>0.50987735135698886</v>
      </c>
      <c r="Q75" s="25">
        <v>0.62778526897641762</v>
      </c>
      <c r="R75" s="25">
        <v>0.16972407041761389</v>
      </c>
      <c r="S75" s="25">
        <v>7.4336536798500746E-2</v>
      </c>
      <c r="T75" s="25">
        <v>0.30286675266963786</v>
      </c>
      <c r="U75" s="25">
        <v>8.5704032727550478E-2</v>
      </c>
      <c r="V75" s="25">
        <v>0.31226707557958122</v>
      </c>
      <c r="W75" s="25">
        <v>8.0081601293821025E-3</v>
      </c>
      <c r="X75" s="25">
        <v>5.1169466320752328E-5</v>
      </c>
      <c r="Y75" s="25">
        <v>0.35265292312875313</v>
      </c>
      <c r="Z75" s="25">
        <v>0.35221275147159053</v>
      </c>
      <c r="AA75" s="25">
        <v>0.18978525636329166</v>
      </c>
      <c r="AB75" s="25">
        <v>0.32313159053150481</v>
      </c>
      <c r="AC75" s="25">
        <v>0.55951676731193722</v>
      </c>
      <c r="AD75" s="25">
        <v>0.75735630923727837</v>
      </c>
      <c r="AE75" s="25">
        <v>0.3185810936070016</v>
      </c>
      <c r="AF75" s="25">
        <v>0.55806054563321528</v>
      </c>
      <c r="AG75" s="25">
        <v>7.3324814040376579E-2</v>
      </c>
      <c r="AH75" s="25">
        <v>0.44708130413832931</v>
      </c>
      <c r="AI75" s="25">
        <v>0.34631550042897502</v>
      </c>
      <c r="AJ75" s="25">
        <v>0.24997756058253309</v>
      </c>
      <c r="AK75" s="25">
        <v>0.42054910648968791</v>
      </c>
      <c r="AL75" s="25">
        <v>0.3198227074279395</v>
      </c>
      <c r="AM75" s="25">
        <v>0.44819153851546822</v>
      </c>
      <c r="AN75" s="25">
        <v>0.11631589737813476</v>
      </c>
      <c r="AO75" s="25">
        <v>0.42149951271701663</v>
      </c>
      <c r="AP75" s="25">
        <v>0.10039790452458186</v>
      </c>
      <c r="AQ75" s="25">
        <v>1.6832340893780942</v>
      </c>
      <c r="AR75" s="25">
        <v>0.27495781769295818</v>
      </c>
      <c r="AS75" s="25">
        <v>0.19699701577209666</v>
      </c>
      <c r="AT75" s="25">
        <v>0.11343099593911311</v>
      </c>
      <c r="AU75" s="25">
        <v>0.55041798302231748</v>
      </c>
      <c r="AV75" s="25">
        <v>1.8639581468807298</v>
      </c>
      <c r="AW75" s="25">
        <v>6.3022016137467594</v>
      </c>
      <c r="AX75" s="25">
        <v>68.760746067666105</v>
      </c>
      <c r="AY75" s="40">
        <v>2.1893868977576756</v>
      </c>
      <c r="AZ75" s="25">
        <v>0.12636729745446987</v>
      </c>
      <c r="BA75" s="25">
        <v>0.18220401028318908</v>
      </c>
      <c r="BB75" s="25">
        <v>4.9679980545763094</v>
      </c>
      <c r="BC75" s="25">
        <v>2.1129787644131124</v>
      </c>
      <c r="BD75" s="25">
        <v>9.7684859706664611</v>
      </c>
      <c r="BE75" s="25">
        <v>0.30806107316749276</v>
      </c>
      <c r="BF75" s="25">
        <v>0.79787723857880399</v>
      </c>
      <c r="BG75" s="25">
        <v>3.8217118071392782</v>
      </c>
      <c r="BH75" s="25">
        <v>3.1988339783305415</v>
      </c>
      <c r="BI75" s="25">
        <v>9.0004147354556938</v>
      </c>
      <c r="BJ75" s="25">
        <v>3.7395903723444861</v>
      </c>
      <c r="BK75" s="25">
        <v>8.9221189551574529</v>
      </c>
      <c r="BL75" s="25">
        <v>1.7464574412383413</v>
      </c>
      <c r="BM75" s="25">
        <v>1.8646523310432823</v>
      </c>
      <c r="BN75" s="25">
        <v>1.9050090131162243</v>
      </c>
      <c r="BO75" s="25">
        <v>6.0234669676425341</v>
      </c>
      <c r="BP75" s="25">
        <v>0.44669370262975389</v>
      </c>
      <c r="BQ75" s="25">
        <v>71.482262126165793</v>
      </c>
      <c r="BR75" s="25">
        <v>6.7654787777212286</v>
      </c>
      <c r="BS75" s="25">
        <v>8.2349253313611523</v>
      </c>
      <c r="BT75" s="25">
        <v>12.195284609092305</v>
      </c>
      <c r="BU75" s="25">
        <v>35757.027765934254</v>
      </c>
      <c r="BV75" s="25">
        <v>6.3947730060680561</v>
      </c>
      <c r="BW75" s="25">
        <v>6.2684057086135869</v>
      </c>
      <c r="BX75" s="25">
        <v>0</v>
      </c>
      <c r="BY75" s="25">
        <v>36021.257146411728</v>
      </c>
      <c r="BZ75" s="25">
        <v>283.84197637122588</v>
      </c>
      <c r="CA75" s="25">
        <v>43422.333673069385</v>
      </c>
      <c r="CB75" s="25">
        <v>9016.6756500718675</v>
      </c>
      <c r="CC75" s="25">
        <v>214107.34658859362</v>
      </c>
      <c r="CD75" s="25">
        <v>21.5449654913572</v>
      </c>
      <c r="CE75" s="25">
        <v>0</v>
      </c>
      <c r="CF75" s="25">
        <v>266851.74285359745</v>
      </c>
      <c r="CG75" s="25">
        <v>302873</v>
      </c>
      <c r="CH75"/>
      <c r="CI75">
        <f t="shared" si="1"/>
        <v>0.88106811387478401</v>
      </c>
      <c r="CJ75"/>
      <c r="CK75"/>
      <c r="CL75"/>
      <c r="CM75"/>
      <c r="CN75"/>
      <c r="CO75"/>
      <c r="CP75"/>
      <c r="CQ75"/>
      <c r="CR75"/>
      <c r="CS75"/>
      <c r="CT75"/>
      <c r="CU75"/>
    </row>
    <row r="76" spans="1:99" s="5" customFormat="1" x14ac:dyDescent="0.3">
      <c r="A76" s="35" t="s">
        <v>80</v>
      </c>
      <c r="B76" s="11" t="s">
        <v>154</v>
      </c>
      <c r="C76" s="5">
        <v>71</v>
      </c>
      <c r="D76" s="25">
        <v>1.4986280733025255</v>
      </c>
      <c r="E76" s="25">
        <v>12.406923136743467</v>
      </c>
      <c r="F76" s="25">
        <v>2.8699715025936685</v>
      </c>
      <c r="G76" s="25">
        <v>1.1093648190283103</v>
      </c>
      <c r="H76" s="25">
        <v>23.883461720066183</v>
      </c>
      <c r="I76" s="25">
        <v>0.59580127768691005</v>
      </c>
      <c r="J76" s="25">
        <v>8.2115958433375172E-2</v>
      </c>
      <c r="K76" s="25">
        <v>70.066051385824508</v>
      </c>
      <c r="L76" s="25">
        <v>4.4852842431006561</v>
      </c>
      <c r="M76" s="25">
        <v>109.4629225999212</v>
      </c>
      <c r="N76" s="25">
        <v>138.17899326163968</v>
      </c>
      <c r="O76" s="25">
        <v>6.282718772982836</v>
      </c>
      <c r="P76" s="25">
        <v>3.1594771411283071</v>
      </c>
      <c r="Q76" s="25">
        <v>10.927452562690849</v>
      </c>
      <c r="R76" s="25">
        <v>23.196386722881908</v>
      </c>
      <c r="S76" s="25">
        <v>1.3517147463670134</v>
      </c>
      <c r="T76" s="25">
        <v>15.95481681098444</v>
      </c>
      <c r="U76" s="25">
        <v>1.7050305166385509</v>
      </c>
      <c r="V76" s="25">
        <v>7.7296033229704495</v>
      </c>
      <c r="W76" s="25">
        <v>0.19822743410288279</v>
      </c>
      <c r="X76" s="25">
        <v>1.2666070419797221E-3</v>
      </c>
      <c r="Y76" s="25">
        <v>3.4283167180381482</v>
      </c>
      <c r="Z76" s="25">
        <v>4.2293577832673712</v>
      </c>
      <c r="AA76" s="25">
        <v>15.243865865442542</v>
      </c>
      <c r="AB76" s="25">
        <v>37.010433202345496</v>
      </c>
      <c r="AC76" s="25">
        <v>58.322253648757147</v>
      </c>
      <c r="AD76" s="25">
        <v>16.681252259739647</v>
      </c>
      <c r="AE76" s="25">
        <v>7.9338672862677893</v>
      </c>
      <c r="AF76" s="25">
        <v>7.8320548728184445</v>
      </c>
      <c r="AG76" s="25">
        <v>0.82339853409914499</v>
      </c>
      <c r="AH76" s="25">
        <v>15.400912749045977</v>
      </c>
      <c r="AI76" s="25">
        <v>39.890254566362692</v>
      </c>
      <c r="AJ76" s="25">
        <v>18.780009081193146</v>
      </c>
      <c r="AK76" s="25">
        <v>13.623331972886721</v>
      </c>
      <c r="AL76" s="25">
        <v>126.17215309719087</v>
      </c>
      <c r="AM76" s="25">
        <v>5.2672131904894677</v>
      </c>
      <c r="AN76" s="25">
        <v>7.3457507494033916</v>
      </c>
      <c r="AO76" s="25">
        <v>12.668718308606875</v>
      </c>
      <c r="AP76" s="25">
        <v>4.4806153401284243</v>
      </c>
      <c r="AQ76" s="25">
        <v>77.489366631310631</v>
      </c>
      <c r="AR76" s="25">
        <v>12.657958437157586</v>
      </c>
      <c r="AS76" s="25">
        <v>9.0689548630031123</v>
      </c>
      <c r="AT76" s="25">
        <v>5.2219094700774402</v>
      </c>
      <c r="AU76" s="25">
        <v>6.3468417198520486</v>
      </c>
      <c r="AV76" s="25">
        <v>42.925069779165767</v>
      </c>
      <c r="AW76" s="25">
        <v>78.336398986871984</v>
      </c>
      <c r="AX76" s="25">
        <v>575.57784742746389</v>
      </c>
      <c r="AY76" s="40">
        <v>23.265513951823984</v>
      </c>
      <c r="AZ76" s="25">
        <v>1.3569338822012436</v>
      </c>
      <c r="BA76" s="25">
        <v>5.5426628233724387</v>
      </c>
      <c r="BB76" s="25">
        <v>39.932233379389444</v>
      </c>
      <c r="BC76" s="25">
        <v>23.825612703594274</v>
      </c>
      <c r="BD76" s="25">
        <v>32.016448313920861</v>
      </c>
      <c r="BE76" s="25">
        <v>18.985733075376832</v>
      </c>
      <c r="BF76" s="25">
        <v>1904.5501653147101</v>
      </c>
      <c r="BG76" s="25">
        <v>351.93897884104206</v>
      </c>
      <c r="BH76" s="25">
        <v>60.989368197077944</v>
      </c>
      <c r="BI76" s="25">
        <v>270.17862508813107</v>
      </c>
      <c r="BJ76" s="25">
        <v>28.419924719166982</v>
      </c>
      <c r="BK76" s="25">
        <v>130.3067149424395</v>
      </c>
      <c r="BL76" s="25">
        <v>12.331077928735786</v>
      </c>
      <c r="BM76" s="25">
        <v>121.94242880674938</v>
      </c>
      <c r="BN76" s="25">
        <v>30.254224007791166</v>
      </c>
      <c r="BO76" s="25">
        <v>69.633123723185719</v>
      </c>
      <c r="BP76" s="25">
        <v>5.5756073007752693</v>
      </c>
      <c r="BQ76" s="25">
        <v>680.87192217199959</v>
      </c>
      <c r="BR76" s="25">
        <v>78.20610344147282</v>
      </c>
      <c r="BS76" s="25">
        <v>82.146169919848063</v>
      </c>
      <c r="BT76" s="25">
        <v>75.687248092099068</v>
      </c>
      <c r="BU76" s="25">
        <v>5.3434921323855962</v>
      </c>
      <c r="BV76" s="25">
        <v>675.20568767927989</v>
      </c>
      <c r="BW76" s="25">
        <v>957.77179193384268</v>
      </c>
      <c r="BX76" s="25">
        <v>0</v>
      </c>
      <c r="BY76" s="25">
        <v>7324.1821115275288</v>
      </c>
      <c r="BZ76" s="25">
        <v>2633.5832627942486</v>
      </c>
      <c r="CA76" s="25">
        <v>0.11658774009854199</v>
      </c>
      <c r="CB76" s="25">
        <v>8348.6426618049227</v>
      </c>
      <c r="CC76" s="25">
        <v>22056.495746863191</v>
      </c>
      <c r="CD76" s="25">
        <v>2.9796292765998467</v>
      </c>
      <c r="CE76" s="25">
        <v>0</v>
      </c>
      <c r="CF76" s="25">
        <v>33041.817888479069</v>
      </c>
      <c r="CG76" s="25">
        <v>40366</v>
      </c>
      <c r="CH76"/>
      <c r="CI76">
        <f t="shared" si="1"/>
        <v>0.81855566289647397</v>
      </c>
      <c r="CJ76"/>
      <c r="CK76"/>
      <c r="CL76"/>
      <c r="CM76"/>
      <c r="CN76"/>
      <c r="CO76"/>
      <c r="CP76"/>
      <c r="CQ76"/>
      <c r="CR76"/>
      <c r="CS76"/>
      <c r="CT76"/>
      <c r="CU76"/>
    </row>
    <row r="77" spans="1:99" s="5" customFormat="1" x14ac:dyDescent="0.3">
      <c r="A77" s="35" t="s">
        <v>81</v>
      </c>
      <c r="B77" s="11" t="s">
        <v>155</v>
      </c>
      <c r="C77" s="5">
        <v>72</v>
      </c>
      <c r="D77" s="25">
        <v>148.27950520159411</v>
      </c>
      <c r="E77" s="25">
        <v>40.271914537994917</v>
      </c>
      <c r="F77" s="25">
        <v>24.758478477861253</v>
      </c>
      <c r="G77" s="25">
        <v>42.394301846332148</v>
      </c>
      <c r="H77" s="25">
        <v>950.08717775764546</v>
      </c>
      <c r="I77" s="25">
        <v>353.79076463943113</v>
      </c>
      <c r="J77" s="25">
        <v>55.93996081256256</v>
      </c>
      <c r="K77" s="25">
        <v>261.50324566597476</v>
      </c>
      <c r="L77" s="25">
        <v>69.745367284537437</v>
      </c>
      <c r="M77" s="25">
        <v>276.75602190465725</v>
      </c>
      <c r="N77" s="25">
        <v>144.34792700589529</v>
      </c>
      <c r="O77" s="25">
        <v>17.244388152548758</v>
      </c>
      <c r="P77" s="25">
        <v>66.837152902180904</v>
      </c>
      <c r="Q77" s="25">
        <v>111.64269619022069</v>
      </c>
      <c r="R77" s="25">
        <v>65.177523615905727</v>
      </c>
      <c r="S77" s="25">
        <v>85.35781524069165</v>
      </c>
      <c r="T77" s="25">
        <v>164.59709558961441</v>
      </c>
      <c r="U77" s="25">
        <v>47.971054932836935</v>
      </c>
      <c r="V77" s="25">
        <v>166.01956736593948</v>
      </c>
      <c r="W77" s="25">
        <v>4.2576095401974481</v>
      </c>
      <c r="X77" s="25">
        <v>2.7204701760984502E-2</v>
      </c>
      <c r="Y77" s="25">
        <v>64.473650177282593</v>
      </c>
      <c r="Z77" s="25">
        <v>135.03627652301645</v>
      </c>
      <c r="AA77" s="25">
        <v>60.718371728066813</v>
      </c>
      <c r="AB77" s="25">
        <v>60.579475023827683</v>
      </c>
      <c r="AC77" s="25">
        <v>130.43822493114192</v>
      </c>
      <c r="AD77" s="25">
        <v>212.12917441869078</v>
      </c>
      <c r="AE77" s="25">
        <v>175.31938299820357</v>
      </c>
      <c r="AF77" s="25">
        <v>162.94022516942098</v>
      </c>
      <c r="AG77" s="25">
        <v>65.686681590896782</v>
      </c>
      <c r="AH77" s="25">
        <v>267.83666984174027</v>
      </c>
      <c r="AI77" s="25">
        <v>291.8352624901928</v>
      </c>
      <c r="AJ77" s="25">
        <v>157.88351006524681</v>
      </c>
      <c r="AK77" s="25">
        <v>236.91165976659266</v>
      </c>
      <c r="AL77" s="25">
        <v>292.37981343585159</v>
      </c>
      <c r="AM77" s="25">
        <v>182.28603285306875</v>
      </c>
      <c r="AN77" s="25">
        <v>67.060545629051006</v>
      </c>
      <c r="AO77" s="25">
        <v>130.24699471927141</v>
      </c>
      <c r="AP77" s="25">
        <v>6.480592988657464</v>
      </c>
      <c r="AQ77" s="25">
        <v>528.00611272798199</v>
      </c>
      <c r="AR77" s="25">
        <v>86.25027819978834</v>
      </c>
      <c r="AS77" s="25">
        <v>61.795105727254168</v>
      </c>
      <c r="AT77" s="25">
        <v>35.581657718685506</v>
      </c>
      <c r="AU77" s="25">
        <v>1.8169400849418156</v>
      </c>
      <c r="AV77" s="25">
        <v>148.55346211832205</v>
      </c>
      <c r="AW77" s="25">
        <v>87.560218167820551</v>
      </c>
      <c r="AX77" s="25">
        <v>3369.3563922196859</v>
      </c>
      <c r="AY77" s="40">
        <v>480.05488665553509</v>
      </c>
      <c r="AZ77" s="25">
        <v>5.5978326635053959</v>
      </c>
      <c r="BA77" s="25">
        <v>9.1837366115049619</v>
      </c>
      <c r="BB77" s="25">
        <v>1341.3589095970306</v>
      </c>
      <c r="BC77" s="25">
        <v>175.31864687996406</v>
      </c>
      <c r="BD77" s="25">
        <v>228.01581578550022</v>
      </c>
      <c r="BE77" s="25">
        <v>34.680168524134501</v>
      </c>
      <c r="BF77" s="25">
        <v>177.14241759216932</v>
      </c>
      <c r="BG77" s="25">
        <v>3219.3982532858768</v>
      </c>
      <c r="BH77" s="25">
        <v>1425.747618554632</v>
      </c>
      <c r="BI77" s="25">
        <v>2146.9400580348452</v>
      </c>
      <c r="BJ77" s="25">
        <v>125.60752076692776</v>
      </c>
      <c r="BK77" s="25">
        <v>517.06424042769754</v>
      </c>
      <c r="BL77" s="25">
        <v>69.449786781805045</v>
      </c>
      <c r="BM77" s="25">
        <v>576.89632965365729</v>
      </c>
      <c r="BN77" s="25">
        <v>155.80906917715848</v>
      </c>
      <c r="BO77" s="25">
        <v>1371.5564717872458</v>
      </c>
      <c r="BP77" s="25">
        <v>40.389507983655974</v>
      </c>
      <c r="BQ77" s="25">
        <v>703.5707730035349</v>
      </c>
      <c r="BR77" s="25">
        <v>115.54973983387723</v>
      </c>
      <c r="BS77" s="25">
        <v>552.44266451575413</v>
      </c>
      <c r="BT77" s="25">
        <v>1472.1357056679005</v>
      </c>
      <c r="BU77" s="25">
        <v>2832.4991176373801</v>
      </c>
      <c r="BV77" s="25">
        <v>27.255310713115467</v>
      </c>
      <c r="BW77" s="25">
        <v>625.18009024417051</v>
      </c>
      <c r="BX77" s="25">
        <v>0</v>
      </c>
      <c r="BY77" s="25">
        <v>28545.014157059668</v>
      </c>
      <c r="BZ77" s="25">
        <v>57.039317088075066</v>
      </c>
      <c r="CA77" s="25">
        <v>1.0854720629864254</v>
      </c>
      <c r="CB77" s="25">
        <v>47319</v>
      </c>
      <c r="CC77" s="25">
        <v>95909.47268428946</v>
      </c>
      <c r="CD77" s="25">
        <v>87.355970819926981</v>
      </c>
      <c r="CE77" s="25">
        <v>3.2398694523191274E-2</v>
      </c>
      <c r="CF77" s="25">
        <v>143373.98584295495</v>
      </c>
      <c r="CG77" s="25">
        <v>171919</v>
      </c>
      <c r="CH77"/>
      <c r="CI77">
        <f t="shared" si="1"/>
        <v>0.83396242325138559</v>
      </c>
      <c r="CJ77"/>
      <c r="CK77"/>
      <c r="CL77"/>
      <c r="CM77"/>
      <c r="CN77"/>
      <c r="CO77"/>
      <c r="CP77"/>
      <c r="CQ77"/>
      <c r="CR77"/>
      <c r="CS77"/>
      <c r="CT77"/>
      <c r="CU77"/>
    </row>
    <row r="78" spans="1:99" s="5" customFormat="1" x14ac:dyDescent="0.3">
      <c r="A78" s="35" t="s">
        <v>82</v>
      </c>
      <c r="B78" s="11" t="s">
        <v>156</v>
      </c>
      <c r="C78" s="5">
        <v>73</v>
      </c>
      <c r="D78" s="25">
        <v>0</v>
      </c>
      <c r="E78" s="25">
        <v>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0</v>
      </c>
      <c r="AH78" s="25">
        <v>0</v>
      </c>
      <c r="AI78" s="25">
        <v>0</v>
      </c>
      <c r="AJ78" s="25">
        <v>0</v>
      </c>
      <c r="AK78" s="25">
        <v>0</v>
      </c>
      <c r="AL78" s="25">
        <v>0</v>
      </c>
      <c r="AM78" s="25">
        <v>0</v>
      </c>
      <c r="AN78" s="25">
        <v>0</v>
      </c>
      <c r="AO78" s="25">
        <v>0</v>
      </c>
      <c r="AP78" s="25">
        <v>0</v>
      </c>
      <c r="AQ78" s="25">
        <v>0</v>
      </c>
      <c r="AR78" s="25">
        <v>0</v>
      </c>
      <c r="AS78" s="25">
        <v>0</v>
      </c>
      <c r="AT78" s="25">
        <v>0</v>
      </c>
      <c r="AU78" s="25">
        <v>0</v>
      </c>
      <c r="AV78" s="25">
        <v>0</v>
      </c>
      <c r="AW78" s="25">
        <v>0</v>
      </c>
      <c r="AX78" s="25">
        <v>0</v>
      </c>
      <c r="AY78" s="40">
        <v>0</v>
      </c>
      <c r="AZ78" s="25">
        <v>0</v>
      </c>
      <c r="BA78" s="25">
        <v>0</v>
      </c>
      <c r="BB78" s="25">
        <v>0</v>
      </c>
      <c r="BC78" s="25">
        <v>0</v>
      </c>
      <c r="BD78" s="25">
        <v>0</v>
      </c>
      <c r="BE78" s="25">
        <v>0</v>
      </c>
      <c r="BF78" s="25">
        <v>0</v>
      </c>
      <c r="BG78" s="25">
        <v>0</v>
      </c>
      <c r="BH78" s="25">
        <v>0</v>
      </c>
      <c r="BI78" s="25">
        <v>0</v>
      </c>
      <c r="BJ78" s="25">
        <v>0</v>
      </c>
      <c r="BK78" s="25">
        <v>0</v>
      </c>
      <c r="BL78" s="25">
        <v>0</v>
      </c>
      <c r="BM78" s="25">
        <v>0</v>
      </c>
      <c r="BN78" s="25">
        <v>0</v>
      </c>
      <c r="BO78" s="25">
        <v>0</v>
      </c>
      <c r="BP78" s="25">
        <v>0</v>
      </c>
      <c r="BQ78" s="25">
        <v>0</v>
      </c>
      <c r="BR78" s="25">
        <v>0</v>
      </c>
      <c r="BS78" s="25">
        <v>0</v>
      </c>
      <c r="BT78" s="25">
        <v>0</v>
      </c>
      <c r="BU78" s="25">
        <v>0</v>
      </c>
      <c r="BV78" s="25">
        <v>0</v>
      </c>
      <c r="BW78" s="25">
        <v>0</v>
      </c>
      <c r="BX78" s="25">
        <v>0</v>
      </c>
      <c r="BY78" s="25">
        <v>0</v>
      </c>
      <c r="BZ78" s="25">
        <v>0</v>
      </c>
      <c r="CA78" s="25">
        <v>0</v>
      </c>
      <c r="CB78" s="25">
        <v>0</v>
      </c>
      <c r="CC78" s="25">
        <v>74451</v>
      </c>
      <c r="CD78" s="25">
        <v>0</v>
      </c>
      <c r="CE78" s="25">
        <v>0</v>
      </c>
      <c r="CF78" s="25">
        <v>74451</v>
      </c>
      <c r="CG78" s="25">
        <v>74451</v>
      </c>
      <c r="CH78"/>
      <c r="CI78">
        <f t="shared" si="1"/>
        <v>1</v>
      </c>
      <c r="CJ78"/>
      <c r="CK78"/>
      <c r="CL78"/>
      <c r="CM78"/>
      <c r="CN78"/>
      <c r="CO78"/>
      <c r="CP78"/>
      <c r="CQ78"/>
      <c r="CR78"/>
      <c r="CS78"/>
      <c r="CT78"/>
      <c r="CU78"/>
    </row>
    <row r="79" spans="1:99" s="5" customFormat="1" x14ac:dyDescent="0.3">
      <c r="A79" s="15"/>
      <c r="B79" s="16" t="s">
        <v>166</v>
      </c>
      <c r="C79" s="5">
        <v>74</v>
      </c>
      <c r="D79" s="25">
        <v>149151.39243390344</v>
      </c>
      <c r="E79" s="25">
        <v>68079.253921847878</v>
      </c>
      <c r="F79" s="25">
        <v>8177.4548278247212</v>
      </c>
      <c r="G79" s="25">
        <v>9360.8652473349102</v>
      </c>
      <c r="H79" s="25">
        <v>86780.302243800921</v>
      </c>
      <c r="I79" s="25">
        <v>38249.787319055242</v>
      </c>
      <c r="J79" s="25">
        <v>8861.9730799903318</v>
      </c>
      <c r="K79" s="25">
        <v>226295.97479233512</v>
      </c>
      <c r="L79" s="25">
        <v>40680.401572386683</v>
      </c>
      <c r="M79" s="25">
        <v>229159.40212991342</v>
      </c>
      <c r="N79" s="25">
        <v>47291.888992867891</v>
      </c>
      <c r="O79" s="25">
        <v>10510.046244887526</v>
      </c>
      <c r="P79" s="25">
        <v>30369.290833344239</v>
      </c>
      <c r="Q79" s="25">
        <v>29704.03403518891</v>
      </c>
      <c r="R79" s="25">
        <v>22278.689184163421</v>
      </c>
      <c r="S79" s="25">
        <v>17495.768707169991</v>
      </c>
      <c r="T79" s="25">
        <v>62825.276373185865</v>
      </c>
      <c r="U79" s="25">
        <v>8728.2250240970461</v>
      </c>
      <c r="V79" s="25">
        <v>287013.66831324255</v>
      </c>
      <c r="W79" s="25">
        <v>6884.7092320229804</v>
      </c>
      <c r="X79" s="25">
        <v>3133.1478903090397</v>
      </c>
      <c r="Y79" s="25">
        <v>39806.994880170685</v>
      </c>
      <c r="Z79" s="25">
        <v>93685.489648632647</v>
      </c>
      <c r="AA79" s="25">
        <v>50165.759189674718</v>
      </c>
      <c r="AB79" s="25">
        <v>29616.10945770859</v>
      </c>
      <c r="AC79" s="25">
        <v>32534.934913433295</v>
      </c>
      <c r="AD79" s="25">
        <v>67095.931360778908</v>
      </c>
      <c r="AE79" s="25">
        <v>47995.653379399024</v>
      </c>
      <c r="AF79" s="25">
        <v>90011.633124967557</v>
      </c>
      <c r="AG79" s="25">
        <v>42241.063170239649</v>
      </c>
      <c r="AH79" s="25">
        <v>55292.639063284871</v>
      </c>
      <c r="AI79" s="25">
        <v>48924.358504162432</v>
      </c>
      <c r="AJ79" s="25">
        <v>43882.671757254262</v>
      </c>
      <c r="AK79" s="25">
        <v>69100.828702469065</v>
      </c>
      <c r="AL79" s="25">
        <v>125399.05268026798</v>
      </c>
      <c r="AM79" s="25">
        <v>57957.342348891398</v>
      </c>
      <c r="AN79" s="25">
        <v>14198.781904952179</v>
      </c>
      <c r="AO79" s="25">
        <v>34015.197452094872</v>
      </c>
      <c r="AP79" s="25">
        <v>34232.728710189665</v>
      </c>
      <c r="AQ79" s="25">
        <v>127681.23549929622</v>
      </c>
      <c r="AR79" s="25">
        <v>18161.429306020498</v>
      </c>
      <c r="AS79" s="25">
        <v>4642.9823184020252</v>
      </c>
      <c r="AT79" s="25">
        <v>13663.351246607119</v>
      </c>
      <c r="AU79" s="25">
        <v>25919.11705127099</v>
      </c>
      <c r="AV79" s="25">
        <v>258586.87463215971</v>
      </c>
      <c r="AW79" s="25">
        <v>61466.170254706725</v>
      </c>
      <c r="AX79" s="25">
        <v>379634.89856261347</v>
      </c>
      <c r="AY79" s="41">
        <f>SUM(AY6:AY78)</f>
        <v>183671.46327765111</v>
      </c>
      <c r="AZ79" s="25">
        <v>10000.749043767823</v>
      </c>
      <c r="BA79" s="25">
        <v>22005.893788772402</v>
      </c>
      <c r="BB79" s="25">
        <v>50075.885807417289</v>
      </c>
      <c r="BC79" s="25">
        <v>11174.565383518273</v>
      </c>
      <c r="BD79" s="25">
        <v>120776.23334276465</v>
      </c>
      <c r="BE79" s="25">
        <v>7719.1866007156314</v>
      </c>
      <c r="BF79" s="25">
        <v>22366.726888656551</v>
      </c>
      <c r="BG79" s="25">
        <v>80996.903652414068</v>
      </c>
      <c r="BH79" s="25">
        <v>45349.945690874993</v>
      </c>
      <c r="BI79" s="25">
        <v>196028.96518732898</v>
      </c>
      <c r="BJ79" s="25">
        <v>44529.804748100192</v>
      </c>
      <c r="BK79" s="25">
        <v>62859.56686188122</v>
      </c>
      <c r="BL79" s="25">
        <v>18857.746897610254</v>
      </c>
      <c r="BM79" s="25">
        <v>59576.85817212984</v>
      </c>
      <c r="BN79" s="25">
        <v>14344.205066557382</v>
      </c>
      <c r="BO79" s="25">
        <v>71519.590746992049</v>
      </c>
      <c r="BP79" s="25">
        <v>6663.1352010592364</v>
      </c>
      <c r="BQ79" s="25">
        <v>207583.76384339409</v>
      </c>
      <c r="BR79" s="25">
        <v>47100.064878214333</v>
      </c>
      <c r="BS79" s="25">
        <v>34108.375419278862</v>
      </c>
      <c r="BT79" s="25">
        <v>55184.157589632639</v>
      </c>
      <c r="BU79" s="25">
        <v>109176.75066206328</v>
      </c>
      <c r="BV79" s="25">
        <v>14856.012504412529</v>
      </c>
      <c r="BW79" s="25">
        <v>67590.783769702524</v>
      </c>
      <c r="BX79" s="25">
        <v>0</v>
      </c>
      <c r="BY79" s="25">
        <v>4840485.1610233989</v>
      </c>
      <c r="BZ79" s="25">
        <v>1025056</v>
      </c>
      <c r="CA79" s="25">
        <v>1393480</v>
      </c>
      <c r="CB79" s="25">
        <v>102253</v>
      </c>
      <c r="CC79" s="25">
        <v>3769922.0104907085</v>
      </c>
      <c r="CD79" s="25">
        <v>878944.82848589332</v>
      </c>
      <c r="CE79" s="25">
        <v>-131</v>
      </c>
      <c r="CF79" s="25">
        <v>7169524.8389766021</v>
      </c>
      <c r="CG79" s="25">
        <v>12010010</v>
      </c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</row>
    <row r="80" spans="1:99" s="5" customFormat="1" x14ac:dyDescent="0.3">
      <c r="A80" s="17"/>
      <c r="B80" s="14" t="s">
        <v>167</v>
      </c>
      <c r="C80" s="5">
        <v>75</v>
      </c>
      <c r="D80" s="25">
        <v>24183.128957308974</v>
      </c>
      <c r="E80" s="25">
        <v>5755.6608817485503</v>
      </c>
      <c r="F80" s="25">
        <v>537.51611682781652</v>
      </c>
      <c r="G80" s="25">
        <v>1556.2577604248361</v>
      </c>
      <c r="H80" s="25">
        <v>27867.644331880121</v>
      </c>
      <c r="I80" s="25">
        <v>5714.0844499970544</v>
      </c>
      <c r="J80" s="25">
        <v>1597.9782056476281</v>
      </c>
      <c r="K80" s="25">
        <v>6328.4894005141023</v>
      </c>
      <c r="L80" s="25">
        <v>797.17684535458557</v>
      </c>
      <c r="M80" s="25">
        <v>16720.175237566211</v>
      </c>
      <c r="N80" s="25">
        <v>3497.4522250180617</v>
      </c>
      <c r="O80" s="25">
        <v>722.70448176851687</v>
      </c>
      <c r="P80" s="25">
        <v>5295.7759871669186</v>
      </c>
      <c r="Q80" s="25">
        <v>4427.6390616554936</v>
      </c>
      <c r="R80" s="25">
        <v>2917.4641200425253</v>
      </c>
      <c r="S80" s="25">
        <v>1608.708930310615</v>
      </c>
      <c r="T80" s="25">
        <v>9260.3346742790345</v>
      </c>
      <c r="U80" s="25">
        <v>1398.3211260194951</v>
      </c>
      <c r="V80" s="25">
        <v>55572.301245236151</v>
      </c>
      <c r="W80" s="25">
        <v>1426.2976177079747</v>
      </c>
      <c r="X80" s="25">
        <v>53.305845374857689</v>
      </c>
      <c r="Y80" s="25">
        <v>1431.7306744794503</v>
      </c>
      <c r="Z80" s="25">
        <v>48562.221354953719</v>
      </c>
      <c r="AA80" s="25">
        <v>17822.444092411115</v>
      </c>
      <c r="AB80" s="25">
        <v>6237.9025794934305</v>
      </c>
      <c r="AC80" s="25">
        <v>5422.9334511936368</v>
      </c>
      <c r="AD80" s="25">
        <v>17408.562619639197</v>
      </c>
      <c r="AE80" s="25">
        <v>6069.3113435136138</v>
      </c>
      <c r="AF80" s="25">
        <v>19877.811565060154</v>
      </c>
      <c r="AG80" s="25">
        <v>11436.201379866139</v>
      </c>
      <c r="AH80" s="25">
        <v>8465.179163749197</v>
      </c>
      <c r="AI80" s="25">
        <v>30697.929689427885</v>
      </c>
      <c r="AJ80" s="25">
        <v>11191.577045715849</v>
      </c>
      <c r="AK80" s="25">
        <v>15905.432507461668</v>
      </c>
      <c r="AL80" s="25">
        <v>26596.213509634075</v>
      </c>
      <c r="AM80" s="25">
        <v>12200.314900843905</v>
      </c>
      <c r="AN80" s="25">
        <v>14472.28762622003</v>
      </c>
      <c r="AO80" s="25">
        <v>4902.2704961912932</v>
      </c>
      <c r="AP80" s="25">
        <v>13043.474695051191</v>
      </c>
      <c r="AQ80" s="25">
        <v>9178.8369395382942</v>
      </c>
      <c r="AR80" s="25">
        <v>1499.3713529099384</v>
      </c>
      <c r="AS80" s="25">
        <v>1074.2436222972451</v>
      </c>
      <c r="AT80" s="25">
        <v>1248.4881279562871</v>
      </c>
      <c r="AU80" s="25">
        <v>3312.4579052546642</v>
      </c>
      <c r="AV80" s="25">
        <v>25282.900434561092</v>
      </c>
      <c r="AW80" s="25">
        <v>9933.6931333181528</v>
      </c>
      <c r="AX80" s="25">
        <v>25771.750262729835</v>
      </c>
      <c r="AY80" s="40">
        <v>14216.849515117508</v>
      </c>
      <c r="AZ80" s="25">
        <v>1813.1869292364881</v>
      </c>
      <c r="BA80" s="25">
        <v>6864.6107607456734</v>
      </c>
      <c r="BB80" s="25">
        <v>5592.070327523812</v>
      </c>
      <c r="BC80" s="25">
        <v>580.00059695518223</v>
      </c>
      <c r="BD80" s="25">
        <v>7774.4096318310658</v>
      </c>
      <c r="BE80" s="25">
        <v>867.59186823585367</v>
      </c>
      <c r="BF80" s="25">
        <v>2456.9545598247637</v>
      </c>
      <c r="BG80" s="25">
        <v>6453.1872524104938</v>
      </c>
      <c r="BH80" s="25">
        <v>7361.4426152288188</v>
      </c>
      <c r="BI80" s="25">
        <v>10937.47166736594</v>
      </c>
      <c r="BJ80" s="25">
        <v>2406.1137744489251</v>
      </c>
      <c r="BK80" s="25">
        <v>3950.1053770394492</v>
      </c>
      <c r="BL80" s="25">
        <v>3129.4021411479448</v>
      </c>
      <c r="BM80" s="25">
        <v>2737.6558561697948</v>
      </c>
      <c r="BN80" s="25">
        <v>2492.839116781653</v>
      </c>
      <c r="BO80" s="25">
        <v>5948.6570922603205</v>
      </c>
      <c r="BP80" s="25">
        <v>637.79733272035207</v>
      </c>
      <c r="BQ80" s="25">
        <v>14920.461211549922</v>
      </c>
      <c r="BR80" s="25">
        <v>4536.5689094501568</v>
      </c>
      <c r="BS80" s="25">
        <v>3659.9193238486714</v>
      </c>
      <c r="BT80" s="25">
        <v>7433.0689327803902</v>
      </c>
      <c r="BU80" s="25">
        <v>11490.934490834492</v>
      </c>
      <c r="BV80" s="25">
        <v>1279.3586623210838</v>
      </c>
      <c r="BW80" s="25">
        <v>10473.724755018549</v>
      </c>
      <c r="BX80" s="25">
        <v>0</v>
      </c>
      <c r="BY80" s="25">
        <v>666298.34067616821</v>
      </c>
      <c r="BZ80" s="25">
        <v>0</v>
      </c>
      <c r="CA80" s="25">
        <v>0</v>
      </c>
      <c r="CB80" s="25">
        <v>0</v>
      </c>
      <c r="CC80" s="25">
        <v>223389.88626813609</v>
      </c>
      <c r="CD80" s="25">
        <v>107785.77305569606</v>
      </c>
      <c r="CE80" s="25">
        <v>0</v>
      </c>
      <c r="CF80" s="25">
        <v>331175.65932383202</v>
      </c>
      <c r="CG80" s="25">
        <v>997474</v>
      </c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</row>
    <row r="81" spans="1:99" s="5" customFormat="1" x14ac:dyDescent="0.3">
      <c r="A81" s="28"/>
      <c r="B81" s="14" t="s">
        <v>168</v>
      </c>
      <c r="C81" s="5">
        <v>76</v>
      </c>
      <c r="D81" s="25">
        <v>712.48471455829156</v>
      </c>
      <c r="E81" s="25">
        <v>199.57590484128707</v>
      </c>
      <c r="F81" s="25">
        <v>13.047764298038301</v>
      </c>
      <c r="G81" s="25">
        <v>76.297227297775862</v>
      </c>
      <c r="H81" s="25">
        <v>466.80115394256529</v>
      </c>
      <c r="I81" s="25">
        <v>239.77883806122986</v>
      </c>
      <c r="J81" s="25">
        <v>45.092210805487653</v>
      </c>
      <c r="K81" s="25">
        <v>238.16233971447025</v>
      </c>
      <c r="L81" s="25">
        <v>10.760872828330948</v>
      </c>
      <c r="M81" s="25">
        <v>528.53164910787507</v>
      </c>
      <c r="N81" s="25">
        <v>179.89357830178579</v>
      </c>
      <c r="O81" s="25">
        <v>15.484261636675772</v>
      </c>
      <c r="P81" s="25">
        <v>582.11498789306268</v>
      </c>
      <c r="Q81" s="25">
        <v>903.72469740271356</v>
      </c>
      <c r="R81" s="25">
        <v>373.57056622994691</v>
      </c>
      <c r="S81" s="25">
        <v>89.304293710036006</v>
      </c>
      <c r="T81" s="25">
        <v>245.81928936176669</v>
      </c>
      <c r="U81" s="25">
        <v>54.472306746504721</v>
      </c>
      <c r="V81" s="25">
        <v>155.63268747752372</v>
      </c>
      <c r="W81" s="25">
        <v>3.9944095603870751</v>
      </c>
      <c r="X81" s="25">
        <v>0.1492853775721876</v>
      </c>
      <c r="Y81" s="25">
        <v>46.29851492739153</v>
      </c>
      <c r="Z81" s="25">
        <v>853.5344031395806</v>
      </c>
      <c r="AA81" s="25">
        <v>659.6453115281098</v>
      </c>
      <c r="AB81" s="25">
        <v>267.98502731941846</v>
      </c>
      <c r="AC81" s="25">
        <v>175.63798731664562</v>
      </c>
      <c r="AD81" s="25">
        <v>1221.5684743307922</v>
      </c>
      <c r="AE81" s="25">
        <v>203.34953393319287</v>
      </c>
      <c r="AF81" s="25">
        <v>250.88856122318941</v>
      </c>
      <c r="AG81" s="25">
        <v>153.88986367952171</v>
      </c>
      <c r="AH81" s="25">
        <v>467.94077594491608</v>
      </c>
      <c r="AI81" s="25">
        <v>1037.8874781903801</v>
      </c>
      <c r="AJ81" s="25">
        <v>727.82477676983399</v>
      </c>
      <c r="AK81" s="25">
        <v>1148.6944417645036</v>
      </c>
      <c r="AL81" s="25">
        <v>2358.4850856584794</v>
      </c>
      <c r="AM81" s="25">
        <v>941.11737770458058</v>
      </c>
      <c r="AN81" s="25">
        <v>205.25745701897426</v>
      </c>
      <c r="AO81" s="25">
        <v>337.80723196335208</v>
      </c>
      <c r="AP81" s="25">
        <v>775.3884323869521</v>
      </c>
      <c r="AQ81" s="25">
        <v>314.97886922865513</v>
      </c>
      <c r="AR81" s="25">
        <v>51.452084442102198</v>
      </c>
      <c r="AS81" s="25">
        <v>36.863498464577901</v>
      </c>
      <c r="AT81" s="25">
        <v>42.842833071272821</v>
      </c>
      <c r="AU81" s="25">
        <v>59.210496606621973</v>
      </c>
      <c r="AV81" s="25">
        <v>1773.4439564118695</v>
      </c>
      <c r="AW81" s="25">
        <v>813.62324261955007</v>
      </c>
      <c r="AX81" s="25">
        <v>365.11869371822985</v>
      </c>
      <c r="AY81" s="40">
        <v>764.61320374122931</v>
      </c>
      <c r="AZ81" s="25">
        <v>11.325219967355727</v>
      </c>
      <c r="BA81" s="25">
        <v>28.37128141098562</v>
      </c>
      <c r="BB81" s="25">
        <v>40.5027980577878</v>
      </c>
      <c r="BC81" s="25">
        <v>23.078652578953154</v>
      </c>
      <c r="BD81" s="25">
        <v>276.97929940117507</v>
      </c>
      <c r="BE81" s="25">
        <v>6.1069490866026834</v>
      </c>
      <c r="BF81" s="25">
        <v>23.590255802890535</v>
      </c>
      <c r="BG81" s="25">
        <v>46.680084020494526</v>
      </c>
      <c r="BH81" s="25">
        <v>85.295710611033357</v>
      </c>
      <c r="BI81" s="25">
        <v>46.890030884403693</v>
      </c>
      <c r="BJ81" s="25">
        <v>70.859998289842096</v>
      </c>
      <c r="BK81" s="25">
        <v>71.367214714365161</v>
      </c>
      <c r="BL81" s="25">
        <v>85.102129907451882</v>
      </c>
      <c r="BM81" s="25">
        <v>31.27449894954712</v>
      </c>
      <c r="BN81" s="25">
        <v>44.544241752142717</v>
      </c>
      <c r="BO81" s="25">
        <v>239.64416571188517</v>
      </c>
      <c r="BP81" s="25">
        <v>14.531848877536895</v>
      </c>
      <c r="BQ81" s="25">
        <v>164.15405175720011</v>
      </c>
      <c r="BR81" s="25">
        <v>116.15243605857908</v>
      </c>
      <c r="BS81" s="25">
        <v>12.221294733991771</v>
      </c>
      <c r="BT81" s="25">
        <v>240.39342203826871</v>
      </c>
      <c r="BU81" s="25">
        <v>698.18872754468134</v>
      </c>
      <c r="BV81" s="25">
        <v>16.167584777809225</v>
      </c>
      <c r="BW81" s="25">
        <v>154.32497313920311</v>
      </c>
      <c r="BX81" s="25">
        <v>0</v>
      </c>
      <c r="BY81" s="25">
        <v>23737.78752233144</v>
      </c>
      <c r="BZ81" s="25">
        <v>0</v>
      </c>
      <c r="CA81" s="25">
        <v>0</v>
      </c>
      <c r="CB81" s="25">
        <v>0</v>
      </c>
      <c r="CC81" s="25">
        <v>11407.196211290042</v>
      </c>
      <c r="CD81" s="25">
        <v>5430.0162663785195</v>
      </c>
      <c r="CE81" s="25">
        <v>0</v>
      </c>
      <c r="CF81" s="25">
        <v>16837.21247766856</v>
      </c>
      <c r="CG81" s="25">
        <v>40575</v>
      </c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</row>
    <row r="82" spans="1:99" s="5" customFormat="1" x14ac:dyDescent="0.3">
      <c r="A82" s="28"/>
      <c r="B82" s="12" t="s">
        <v>169</v>
      </c>
      <c r="C82" s="5">
        <v>77</v>
      </c>
      <c r="D82" s="25">
        <v>8343.3247851177421</v>
      </c>
      <c r="E82" s="25">
        <v>4147.5785779479093</v>
      </c>
      <c r="F82" s="25">
        <v>444.5747995710517</v>
      </c>
      <c r="G82" s="25">
        <v>280.50113242013538</v>
      </c>
      <c r="H82" s="25">
        <v>2135.2466604983751</v>
      </c>
      <c r="I82" s="25">
        <v>953.89694752852427</v>
      </c>
      <c r="J82" s="25">
        <v>215.15107681860576</v>
      </c>
      <c r="K82" s="25">
        <v>7586.0307643154947</v>
      </c>
      <c r="L82" s="25">
        <v>306.04426679444379</v>
      </c>
      <c r="M82" s="25">
        <v>6674.5662335599945</v>
      </c>
      <c r="N82" s="25">
        <v>2477.1240274870606</v>
      </c>
      <c r="O82" s="25">
        <v>442.39621000729983</v>
      </c>
      <c r="P82" s="25">
        <v>1237.9741685947458</v>
      </c>
      <c r="Q82" s="25">
        <v>1774.1848478969957</v>
      </c>
      <c r="R82" s="25">
        <v>1798.8330459951226</v>
      </c>
      <c r="S82" s="25">
        <v>1016.1477220707337</v>
      </c>
      <c r="T82" s="25">
        <v>2030.5233441515227</v>
      </c>
      <c r="U82" s="25">
        <v>435.32752668680411</v>
      </c>
      <c r="V82" s="25">
        <v>8752.2783785208831</v>
      </c>
      <c r="W82" s="25">
        <v>178.62543259392183</v>
      </c>
      <c r="X82" s="25">
        <v>0.36781858128730416</v>
      </c>
      <c r="Y82" s="25">
        <v>628.38127884883704</v>
      </c>
      <c r="Z82" s="25">
        <v>2149.1884402579776</v>
      </c>
      <c r="AA82" s="25">
        <v>1286.9068564038732</v>
      </c>
      <c r="AB82" s="25">
        <v>1455.4290056364525</v>
      </c>
      <c r="AC82" s="25">
        <v>1781.9362084556501</v>
      </c>
      <c r="AD82" s="25">
        <v>1993.9187807125231</v>
      </c>
      <c r="AE82" s="25">
        <v>2222.7100044973436</v>
      </c>
      <c r="AF82" s="25">
        <v>1552.7651646761044</v>
      </c>
      <c r="AG82" s="25">
        <v>965.7129486848786</v>
      </c>
      <c r="AH82" s="25">
        <v>1751.6930071103322</v>
      </c>
      <c r="AI82" s="25">
        <v>2602.7609612323031</v>
      </c>
      <c r="AJ82" s="25">
        <v>1490.1682230500396</v>
      </c>
      <c r="AK82" s="25">
        <v>1879.5987247239307</v>
      </c>
      <c r="AL82" s="25">
        <v>2966.0637625793861</v>
      </c>
      <c r="AM82" s="25">
        <v>1722.880116329678</v>
      </c>
      <c r="AN82" s="25">
        <v>883.2984209706151</v>
      </c>
      <c r="AO82" s="25">
        <v>1714.3591697105196</v>
      </c>
      <c r="AP82" s="25">
        <v>1225.2545924314563</v>
      </c>
      <c r="AQ82" s="25">
        <v>12175.833465165224</v>
      </c>
      <c r="AR82" s="25">
        <v>1988.9334580977081</v>
      </c>
      <c r="AS82" s="25">
        <v>1424.9966016680364</v>
      </c>
      <c r="AT82" s="25">
        <v>1656.1339556813491</v>
      </c>
      <c r="AU82" s="25">
        <v>1108.2851827143804</v>
      </c>
      <c r="AV82" s="25">
        <v>10706.709417735583</v>
      </c>
      <c r="AW82" s="25">
        <v>1612.3979376553073</v>
      </c>
      <c r="AX82" s="25">
        <v>10468.138246874449</v>
      </c>
      <c r="AY82" s="40">
        <v>8076.63712203267</v>
      </c>
      <c r="AZ82" s="25">
        <v>111.34151620682954</v>
      </c>
      <c r="BA82" s="25">
        <v>2402.9493815019487</v>
      </c>
      <c r="BB82" s="25">
        <v>783.90607203329</v>
      </c>
      <c r="BC82" s="25">
        <v>694.50273508842668</v>
      </c>
      <c r="BD82" s="25">
        <v>10107.12002844398</v>
      </c>
      <c r="BE82" s="25">
        <v>290.44061937566619</v>
      </c>
      <c r="BF82" s="25">
        <v>399.46081325898257</v>
      </c>
      <c r="BG82" s="25">
        <v>4518.3804745554144</v>
      </c>
      <c r="BH82" s="25">
        <v>1004.7900997816121</v>
      </c>
      <c r="BI82" s="25">
        <v>3115.6887187089501</v>
      </c>
      <c r="BJ82" s="25">
        <v>907.55560246915513</v>
      </c>
      <c r="BK82" s="25">
        <v>1600.7392676210184</v>
      </c>
      <c r="BL82" s="25">
        <v>638.51923139567361</v>
      </c>
      <c r="BM82" s="25">
        <v>1102.1473607308526</v>
      </c>
      <c r="BN82" s="25">
        <v>490.89624204304693</v>
      </c>
      <c r="BO82" s="25">
        <v>3608.0465417477594</v>
      </c>
      <c r="BP82" s="25">
        <v>253.90624998401819</v>
      </c>
      <c r="BQ82" s="25">
        <v>5343.4810754484188</v>
      </c>
      <c r="BR82" s="25">
        <v>2010.6387435072065</v>
      </c>
      <c r="BS82" s="25">
        <v>1049.8188387612634</v>
      </c>
      <c r="BT82" s="25">
        <v>3299.4808391105353</v>
      </c>
      <c r="BU82" s="25">
        <v>7722.8460184638334</v>
      </c>
      <c r="BV82" s="25">
        <v>443.82302788682347</v>
      </c>
      <c r="BW82" s="25">
        <v>3537.0443299909734</v>
      </c>
      <c r="BX82" s="25">
        <v>0</v>
      </c>
      <c r="BY82" s="25">
        <v>186159.31264921097</v>
      </c>
      <c r="BZ82" s="25">
        <v>0</v>
      </c>
      <c r="CA82" s="25">
        <v>0</v>
      </c>
      <c r="CB82" s="25">
        <v>0</v>
      </c>
      <c r="CC82" s="25">
        <v>274756.2360762817</v>
      </c>
      <c r="CD82" s="25">
        <v>18394.451274507348</v>
      </c>
      <c r="CE82" s="25">
        <v>0</v>
      </c>
      <c r="CF82" s="25">
        <v>293150.68735078909</v>
      </c>
      <c r="CG82" s="25">
        <v>479310</v>
      </c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</row>
    <row r="83" spans="1:99" s="5" customFormat="1" x14ac:dyDescent="0.3">
      <c r="A83" s="28"/>
      <c r="B83" s="12" t="s">
        <v>170</v>
      </c>
      <c r="C83" s="5">
        <v>78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25">
        <v>0</v>
      </c>
      <c r="U83" s="25">
        <v>0</v>
      </c>
      <c r="V83" s="25">
        <v>0</v>
      </c>
      <c r="W83" s="25">
        <v>0</v>
      </c>
      <c r="X83" s="25">
        <v>0</v>
      </c>
      <c r="Y83" s="25">
        <v>0</v>
      </c>
      <c r="Z83" s="25">
        <v>0</v>
      </c>
      <c r="AA83" s="25">
        <v>0</v>
      </c>
      <c r="AB83" s="25">
        <v>0</v>
      </c>
      <c r="AC83" s="25">
        <v>0</v>
      </c>
      <c r="AD83" s="25">
        <v>0</v>
      </c>
      <c r="AE83" s="25">
        <v>0</v>
      </c>
      <c r="AF83" s="25">
        <v>0</v>
      </c>
      <c r="AG83" s="25">
        <v>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  <c r="AR83" s="25">
        <v>0</v>
      </c>
      <c r="AS83" s="25">
        <v>0</v>
      </c>
      <c r="AT83" s="25">
        <v>0</v>
      </c>
      <c r="AU83" s="25">
        <v>0</v>
      </c>
      <c r="AV83" s="25">
        <v>0</v>
      </c>
      <c r="AW83" s="25">
        <v>0</v>
      </c>
      <c r="AX83" s="25">
        <v>0</v>
      </c>
      <c r="AY83" s="40">
        <v>0</v>
      </c>
      <c r="AZ83" s="25">
        <v>0</v>
      </c>
      <c r="BA83" s="25">
        <v>0</v>
      </c>
      <c r="BB83" s="25">
        <v>0</v>
      </c>
      <c r="BC83" s="25">
        <v>0</v>
      </c>
      <c r="BD83" s="25">
        <v>0</v>
      </c>
      <c r="BE83" s="25">
        <v>0</v>
      </c>
      <c r="BF83" s="25">
        <v>0</v>
      </c>
      <c r="BG83" s="25">
        <v>0</v>
      </c>
      <c r="BH83" s="25">
        <v>0</v>
      </c>
      <c r="BI83" s="25">
        <v>0</v>
      </c>
      <c r="BJ83" s="25">
        <v>0</v>
      </c>
      <c r="BK83" s="25">
        <v>0</v>
      </c>
      <c r="BL83" s="25">
        <v>0</v>
      </c>
      <c r="BM83" s="25">
        <v>0</v>
      </c>
      <c r="BN83" s="25">
        <v>0</v>
      </c>
      <c r="BO83" s="25">
        <v>0</v>
      </c>
      <c r="BP83" s="25">
        <v>0</v>
      </c>
      <c r="BQ83" s="25">
        <v>0</v>
      </c>
      <c r="BR83" s="25">
        <v>0</v>
      </c>
      <c r="BS83" s="25">
        <v>0</v>
      </c>
      <c r="BT83" s="25">
        <v>0</v>
      </c>
      <c r="BU83" s="25">
        <v>0</v>
      </c>
      <c r="BV83" s="25">
        <v>0</v>
      </c>
      <c r="BW83" s="25">
        <v>0</v>
      </c>
      <c r="BX83" s="25">
        <v>0</v>
      </c>
      <c r="BY83" s="25">
        <v>0</v>
      </c>
      <c r="BZ83" s="25">
        <v>0</v>
      </c>
      <c r="CA83" s="25">
        <v>0</v>
      </c>
      <c r="CB83" s="25">
        <v>0</v>
      </c>
      <c r="CC83" s="25">
        <v>0</v>
      </c>
      <c r="CD83" s="25">
        <v>0</v>
      </c>
      <c r="CE83" s="25">
        <v>0</v>
      </c>
      <c r="CF83" s="25">
        <v>0</v>
      </c>
      <c r="CG83" s="25">
        <v>0</v>
      </c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</row>
    <row r="84" spans="1:99" s="5" customFormat="1" x14ac:dyDescent="0.3">
      <c r="A84" s="28"/>
      <c r="B84" s="12" t="s">
        <v>171</v>
      </c>
      <c r="C84" s="5">
        <v>79</v>
      </c>
      <c r="D84" s="25">
        <v>92.830450433330569</v>
      </c>
      <c r="E84" s="25">
        <v>108.75609021554227</v>
      </c>
      <c r="F84" s="25">
        <v>8.8181188724538337</v>
      </c>
      <c r="G84" s="25">
        <v>43.901705453634285</v>
      </c>
      <c r="H84" s="25">
        <v>149.82467251941975</v>
      </c>
      <c r="I84" s="25">
        <v>114.7984248924478</v>
      </c>
      <c r="J84" s="25">
        <v>21.270716173050147</v>
      </c>
      <c r="K84" s="25">
        <v>343.6518176971768</v>
      </c>
      <c r="L84" s="25">
        <v>12.276110377484112</v>
      </c>
      <c r="M84" s="25">
        <v>474.52055408453691</v>
      </c>
      <c r="N84" s="25">
        <v>656.8898340220245</v>
      </c>
      <c r="O84" s="25">
        <v>224.92679182890205</v>
      </c>
      <c r="P84" s="25">
        <v>64.127689373573077</v>
      </c>
      <c r="Q84" s="25">
        <v>91.499561829108899</v>
      </c>
      <c r="R84" s="25">
        <v>95.836040895310902</v>
      </c>
      <c r="S84" s="25">
        <v>103.98039365843857</v>
      </c>
      <c r="T84" s="25">
        <v>264.2554887403565</v>
      </c>
      <c r="U84" s="25">
        <v>70.396164985640212</v>
      </c>
      <c r="V84" s="25">
        <v>98.002875591595981</v>
      </c>
      <c r="W84" s="25">
        <v>2.0001427389419466</v>
      </c>
      <c r="X84" s="25">
        <v>4.118616559391124E-3</v>
      </c>
      <c r="Y84" s="25">
        <v>10.183700947707981</v>
      </c>
      <c r="Z84" s="25">
        <v>85.35280224175537</v>
      </c>
      <c r="AA84" s="25">
        <v>111.77922427929352</v>
      </c>
      <c r="AB84" s="25">
        <v>205.3180552195744</v>
      </c>
      <c r="AC84" s="25">
        <v>57.33930864762295</v>
      </c>
      <c r="AD84" s="25">
        <v>488.98762243185865</v>
      </c>
      <c r="AE84" s="25">
        <v>148.60719008395736</v>
      </c>
      <c r="AF84" s="25">
        <v>123.62493206847709</v>
      </c>
      <c r="AG84" s="25">
        <v>62.221640369674041</v>
      </c>
      <c r="AH84" s="25">
        <v>343.11461475762917</v>
      </c>
      <c r="AI84" s="25">
        <v>1261.8140514706176</v>
      </c>
      <c r="AJ84" s="25">
        <v>422.20154660819315</v>
      </c>
      <c r="AK84" s="25">
        <v>506.16003131876982</v>
      </c>
      <c r="AL84" s="25">
        <v>1432.0627284274108</v>
      </c>
      <c r="AM84" s="25">
        <v>488.59847804129265</v>
      </c>
      <c r="AN84" s="25">
        <v>502.12281036155349</v>
      </c>
      <c r="AO84" s="25">
        <v>267.14321713383725</v>
      </c>
      <c r="AP84" s="25">
        <v>455.42620922154254</v>
      </c>
      <c r="AQ84" s="25">
        <v>200.78386459711459</v>
      </c>
      <c r="AR84" s="25">
        <v>32.798226691082796</v>
      </c>
      <c r="AS84" s="25">
        <v>23.498705492255262</v>
      </c>
      <c r="AT84" s="25">
        <v>27.310243431265217</v>
      </c>
      <c r="AU84" s="25">
        <v>42.842027024376002</v>
      </c>
      <c r="AV84" s="25">
        <v>1560.7762004231506</v>
      </c>
      <c r="AW84" s="25">
        <v>461.77680505452901</v>
      </c>
      <c r="AX84" s="25">
        <v>574.36489763732266</v>
      </c>
      <c r="AY84" s="40">
        <v>548.46865606115557</v>
      </c>
      <c r="AZ84" s="25">
        <v>6.2917490147068094</v>
      </c>
      <c r="BA84" s="25">
        <v>28.427618348575638</v>
      </c>
      <c r="BB84" s="25">
        <v>34.720319028402372</v>
      </c>
      <c r="BC84" s="25">
        <v>52.355074024910351</v>
      </c>
      <c r="BD84" s="25">
        <v>1985.9757673600261</v>
      </c>
      <c r="BE84" s="25">
        <v>26.799991230778058</v>
      </c>
      <c r="BF84" s="25">
        <v>40.444089313402522</v>
      </c>
      <c r="BG84" s="25">
        <v>47.213288510940458</v>
      </c>
      <c r="BH84" s="25">
        <v>192.2356538396364</v>
      </c>
      <c r="BI84" s="25">
        <v>87.1526619083821</v>
      </c>
      <c r="BJ84" s="25">
        <v>78.291817132989479</v>
      </c>
      <c r="BK84" s="25">
        <v>125.43699652402455</v>
      </c>
      <c r="BL84" s="25">
        <v>82.527069727413689</v>
      </c>
      <c r="BM84" s="25">
        <v>60.613207951095589</v>
      </c>
      <c r="BN84" s="25">
        <v>52.163486193697125</v>
      </c>
      <c r="BO84" s="25">
        <v>368.76158581667522</v>
      </c>
      <c r="BP84" s="25">
        <v>18.233672270157317</v>
      </c>
      <c r="BQ84" s="25">
        <v>160.10974932069229</v>
      </c>
      <c r="BR84" s="25">
        <v>131.3661384881637</v>
      </c>
      <c r="BS84" s="25">
        <v>33.137338247686159</v>
      </c>
      <c r="BT84" s="25">
        <v>133.81202701442498</v>
      </c>
      <c r="BU84" s="25">
        <v>479.39070855529644</v>
      </c>
      <c r="BV84" s="25">
        <v>25.764397759585883</v>
      </c>
      <c r="BW84" s="25">
        <v>246.34988303122404</v>
      </c>
      <c r="BX84" s="25">
        <v>0</v>
      </c>
      <c r="BY84" s="25">
        <v>17984.819843655434</v>
      </c>
      <c r="BZ84" s="25">
        <v>0</v>
      </c>
      <c r="CA84" s="25">
        <v>0</v>
      </c>
      <c r="CB84" s="25">
        <v>0</v>
      </c>
      <c r="CC84" s="25">
        <v>27535.433631192678</v>
      </c>
      <c r="CD84" s="25">
        <v>8464.7465251518934</v>
      </c>
      <c r="CE84" s="25">
        <v>0</v>
      </c>
      <c r="CF84" s="25">
        <v>36000.180156344562</v>
      </c>
      <c r="CG84" s="25">
        <v>53985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</row>
    <row r="85" spans="1:99" s="5" customFormat="1" x14ac:dyDescent="0.3">
      <c r="A85" s="28"/>
      <c r="B85" s="12" t="s">
        <v>170</v>
      </c>
      <c r="C85" s="5">
        <v>80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5">
        <v>0</v>
      </c>
      <c r="M85" s="25">
        <v>0</v>
      </c>
      <c r="N85" s="25">
        <v>0</v>
      </c>
      <c r="O85" s="25">
        <v>0</v>
      </c>
      <c r="P85" s="25">
        <v>0</v>
      </c>
      <c r="Q85" s="25">
        <v>0</v>
      </c>
      <c r="R85" s="25">
        <v>0</v>
      </c>
      <c r="S85" s="25">
        <v>0</v>
      </c>
      <c r="T85" s="25">
        <v>0</v>
      </c>
      <c r="U85" s="25">
        <v>0</v>
      </c>
      <c r="V85" s="25">
        <v>0</v>
      </c>
      <c r="W85" s="25">
        <v>0</v>
      </c>
      <c r="X85" s="25">
        <v>0</v>
      </c>
      <c r="Y85" s="25">
        <v>0</v>
      </c>
      <c r="Z85" s="25">
        <v>0</v>
      </c>
      <c r="AA85" s="25">
        <v>0</v>
      </c>
      <c r="AB85" s="25">
        <v>0</v>
      </c>
      <c r="AC85" s="25">
        <v>0</v>
      </c>
      <c r="AD85" s="25">
        <v>0</v>
      </c>
      <c r="AE85" s="25">
        <v>0</v>
      </c>
      <c r="AF85" s="25">
        <v>0</v>
      </c>
      <c r="AG85" s="25">
        <v>0</v>
      </c>
      <c r="AH85" s="25">
        <v>0</v>
      </c>
      <c r="AI85" s="25">
        <v>0</v>
      </c>
      <c r="AJ85" s="25">
        <v>0</v>
      </c>
      <c r="AK85" s="25">
        <v>0</v>
      </c>
      <c r="AL85" s="25">
        <v>0</v>
      </c>
      <c r="AM85" s="25">
        <v>0</v>
      </c>
      <c r="AN85" s="25">
        <v>0</v>
      </c>
      <c r="AO85" s="25">
        <v>0</v>
      </c>
      <c r="AP85" s="25">
        <v>0</v>
      </c>
      <c r="AQ85" s="25">
        <v>0</v>
      </c>
      <c r="AR85" s="25">
        <v>0</v>
      </c>
      <c r="AS85" s="25">
        <v>0</v>
      </c>
      <c r="AT85" s="25">
        <v>0</v>
      </c>
      <c r="AU85" s="25">
        <v>0</v>
      </c>
      <c r="AV85" s="25">
        <v>0</v>
      </c>
      <c r="AW85" s="25">
        <v>0</v>
      </c>
      <c r="AX85" s="25">
        <v>0</v>
      </c>
      <c r="AY85" s="40">
        <v>0</v>
      </c>
      <c r="AZ85" s="25">
        <v>0</v>
      </c>
      <c r="BA85" s="25">
        <v>0</v>
      </c>
      <c r="BB85" s="25">
        <v>0</v>
      </c>
      <c r="BC85" s="25">
        <v>0</v>
      </c>
      <c r="BD85" s="25">
        <v>0</v>
      </c>
      <c r="BE85" s="25">
        <v>0</v>
      </c>
      <c r="BF85" s="25">
        <v>0</v>
      </c>
      <c r="BG85" s="25">
        <v>0</v>
      </c>
      <c r="BH85" s="25">
        <v>0</v>
      </c>
      <c r="BI85" s="25">
        <v>0</v>
      </c>
      <c r="BJ85" s="25">
        <v>0</v>
      </c>
      <c r="BK85" s="25">
        <v>0</v>
      </c>
      <c r="BL85" s="25">
        <v>0</v>
      </c>
      <c r="BM85" s="25">
        <v>0</v>
      </c>
      <c r="BN85" s="25">
        <v>0</v>
      </c>
      <c r="BO85" s="25">
        <v>0</v>
      </c>
      <c r="BP85" s="25">
        <v>0</v>
      </c>
      <c r="BQ85" s="25">
        <v>0</v>
      </c>
      <c r="BR85" s="25">
        <v>0</v>
      </c>
      <c r="BS85" s="25">
        <v>0</v>
      </c>
      <c r="BT85" s="25">
        <v>0</v>
      </c>
      <c r="BU85" s="25">
        <v>0</v>
      </c>
      <c r="BV85" s="25">
        <v>0</v>
      </c>
      <c r="BW85" s="25">
        <v>0</v>
      </c>
      <c r="BX85" s="25">
        <v>0</v>
      </c>
      <c r="BY85" s="25">
        <v>0</v>
      </c>
      <c r="BZ85" s="25">
        <v>0</v>
      </c>
      <c r="CA85" s="25">
        <v>0</v>
      </c>
      <c r="CB85" s="25">
        <v>0</v>
      </c>
      <c r="CC85" s="25">
        <v>0</v>
      </c>
      <c r="CD85" s="25">
        <v>0</v>
      </c>
      <c r="CE85" s="25">
        <v>0</v>
      </c>
      <c r="CF85" s="25">
        <v>0</v>
      </c>
      <c r="CG85" s="25">
        <v>0</v>
      </c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</row>
    <row r="86" spans="1:99" s="5" customFormat="1" x14ac:dyDescent="0.3">
      <c r="A86" s="28"/>
      <c r="B86" s="12" t="s">
        <v>172</v>
      </c>
      <c r="C86" s="5">
        <v>81</v>
      </c>
      <c r="D86" s="25">
        <v>6042.8386586782008</v>
      </c>
      <c r="E86" s="25">
        <v>1976.1746233988374</v>
      </c>
      <c r="F86" s="25">
        <v>280.58837260591815</v>
      </c>
      <c r="G86" s="25">
        <v>542.17692706870685</v>
      </c>
      <c r="H86" s="25">
        <v>7778.1809373585975</v>
      </c>
      <c r="I86" s="25">
        <v>1919.6540204655096</v>
      </c>
      <c r="J86" s="25">
        <v>507.53471056489735</v>
      </c>
      <c r="K86" s="25">
        <v>5782.6908854236535</v>
      </c>
      <c r="L86" s="25">
        <v>1324.3403322584791</v>
      </c>
      <c r="M86" s="25">
        <v>5357.8041957679843</v>
      </c>
      <c r="N86" s="25">
        <v>2360.7513423031783</v>
      </c>
      <c r="O86" s="25">
        <v>196.4420098710809</v>
      </c>
      <c r="P86" s="25">
        <v>1196.7163336274623</v>
      </c>
      <c r="Q86" s="25">
        <v>1126.9177960267789</v>
      </c>
      <c r="R86" s="25">
        <v>813.60704267367396</v>
      </c>
      <c r="S86" s="25">
        <v>614.08995308018802</v>
      </c>
      <c r="T86" s="25">
        <v>3188.7908302814558</v>
      </c>
      <c r="U86" s="25">
        <v>386.25785146450971</v>
      </c>
      <c r="V86" s="25">
        <v>41050.979226357034</v>
      </c>
      <c r="W86" s="25">
        <v>837.81029414095758</v>
      </c>
      <c r="X86" s="25">
        <v>1.7251865498872525</v>
      </c>
      <c r="Y86" s="25">
        <v>1189.4109506259256</v>
      </c>
      <c r="Z86" s="25">
        <v>7474.2133507743129</v>
      </c>
      <c r="AA86" s="25">
        <v>3009.4653257028858</v>
      </c>
      <c r="AB86" s="25">
        <v>1473.2558746225345</v>
      </c>
      <c r="AC86" s="25">
        <v>1482.2181309531509</v>
      </c>
      <c r="AD86" s="25">
        <v>3363.0311421067336</v>
      </c>
      <c r="AE86" s="25">
        <v>2491.3685485728683</v>
      </c>
      <c r="AF86" s="25">
        <v>4071.2766520045138</v>
      </c>
      <c r="AG86" s="25">
        <v>2442.9109971601406</v>
      </c>
      <c r="AH86" s="25">
        <v>2290.4333751530626</v>
      </c>
      <c r="AI86" s="25">
        <v>3419.249315516377</v>
      </c>
      <c r="AJ86" s="25">
        <v>2196.5566506018281</v>
      </c>
      <c r="AK86" s="25">
        <v>3229.285592262077</v>
      </c>
      <c r="AL86" s="25">
        <v>5950.1222334326676</v>
      </c>
      <c r="AM86" s="25">
        <v>2615.7467781891364</v>
      </c>
      <c r="AN86" s="25">
        <v>872.2517804766469</v>
      </c>
      <c r="AO86" s="25">
        <v>1270.2224329061228</v>
      </c>
      <c r="AP86" s="25">
        <v>1720.7273607191914</v>
      </c>
      <c r="AQ86" s="25">
        <v>4884.6490691239387</v>
      </c>
      <c r="AR86" s="25">
        <v>797.91186307216731</v>
      </c>
      <c r="AS86" s="25">
        <v>571.67407420253312</v>
      </c>
      <c r="AT86" s="25">
        <v>664.40077454308982</v>
      </c>
      <c r="AU86" s="25">
        <v>1439.0873371289645</v>
      </c>
      <c r="AV86" s="25">
        <v>10882.295358708589</v>
      </c>
      <c r="AW86" s="25">
        <v>2927.3386266457446</v>
      </c>
      <c r="AX86" s="25">
        <v>18595.729336426732</v>
      </c>
      <c r="AY86" s="40">
        <v>6896.9237454285467</v>
      </c>
      <c r="AZ86" s="25">
        <v>1024.1055418067967</v>
      </c>
      <c r="BA86" s="25">
        <v>3522.7471692204122</v>
      </c>
      <c r="BB86" s="25">
        <v>2896.9146759394262</v>
      </c>
      <c r="BC86" s="25">
        <v>440.49755783425439</v>
      </c>
      <c r="BD86" s="25">
        <v>5506.2819301990967</v>
      </c>
      <c r="BE86" s="25">
        <v>380.87397135546854</v>
      </c>
      <c r="BF86" s="25">
        <v>1598.8233931434081</v>
      </c>
      <c r="BG86" s="25">
        <v>4872.6352480885917</v>
      </c>
      <c r="BH86" s="25">
        <v>2867.2902296639122</v>
      </c>
      <c r="BI86" s="25">
        <v>16130.831733803298</v>
      </c>
      <c r="BJ86" s="25">
        <v>3723.3740595588961</v>
      </c>
      <c r="BK86" s="25">
        <v>3130.7842822199132</v>
      </c>
      <c r="BL86" s="25">
        <v>1098.7025302112652</v>
      </c>
      <c r="BM86" s="25">
        <v>2497.4509040688718</v>
      </c>
      <c r="BN86" s="25">
        <v>903.35184667207886</v>
      </c>
      <c r="BO86" s="25">
        <v>3371.2998674713058</v>
      </c>
      <c r="BP86" s="25">
        <v>393.39569508869766</v>
      </c>
      <c r="BQ86" s="25">
        <v>14569.03006852967</v>
      </c>
      <c r="BR86" s="25">
        <v>2067.2088942815594</v>
      </c>
      <c r="BS86" s="25">
        <v>1689.5277851295245</v>
      </c>
      <c r="BT86" s="25">
        <v>2196.0871894237357</v>
      </c>
      <c r="BU86" s="25">
        <v>3526.8893925384168</v>
      </c>
      <c r="BV86" s="25">
        <v>760.87382284217074</v>
      </c>
      <c r="BW86" s="25">
        <v>3517.7722891175258</v>
      </c>
      <c r="BX86" s="25">
        <v>0</v>
      </c>
      <c r="BY86" s="25">
        <v>264194.5782852358</v>
      </c>
      <c r="BZ86" s="25">
        <v>0</v>
      </c>
      <c r="CA86" s="25">
        <v>0</v>
      </c>
      <c r="CB86" s="25">
        <v>0</v>
      </c>
      <c r="CC86" s="25">
        <v>116537.23732239142</v>
      </c>
      <c r="CD86" s="25">
        <v>38389.184392372823</v>
      </c>
      <c r="CE86" s="25">
        <v>0</v>
      </c>
      <c r="CF86" s="25">
        <v>154926.4217147642</v>
      </c>
      <c r="CG86" s="25">
        <v>419121</v>
      </c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</row>
    <row r="87" spans="1:99" s="5" customFormat="1" x14ac:dyDescent="0.3">
      <c r="A87" s="28"/>
      <c r="B87" s="12" t="s">
        <v>170</v>
      </c>
      <c r="C87" s="5">
        <v>82</v>
      </c>
      <c r="D87" s="25">
        <v>0</v>
      </c>
      <c r="E87" s="25">
        <v>0</v>
      </c>
      <c r="F87" s="25">
        <v>0</v>
      </c>
      <c r="G87" s="25">
        <v>0</v>
      </c>
      <c r="H87" s="25">
        <v>0</v>
      </c>
      <c r="I87" s="25">
        <v>0</v>
      </c>
      <c r="J87" s="25">
        <v>0</v>
      </c>
      <c r="K87" s="25">
        <v>0</v>
      </c>
      <c r="L87" s="25">
        <v>0</v>
      </c>
      <c r="M87" s="25">
        <v>0</v>
      </c>
      <c r="N87" s="25">
        <v>0</v>
      </c>
      <c r="O87" s="25">
        <v>0</v>
      </c>
      <c r="P87" s="25">
        <v>0</v>
      </c>
      <c r="Q87" s="25">
        <v>0</v>
      </c>
      <c r="R87" s="25">
        <v>0</v>
      </c>
      <c r="S87" s="25">
        <v>0</v>
      </c>
      <c r="T87" s="25">
        <v>0</v>
      </c>
      <c r="U87" s="25">
        <v>0</v>
      </c>
      <c r="V87" s="25">
        <v>0</v>
      </c>
      <c r="W87" s="25">
        <v>0</v>
      </c>
      <c r="X87" s="25">
        <v>0</v>
      </c>
      <c r="Y87" s="25">
        <v>0</v>
      </c>
      <c r="Z87" s="25">
        <v>0</v>
      </c>
      <c r="AA87" s="25">
        <v>0</v>
      </c>
      <c r="AB87" s="25">
        <v>0</v>
      </c>
      <c r="AC87" s="25">
        <v>0</v>
      </c>
      <c r="AD87" s="25">
        <v>0</v>
      </c>
      <c r="AE87" s="25">
        <v>0</v>
      </c>
      <c r="AF87" s="25">
        <v>0</v>
      </c>
      <c r="AG87" s="25">
        <v>0</v>
      </c>
      <c r="AH87" s="25">
        <v>0</v>
      </c>
      <c r="AI87" s="25">
        <v>0</v>
      </c>
      <c r="AJ87" s="25">
        <v>0</v>
      </c>
      <c r="AK87" s="25">
        <v>0</v>
      </c>
      <c r="AL87" s="25">
        <v>0</v>
      </c>
      <c r="AM87" s="25">
        <v>0</v>
      </c>
      <c r="AN87" s="25">
        <v>0</v>
      </c>
      <c r="AO87" s="25">
        <v>0</v>
      </c>
      <c r="AP87" s="25">
        <v>0</v>
      </c>
      <c r="AQ87" s="25">
        <v>0</v>
      </c>
      <c r="AR87" s="25">
        <v>0</v>
      </c>
      <c r="AS87" s="25">
        <v>0</v>
      </c>
      <c r="AT87" s="25">
        <v>0</v>
      </c>
      <c r="AU87" s="25">
        <v>0</v>
      </c>
      <c r="AV87" s="25">
        <v>0</v>
      </c>
      <c r="AW87" s="25">
        <v>0</v>
      </c>
      <c r="AX87" s="25">
        <v>0</v>
      </c>
      <c r="AY87" s="40">
        <v>0</v>
      </c>
      <c r="AZ87" s="25">
        <v>0</v>
      </c>
      <c r="BA87" s="25">
        <v>0</v>
      </c>
      <c r="BB87" s="25">
        <v>0</v>
      </c>
      <c r="BC87" s="25">
        <v>0</v>
      </c>
      <c r="BD87" s="25">
        <v>0</v>
      </c>
      <c r="BE87" s="25">
        <v>0</v>
      </c>
      <c r="BF87" s="25">
        <v>0</v>
      </c>
      <c r="BG87" s="25">
        <v>0</v>
      </c>
      <c r="BH87" s="25">
        <v>0</v>
      </c>
      <c r="BI87" s="25">
        <v>0</v>
      </c>
      <c r="BJ87" s="25">
        <v>0</v>
      </c>
      <c r="BK87" s="25">
        <v>0</v>
      </c>
      <c r="BL87" s="25">
        <v>0</v>
      </c>
      <c r="BM87" s="25">
        <v>0</v>
      </c>
      <c r="BN87" s="25">
        <v>0</v>
      </c>
      <c r="BO87" s="25">
        <v>0</v>
      </c>
      <c r="BP87" s="25">
        <v>0</v>
      </c>
      <c r="BQ87" s="25">
        <v>0</v>
      </c>
      <c r="BR87" s="25">
        <v>0</v>
      </c>
      <c r="BS87" s="25">
        <v>0</v>
      </c>
      <c r="BT87" s="25">
        <v>0</v>
      </c>
      <c r="BU87" s="25">
        <v>0</v>
      </c>
      <c r="BV87" s="25">
        <v>0</v>
      </c>
      <c r="BW87" s="25">
        <v>0</v>
      </c>
      <c r="BX87" s="25">
        <v>0</v>
      </c>
      <c r="BY87" s="25">
        <v>0</v>
      </c>
      <c r="BZ87" s="25">
        <v>0</v>
      </c>
      <c r="CA87" s="25">
        <v>0</v>
      </c>
      <c r="CB87" s="25">
        <v>0</v>
      </c>
      <c r="CC87" s="25">
        <v>0</v>
      </c>
      <c r="CD87" s="25">
        <v>0</v>
      </c>
      <c r="CE87" s="25">
        <v>0</v>
      </c>
      <c r="CF87" s="25">
        <v>0</v>
      </c>
      <c r="CG87" s="25">
        <v>0</v>
      </c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</row>
    <row r="88" spans="1:99" s="5" customFormat="1" x14ac:dyDescent="0.3">
      <c r="A88" s="28"/>
      <c r="B88" s="14" t="s">
        <v>173</v>
      </c>
      <c r="C88" s="5">
        <v>83</v>
      </c>
      <c r="D88" s="25">
        <v>188525.99999999997</v>
      </c>
      <c r="E88" s="25">
        <v>80267</v>
      </c>
      <c r="F88" s="25">
        <v>9462</v>
      </c>
      <c r="G88" s="25">
        <v>11859.999999999998</v>
      </c>
      <c r="H88" s="25">
        <v>125178</v>
      </c>
      <c r="I88" s="25">
        <v>47192.000000000015</v>
      </c>
      <c r="J88" s="25">
        <v>11249.000000000002</v>
      </c>
      <c r="K88" s="25">
        <v>246575.00000000003</v>
      </c>
      <c r="L88" s="25">
        <v>43131.000000000007</v>
      </c>
      <c r="M88" s="25">
        <v>258915.00000000003</v>
      </c>
      <c r="N88" s="25">
        <v>56464</v>
      </c>
      <c r="O88" s="25">
        <v>12112.000000000002</v>
      </c>
      <c r="P88" s="25">
        <v>38745.999999999993</v>
      </c>
      <c r="Q88" s="25">
        <v>38028</v>
      </c>
      <c r="R88" s="25">
        <v>28278</v>
      </c>
      <c r="S88" s="25">
        <v>20928.000000000004</v>
      </c>
      <c r="T88" s="25">
        <v>77815</v>
      </c>
      <c r="U88" s="25">
        <v>11073</v>
      </c>
      <c r="V88" s="25">
        <v>392642.86272642564</v>
      </c>
      <c r="W88" s="25">
        <v>9333.4371287651647</v>
      </c>
      <c r="X88" s="25">
        <v>3188.7001448092037</v>
      </c>
      <c r="Y88" s="25">
        <v>43112.999999999993</v>
      </c>
      <c r="Z88" s="25">
        <v>152809.99999999997</v>
      </c>
      <c r="AA88" s="25">
        <v>73055.999999999985</v>
      </c>
      <c r="AB88" s="25">
        <v>39256</v>
      </c>
      <c r="AC88" s="25">
        <v>41455</v>
      </c>
      <c r="AD88" s="25">
        <v>91572.000000000015</v>
      </c>
      <c r="AE88" s="25">
        <v>59131</v>
      </c>
      <c r="AF88" s="25">
        <v>115887.99999999999</v>
      </c>
      <c r="AG88" s="25">
        <v>57302</v>
      </c>
      <c r="AH88" s="25">
        <v>68611.000000000015</v>
      </c>
      <c r="AI88" s="25">
        <v>87944</v>
      </c>
      <c r="AJ88" s="25">
        <v>59911.000000000007</v>
      </c>
      <c r="AK88" s="25">
        <v>91770</v>
      </c>
      <c r="AL88" s="25">
        <v>164701.99999999997</v>
      </c>
      <c r="AM88" s="25">
        <v>75925.999999999985</v>
      </c>
      <c r="AN88" s="25">
        <v>31134</v>
      </c>
      <c r="AO88" s="25">
        <v>42507</v>
      </c>
      <c r="AP88" s="25">
        <v>51452.999999999993</v>
      </c>
      <c r="AQ88" s="25">
        <v>154436.31770694946</v>
      </c>
      <c r="AR88" s="25">
        <v>22531.896291233497</v>
      </c>
      <c r="AS88" s="25">
        <v>7774.2588205266729</v>
      </c>
      <c r="AT88" s="25">
        <v>17302.527181290381</v>
      </c>
      <c r="AU88" s="25">
        <v>31880.999999999996</v>
      </c>
      <c r="AV88" s="25">
        <v>308792.99999999994</v>
      </c>
      <c r="AW88" s="25">
        <v>77215</v>
      </c>
      <c r="AX88" s="25">
        <v>435410</v>
      </c>
      <c r="AY88" s="41">
        <f>SUM(AY79:AY87)</f>
        <v>214174.95552003221</v>
      </c>
      <c r="AZ88" s="25">
        <v>12967</v>
      </c>
      <c r="BA88" s="25">
        <v>34852.999999999993</v>
      </c>
      <c r="BB88" s="25">
        <v>59424.000000000015</v>
      </c>
      <c r="BC88" s="25">
        <v>12965</v>
      </c>
      <c r="BD88" s="25">
        <v>146427</v>
      </c>
      <c r="BE88" s="25">
        <v>9291</v>
      </c>
      <c r="BF88" s="25">
        <v>26885.999999999996</v>
      </c>
      <c r="BG88" s="25">
        <v>96935.000000000015</v>
      </c>
      <c r="BH88" s="25">
        <v>56861.000000000007</v>
      </c>
      <c r="BI88" s="25">
        <v>226346.99999999997</v>
      </c>
      <c r="BJ88" s="25">
        <v>51716</v>
      </c>
      <c r="BK88" s="25">
        <v>71737.999999999985</v>
      </c>
      <c r="BL88" s="25">
        <v>23892</v>
      </c>
      <c r="BM88" s="25">
        <v>66006</v>
      </c>
      <c r="BN88" s="25">
        <v>18328.000000000004</v>
      </c>
      <c r="BO88" s="25">
        <v>85055.999999999985</v>
      </c>
      <c r="BP88" s="25">
        <v>7980.9999999999982</v>
      </c>
      <c r="BQ88" s="25">
        <v>242741.00000000003</v>
      </c>
      <c r="BR88" s="25">
        <v>55962.000000000007</v>
      </c>
      <c r="BS88" s="25">
        <v>40553</v>
      </c>
      <c r="BT88" s="25">
        <v>68487</v>
      </c>
      <c r="BU88" s="25">
        <v>133095</v>
      </c>
      <c r="BV88" s="25">
        <v>17382.000000000004</v>
      </c>
      <c r="BW88" s="25">
        <v>85520</v>
      </c>
      <c r="BX88" s="25">
        <v>0</v>
      </c>
      <c r="BY88" s="25">
        <v>5998860.0000000009</v>
      </c>
      <c r="BZ88" s="25">
        <v>1025056</v>
      </c>
      <c r="CA88" s="25">
        <v>1393480</v>
      </c>
      <c r="CB88" s="25">
        <v>102253</v>
      </c>
      <c r="CC88" s="25">
        <v>4423548</v>
      </c>
      <c r="CD88" s="25">
        <v>1057409</v>
      </c>
      <c r="CE88" s="25">
        <v>-131</v>
      </c>
      <c r="CF88" s="25">
        <v>8001615</v>
      </c>
      <c r="CG88" s="25">
        <v>14000475</v>
      </c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</row>
    <row r="89" spans="1:99" s="5" customFormat="1" x14ac:dyDescent="0.3">
      <c r="A89" s="66" t="s">
        <v>174</v>
      </c>
      <c r="B89" s="67" t="s">
        <v>175</v>
      </c>
      <c r="C89" s="5">
        <v>84</v>
      </c>
      <c r="D89" s="46">
        <v>34356</v>
      </c>
      <c r="E89" s="46">
        <v>22217</v>
      </c>
      <c r="F89" s="46">
        <v>2255</v>
      </c>
      <c r="G89" s="46">
        <v>4126</v>
      </c>
      <c r="H89" s="46">
        <v>16917</v>
      </c>
      <c r="I89" s="46">
        <v>4502</v>
      </c>
      <c r="J89" s="46">
        <v>2607</v>
      </c>
      <c r="K89" s="46">
        <v>30117</v>
      </c>
      <c r="L89" s="46">
        <v>8690</v>
      </c>
      <c r="M89" s="46">
        <v>35422</v>
      </c>
      <c r="N89" s="46">
        <v>9953</v>
      </c>
      <c r="O89" s="46">
        <v>1711</v>
      </c>
      <c r="P89" s="46">
        <v>11262</v>
      </c>
      <c r="Q89" s="46">
        <v>18543</v>
      </c>
      <c r="R89" s="46">
        <v>11048</v>
      </c>
      <c r="S89" s="46">
        <v>6644</v>
      </c>
      <c r="T89" s="46">
        <v>14028</v>
      </c>
      <c r="U89" s="46">
        <v>5664</v>
      </c>
      <c r="V89" s="25">
        <v>8644.8181295614868</v>
      </c>
      <c r="W89" s="25">
        <v>222.30000000000032</v>
      </c>
      <c r="X89" s="25">
        <v>24.88187043851331</v>
      </c>
      <c r="Y89" s="46">
        <v>7013</v>
      </c>
      <c r="Z89" s="46">
        <v>12903</v>
      </c>
      <c r="AA89" s="46">
        <v>9380</v>
      </c>
      <c r="AB89" s="46">
        <v>6854</v>
      </c>
      <c r="AC89" s="46">
        <v>12695</v>
      </c>
      <c r="AD89" s="46">
        <v>22917</v>
      </c>
      <c r="AE89" s="46">
        <v>19150</v>
      </c>
      <c r="AF89" s="46">
        <v>13401</v>
      </c>
      <c r="AG89" s="46">
        <v>6247</v>
      </c>
      <c r="AH89" s="46">
        <v>22042</v>
      </c>
      <c r="AI89" s="46">
        <v>9775</v>
      </c>
      <c r="AJ89" s="46">
        <v>14631</v>
      </c>
      <c r="AK89" s="46">
        <v>27620</v>
      </c>
      <c r="AL89" s="46">
        <v>20483</v>
      </c>
      <c r="AM89" s="46">
        <v>20855</v>
      </c>
      <c r="AN89" s="46">
        <v>8257</v>
      </c>
      <c r="AO89" s="46">
        <v>16648</v>
      </c>
      <c r="AP89" s="46">
        <v>13057</v>
      </c>
      <c r="AQ89" s="25">
        <v>14489.444041966393</v>
      </c>
      <c r="AR89" s="25">
        <v>1691.8721627726568</v>
      </c>
      <c r="AS89" s="25">
        <v>1627.8644560257585</v>
      </c>
      <c r="AT89" s="25">
        <v>3685.8193392351923</v>
      </c>
      <c r="AU89" s="46">
        <v>22993</v>
      </c>
      <c r="AV89" s="46">
        <v>104570</v>
      </c>
      <c r="AW89" s="46">
        <v>49181</v>
      </c>
      <c r="AX89" s="46">
        <v>352528</v>
      </c>
      <c r="AY89" s="48">
        <f>AY90+AY91+AY94</f>
        <v>87877</v>
      </c>
      <c r="AZ89" s="46">
        <v>5137</v>
      </c>
      <c r="BA89" s="46">
        <v>7492</v>
      </c>
      <c r="BB89" s="46">
        <v>44037</v>
      </c>
      <c r="BC89" s="46">
        <v>11307</v>
      </c>
      <c r="BD89" s="46">
        <v>60116</v>
      </c>
      <c r="BE89" s="46">
        <v>6798</v>
      </c>
      <c r="BF89" s="46">
        <v>11678</v>
      </c>
      <c r="BG89" s="46">
        <v>19212</v>
      </c>
      <c r="BH89" s="46">
        <v>57187</v>
      </c>
      <c r="BI89" s="46">
        <v>165217</v>
      </c>
      <c r="BJ89" s="46">
        <v>7923</v>
      </c>
      <c r="BK89" s="46">
        <v>61939</v>
      </c>
      <c r="BL89" s="46">
        <v>18585</v>
      </c>
      <c r="BM89" s="46">
        <v>15429</v>
      </c>
      <c r="BN89" s="46">
        <v>11344</v>
      </c>
      <c r="BO89" s="46">
        <v>118404</v>
      </c>
      <c r="BP89" s="46">
        <v>31074</v>
      </c>
      <c r="BQ89" s="46">
        <v>528703</v>
      </c>
      <c r="BR89" s="46">
        <v>282090</v>
      </c>
      <c r="BS89" s="46">
        <v>89933</v>
      </c>
      <c r="BT89" s="46">
        <v>127700</v>
      </c>
      <c r="BU89" s="46">
        <v>89831</v>
      </c>
      <c r="BV89" s="46">
        <v>13265</v>
      </c>
      <c r="BW89" s="46">
        <v>45395</v>
      </c>
      <c r="BX89" s="46">
        <v>74451</v>
      </c>
      <c r="BY89" s="25">
        <v>3055773</v>
      </c>
      <c r="BZ89" s="25">
        <v>0</v>
      </c>
      <c r="CA89" s="25">
        <v>0</v>
      </c>
      <c r="CB89" s="25">
        <v>0</v>
      </c>
      <c r="CC89" s="25">
        <v>0</v>
      </c>
      <c r="CD89" s="25">
        <v>0</v>
      </c>
      <c r="CE89" s="25">
        <v>0</v>
      </c>
      <c r="CF89" s="25">
        <v>0</v>
      </c>
      <c r="CG89" s="25">
        <v>3055773</v>
      </c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</row>
    <row r="90" spans="1:99" s="5" customFormat="1" x14ac:dyDescent="0.3">
      <c r="A90" s="28" t="s">
        <v>176</v>
      </c>
      <c r="B90" s="14" t="s">
        <v>177</v>
      </c>
      <c r="C90" s="5">
        <v>85</v>
      </c>
      <c r="D90" s="46">
        <v>29230</v>
      </c>
      <c r="E90" s="46">
        <v>19506</v>
      </c>
      <c r="F90" s="46">
        <v>1981</v>
      </c>
      <c r="G90" s="46">
        <v>3307</v>
      </c>
      <c r="H90" s="46">
        <v>12359</v>
      </c>
      <c r="I90" s="46">
        <v>3581</v>
      </c>
      <c r="J90" s="46">
        <v>2011</v>
      </c>
      <c r="K90" s="46">
        <v>23432</v>
      </c>
      <c r="L90" s="46">
        <v>6252</v>
      </c>
      <c r="M90" s="46">
        <v>27911</v>
      </c>
      <c r="N90" s="46">
        <v>7718</v>
      </c>
      <c r="O90" s="46">
        <v>1309</v>
      </c>
      <c r="P90" s="46">
        <v>9222</v>
      </c>
      <c r="Q90" s="46">
        <v>14743</v>
      </c>
      <c r="R90" s="46">
        <v>9151</v>
      </c>
      <c r="S90" s="46">
        <v>5395</v>
      </c>
      <c r="T90" s="46">
        <v>11059</v>
      </c>
      <c r="U90" s="46">
        <v>4600</v>
      </c>
      <c r="V90" s="25">
        <v>6069.455643595632</v>
      </c>
      <c r="W90" s="25">
        <v>156.07500000000022</v>
      </c>
      <c r="X90" s="25">
        <v>17.469356404367815</v>
      </c>
      <c r="Y90" s="46">
        <v>5622</v>
      </c>
      <c r="Z90" s="46">
        <v>9758</v>
      </c>
      <c r="AA90" s="46">
        <v>7225</v>
      </c>
      <c r="AB90" s="46">
        <v>5400</v>
      </c>
      <c r="AC90" s="46">
        <v>9702</v>
      </c>
      <c r="AD90" s="46">
        <v>17824</v>
      </c>
      <c r="AE90" s="46">
        <v>15527</v>
      </c>
      <c r="AF90" s="46">
        <v>10413</v>
      </c>
      <c r="AG90" s="46">
        <v>5015</v>
      </c>
      <c r="AH90" s="46">
        <v>17453</v>
      </c>
      <c r="AI90" s="46">
        <v>7775</v>
      </c>
      <c r="AJ90" s="46">
        <v>11477</v>
      </c>
      <c r="AK90" s="46">
        <v>21904</v>
      </c>
      <c r="AL90" s="46">
        <v>15859</v>
      </c>
      <c r="AM90" s="46">
        <v>17465</v>
      </c>
      <c r="AN90" s="46">
        <v>6659</v>
      </c>
      <c r="AO90" s="46">
        <v>13658</v>
      </c>
      <c r="AP90" s="46">
        <v>10523</v>
      </c>
      <c r="AQ90" s="25">
        <v>10400.44810995578</v>
      </c>
      <c r="AR90" s="25">
        <v>1214.4171016245323</v>
      </c>
      <c r="AS90" s="25">
        <v>1168.4727002568704</v>
      </c>
      <c r="AT90" s="25">
        <v>2645.6620881628182</v>
      </c>
      <c r="AU90" s="46">
        <v>17320</v>
      </c>
      <c r="AV90" s="46">
        <v>85935</v>
      </c>
      <c r="AW90" s="46">
        <v>40106</v>
      </c>
      <c r="AX90" s="46">
        <v>279452</v>
      </c>
      <c r="AY90" s="47">
        <v>71610</v>
      </c>
      <c r="AZ90" s="46">
        <v>4217</v>
      </c>
      <c r="BA90" s="46">
        <v>6119</v>
      </c>
      <c r="BB90" s="46">
        <v>34067</v>
      </c>
      <c r="BC90" s="46">
        <v>9520</v>
      </c>
      <c r="BD90" s="46">
        <v>50603</v>
      </c>
      <c r="BE90" s="46">
        <v>5563</v>
      </c>
      <c r="BF90" s="46">
        <v>9857</v>
      </c>
      <c r="BG90" s="46">
        <v>14372</v>
      </c>
      <c r="BH90" s="46">
        <v>45370</v>
      </c>
      <c r="BI90" s="46">
        <v>127124</v>
      </c>
      <c r="BJ90" s="46">
        <v>6253</v>
      </c>
      <c r="BK90" s="46">
        <v>50719</v>
      </c>
      <c r="BL90" s="46">
        <v>14886</v>
      </c>
      <c r="BM90" s="46">
        <v>12362</v>
      </c>
      <c r="BN90" s="46">
        <v>8992</v>
      </c>
      <c r="BO90" s="46">
        <v>95075</v>
      </c>
      <c r="BP90" s="46">
        <v>24376</v>
      </c>
      <c r="BQ90" s="46">
        <v>381003</v>
      </c>
      <c r="BR90" s="46">
        <v>227721</v>
      </c>
      <c r="BS90" s="46">
        <v>74374</v>
      </c>
      <c r="BT90" s="46">
        <v>102765</v>
      </c>
      <c r="BU90" s="46">
        <v>77743</v>
      </c>
      <c r="BV90" s="46">
        <v>11518</v>
      </c>
      <c r="BW90" s="46">
        <v>38820</v>
      </c>
      <c r="BX90" s="46">
        <v>70758</v>
      </c>
      <c r="BY90" s="25">
        <v>2422298</v>
      </c>
      <c r="BZ90" s="25">
        <v>0</v>
      </c>
      <c r="CA90" s="25">
        <v>0</v>
      </c>
      <c r="CB90" s="25">
        <v>0</v>
      </c>
      <c r="CC90" s="25">
        <v>0</v>
      </c>
      <c r="CD90" s="25">
        <v>0</v>
      </c>
      <c r="CE90" s="25">
        <v>0</v>
      </c>
      <c r="CF90" s="25">
        <v>0</v>
      </c>
      <c r="CG90" s="25">
        <v>2422298</v>
      </c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</row>
    <row r="91" spans="1:99" s="5" customFormat="1" x14ac:dyDescent="0.3">
      <c r="A91" s="28" t="s">
        <v>178</v>
      </c>
      <c r="B91" s="14" t="s">
        <v>179</v>
      </c>
      <c r="C91" s="5">
        <v>86</v>
      </c>
      <c r="D91" s="46">
        <v>5126</v>
      </c>
      <c r="E91" s="46">
        <v>2711</v>
      </c>
      <c r="F91" s="46">
        <v>274</v>
      </c>
      <c r="G91" s="46">
        <v>819</v>
      </c>
      <c r="H91" s="46">
        <v>4558</v>
      </c>
      <c r="I91" s="46">
        <v>921</v>
      </c>
      <c r="J91" s="46">
        <v>596</v>
      </c>
      <c r="K91" s="46">
        <v>6685</v>
      </c>
      <c r="L91" s="46">
        <v>2438</v>
      </c>
      <c r="M91" s="46">
        <v>7511</v>
      </c>
      <c r="N91" s="46">
        <v>2235</v>
      </c>
      <c r="O91" s="46">
        <v>402</v>
      </c>
      <c r="P91" s="46">
        <v>2040</v>
      </c>
      <c r="Q91" s="46">
        <v>3800</v>
      </c>
      <c r="R91" s="46">
        <v>1897</v>
      </c>
      <c r="S91" s="46">
        <v>1249</v>
      </c>
      <c r="T91" s="46">
        <v>2969</v>
      </c>
      <c r="U91" s="46">
        <v>1064</v>
      </c>
      <c r="V91" s="25">
        <v>2575.3624859658544</v>
      </c>
      <c r="W91" s="25">
        <v>66.225000000000094</v>
      </c>
      <c r="X91" s="25">
        <v>7.4125140341454969</v>
      </c>
      <c r="Y91" s="46">
        <v>1391</v>
      </c>
      <c r="Z91" s="46">
        <v>3145</v>
      </c>
      <c r="AA91" s="46">
        <v>2155</v>
      </c>
      <c r="AB91" s="46">
        <v>1454</v>
      </c>
      <c r="AC91" s="46">
        <v>2993</v>
      </c>
      <c r="AD91" s="46">
        <v>5093</v>
      </c>
      <c r="AE91" s="46">
        <v>3623</v>
      </c>
      <c r="AF91" s="46">
        <v>2988</v>
      </c>
      <c r="AG91" s="46">
        <v>1232</v>
      </c>
      <c r="AH91" s="46">
        <v>4589</v>
      </c>
      <c r="AI91" s="46">
        <v>2000</v>
      </c>
      <c r="AJ91" s="46">
        <v>3154</v>
      </c>
      <c r="AK91" s="46">
        <v>5716</v>
      </c>
      <c r="AL91" s="46">
        <v>4624</v>
      </c>
      <c r="AM91" s="46">
        <v>3390</v>
      </c>
      <c r="AN91" s="46">
        <v>1598</v>
      </c>
      <c r="AO91" s="46">
        <v>2990</v>
      </c>
      <c r="AP91" s="46">
        <v>2534</v>
      </c>
      <c r="AQ91" s="25">
        <v>4088.9959320106136</v>
      </c>
      <c r="AR91" s="25">
        <v>477.45506114812451</v>
      </c>
      <c r="AS91" s="25">
        <v>459.39175576888817</v>
      </c>
      <c r="AT91" s="25">
        <v>1040.1572510723738</v>
      </c>
      <c r="AU91" s="46">
        <v>5673</v>
      </c>
      <c r="AV91" s="46">
        <v>18635</v>
      </c>
      <c r="AW91" s="46">
        <v>9075</v>
      </c>
      <c r="AX91" s="46">
        <v>73076</v>
      </c>
      <c r="AY91" s="47">
        <f>SUM(AY92:AY93)</f>
        <v>16267</v>
      </c>
      <c r="AZ91" s="46">
        <v>920</v>
      </c>
      <c r="BA91" s="46">
        <v>1373</v>
      </c>
      <c r="BB91" s="46">
        <v>9970</v>
      </c>
      <c r="BC91" s="46">
        <v>1787</v>
      </c>
      <c r="BD91" s="46">
        <v>9513</v>
      </c>
      <c r="BE91" s="46">
        <v>1235</v>
      </c>
      <c r="BF91" s="46">
        <v>1821</v>
      </c>
      <c r="BG91" s="46">
        <v>4840</v>
      </c>
      <c r="BH91" s="46">
        <v>11817</v>
      </c>
      <c r="BI91" s="46">
        <v>38093</v>
      </c>
      <c r="BJ91" s="46">
        <v>1670</v>
      </c>
      <c r="BK91" s="46">
        <v>11220</v>
      </c>
      <c r="BL91" s="46">
        <v>3699</v>
      </c>
      <c r="BM91" s="46">
        <v>3067</v>
      </c>
      <c r="BN91" s="46">
        <v>2352</v>
      </c>
      <c r="BO91" s="46">
        <v>23329</v>
      </c>
      <c r="BP91" s="46">
        <v>6698</v>
      </c>
      <c r="BQ91" s="46">
        <v>64857</v>
      </c>
      <c r="BR91" s="46">
        <v>47663</v>
      </c>
      <c r="BS91" s="46">
        <v>15559</v>
      </c>
      <c r="BT91" s="46">
        <v>17672</v>
      </c>
      <c r="BU91" s="46">
        <v>12088</v>
      </c>
      <c r="BV91" s="46">
        <v>1747</v>
      </c>
      <c r="BW91" s="46">
        <v>6575</v>
      </c>
      <c r="BX91" s="46">
        <v>3693</v>
      </c>
      <c r="BY91" s="25">
        <v>536663</v>
      </c>
      <c r="BZ91" s="25">
        <v>0</v>
      </c>
      <c r="CA91" s="25">
        <v>0</v>
      </c>
      <c r="CB91" s="25">
        <v>0</v>
      </c>
      <c r="CC91" s="25">
        <v>0</v>
      </c>
      <c r="CD91" s="25">
        <v>0</v>
      </c>
      <c r="CE91" s="25">
        <v>0</v>
      </c>
      <c r="CF91" s="25">
        <v>0</v>
      </c>
      <c r="CG91" s="25">
        <v>536663</v>
      </c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</row>
    <row r="92" spans="1:99" s="5" customFormat="1" x14ac:dyDescent="0.3">
      <c r="A92" s="28"/>
      <c r="B92" s="18" t="s">
        <v>180</v>
      </c>
      <c r="C92" s="5">
        <v>87</v>
      </c>
      <c r="D92" s="46">
        <v>5123</v>
      </c>
      <c r="E92" s="46">
        <v>2698</v>
      </c>
      <c r="F92" s="46">
        <v>272</v>
      </c>
      <c r="G92" s="46">
        <v>806</v>
      </c>
      <c r="H92" s="46">
        <v>3536</v>
      </c>
      <c r="I92" s="46">
        <v>884</v>
      </c>
      <c r="J92" s="46">
        <v>566</v>
      </c>
      <c r="K92" s="46">
        <v>6513</v>
      </c>
      <c r="L92" s="46">
        <v>2394</v>
      </c>
      <c r="M92" s="46">
        <v>7273</v>
      </c>
      <c r="N92" s="46">
        <v>2148</v>
      </c>
      <c r="O92" s="46">
        <v>367</v>
      </c>
      <c r="P92" s="46">
        <v>1996</v>
      </c>
      <c r="Q92" s="46">
        <v>3739</v>
      </c>
      <c r="R92" s="46">
        <v>1856</v>
      </c>
      <c r="S92" s="46">
        <v>1182</v>
      </c>
      <c r="T92" s="46">
        <v>2686</v>
      </c>
      <c r="U92" s="46">
        <v>1025</v>
      </c>
      <c r="V92" s="25">
        <v>1824.8227203314104</v>
      </c>
      <c r="W92" s="25">
        <v>46.925000000000907</v>
      </c>
      <c r="X92" s="25">
        <v>5.252279668588554</v>
      </c>
      <c r="Y92" s="46">
        <v>1350</v>
      </c>
      <c r="Z92" s="46">
        <v>2868</v>
      </c>
      <c r="AA92" s="46">
        <v>1980</v>
      </c>
      <c r="AB92" s="46">
        <v>1412</v>
      </c>
      <c r="AC92" s="46">
        <v>2814</v>
      </c>
      <c r="AD92" s="46">
        <v>4943</v>
      </c>
      <c r="AE92" s="46">
        <v>3466</v>
      </c>
      <c r="AF92" s="46">
        <v>2727</v>
      </c>
      <c r="AG92" s="46">
        <v>1168</v>
      </c>
      <c r="AH92" s="46">
        <v>4470</v>
      </c>
      <c r="AI92" s="46">
        <v>1937</v>
      </c>
      <c r="AJ92" s="46">
        <v>3036</v>
      </c>
      <c r="AK92" s="46">
        <v>5460</v>
      </c>
      <c r="AL92" s="46">
        <v>4407</v>
      </c>
      <c r="AM92" s="46">
        <v>3257</v>
      </c>
      <c r="AN92" s="46">
        <v>1477</v>
      </c>
      <c r="AO92" s="46">
        <v>2905</v>
      </c>
      <c r="AP92" s="46">
        <v>2436</v>
      </c>
      <c r="AQ92" s="25">
        <v>3142.581443295991</v>
      </c>
      <c r="AR92" s="25">
        <v>366.9461745915853</v>
      </c>
      <c r="AS92" s="25">
        <v>353.06369360279535</v>
      </c>
      <c r="AT92" s="25">
        <v>799.40868850962852</v>
      </c>
      <c r="AU92" s="46">
        <v>5109</v>
      </c>
      <c r="AV92" s="46">
        <v>18183</v>
      </c>
      <c r="AW92" s="46">
        <v>8959</v>
      </c>
      <c r="AX92" s="46">
        <v>71753</v>
      </c>
      <c r="AY92" s="47">
        <v>15650</v>
      </c>
      <c r="AZ92" s="46">
        <v>881</v>
      </c>
      <c r="BA92" s="46">
        <v>1333</v>
      </c>
      <c r="BB92" s="46">
        <v>8842</v>
      </c>
      <c r="BC92" s="46">
        <v>1736</v>
      </c>
      <c r="BD92" s="46">
        <v>9380</v>
      </c>
      <c r="BE92" s="46">
        <v>1198</v>
      </c>
      <c r="BF92" s="46">
        <v>1745</v>
      </c>
      <c r="BG92" s="46">
        <v>3960</v>
      </c>
      <c r="BH92" s="46">
        <v>11081</v>
      </c>
      <c r="BI92" s="46">
        <v>32184</v>
      </c>
      <c r="BJ92" s="46">
        <v>1614</v>
      </c>
      <c r="BK92" s="46">
        <v>10153</v>
      </c>
      <c r="BL92" s="46">
        <v>3565</v>
      </c>
      <c r="BM92" s="46">
        <v>3015</v>
      </c>
      <c r="BN92" s="46">
        <v>2297</v>
      </c>
      <c r="BO92" s="46">
        <v>22948</v>
      </c>
      <c r="BP92" s="46">
        <v>6601</v>
      </c>
      <c r="BQ92" s="46">
        <v>64134</v>
      </c>
      <c r="BR92" s="46">
        <v>47469</v>
      </c>
      <c r="BS92" s="46">
        <v>15429</v>
      </c>
      <c r="BT92" s="46">
        <v>17649</v>
      </c>
      <c r="BU92" s="46">
        <v>11939</v>
      </c>
      <c r="BV92" s="46">
        <v>1701</v>
      </c>
      <c r="BW92" s="46">
        <v>6456</v>
      </c>
      <c r="BX92" s="46">
        <v>3693</v>
      </c>
      <c r="BY92" s="25">
        <v>514373</v>
      </c>
      <c r="BZ92" s="25">
        <v>0</v>
      </c>
      <c r="CA92" s="25">
        <v>0</v>
      </c>
      <c r="CB92" s="25">
        <v>0</v>
      </c>
      <c r="CC92" s="25">
        <v>0</v>
      </c>
      <c r="CD92" s="25">
        <v>0</v>
      </c>
      <c r="CE92" s="25">
        <v>0</v>
      </c>
      <c r="CF92" s="25">
        <v>0</v>
      </c>
      <c r="CG92" s="25">
        <v>514373</v>
      </c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</row>
    <row r="93" spans="1:99" s="5" customFormat="1" x14ac:dyDescent="0.3">
      <c r="A93" s="28"/>
      <c r="B93" s="14" t="s">
        <v>181</v>
      </c>
      <c r="C93" s="5">
        <v>88</v>
      </c>
      <c r="D93" s="46">
        <v>3</v>
      </c>
      <c r="E93" s="46">
        <v>13</v>
      </c>
      <c r="F93" s="46">
        <v>2</v>
      </c>
      <c r="G93" s="46">
        <v>13</v>
      </c>
      <c r="H93" s="46">
        <v>1022</v>
      </c>
      <c r="I93" s="46">
        <v>37</v>
      </c>
      <c r="J93" s="46">
        <v>30</v>
      </c>
      <c r="K93" s="46">
        <v>172</v>
      </c>
      <c r="L93" s="46">
        <v>44</v>
      </c>
      <c r="M93" s="46">
        <v>238</v>
      </c>
      <c r="N93" s="46">
        <v>87</v>
      </c>
      <c r="O93" s="46">
        <v>35</v>
      </c>
      <c r="P93" s="46">
        <v>44</v>
      </c>
      <c r="Q93" s="46">
        <v>61</v>
      </c>
      <c r="R93" s="46">
        <v>41</v>
      </c>
      <c r="S93" s="46">
        <v>67</v>
      </c>
      <c r="T93" s="46">
        <v>283</v>
      </c>
      <c r="U93" s="46">
        <v>39</v>
      </c>
      <c r="V93" s="25">
        <v>750.53976563444269</v>
      </c>
      <c r="W93" s="25">
        <v>19.300000000000029</v>
      </c>
      <c r="X93" s="25">
        <v>2.1602343655569332</v>
      </c>
      <c r="Y93" s="46">
        <v>41</v>
      </c>
      <c r="Z93" s="46">
        <v>277</v>
      </c>
      <c r="AA93" s="46">
        <v>175</v>
      </c>
      <c r="AB93" s="46">
        <v>42</v>
      </c>
      <c r="AC93" s="46">
        <v>179</v>
      </c>
      <c r="AD93" s="46">
        <v>150</v>
      </c>
      <c r="AE93" s="46">
        <v>157</v>
      </c>
      <c r="AF93" s="46">
        <v>261</v>
      </c>
      <c r="AG93" s="46">
        <v>64</v>
      </c>
      <c r="AH93" s="46">
        <v>119</v>
      </c>
      <c r="AI93" s="46">
        <v>63</v>
      </c>
      <c r="AJ93" s="46">
        <v>118</v>
      </c>
      <c r="AK93" s="46">
        <v>256</v>
      </c>
      <c r="AL93" s="46">
        <v>217</v>
      </c>
      <c r="AM93" s="46">
        <v>133</v>
      </c>
      <c r="AN93" s="46">
        <v>121</v>
      </c>
      <c r="AO93" s="46">
        <v>85</v>
      </c>
      <c r="AP93" s="46">
        <v>98</v>
      </c>
      <c r="AQ93" s="25">
        <v>946.41448871462273</v>
      </c>
      <c r="AR93" s="25">
        <v>110.50888655653921</v>
      </c>
      <c r="AS93" s="25">
        <v>106.32806216609282</v>
      </c>
      <c r="AT93" s="25">
        <v>240.74856256274529</v>
      </c>
      <c r="AU93" s="46">
        <v>564</v>
      </c>
      <c r="AV93" s="46">
        <v>452</v>
      </c>
      <c r="AW93" s="46">
        <v>116</v>
      </c>
      <c r="AX93" s="46">
        <v>1323</v>
      </c>
      <c r="AY93" s="47">
        <v>617</v>
      </c>
      <c r="AZ93" s="46">
        <v>39</v>
      </c>
      <c r="BA93" s="46">
        <v>40</v>
      </c>
      <c r="BB93" s="46">
        <v>1128</v>
      </c>
      <c r="BC93" s="46">
        <v>51</v>
      </c>
      <c r="BD93" s="46">
        <v>133</v>
      </c>
      <c r="BE93" s="46">
        <v>37</v>
      </c>
      <c r="BF93" s="46">
        <v>76</v>
      </c>
      <c r="BG93" s="46">
        <v>880</v>
      </c>
      <c r="BH93" s="46">
        <v>736</v>
      </c>
      <c r="BI93" s="46">
        <v>5909</v>
      </c>
      <c r="BJ93" s="46">
        <v>56</v>
      </c>
      <c r="BK93" s="46">
        <v>1067</v>
      </c>
      <c r="BL93" s="46">
        <v>134</v>
      </c>
      <c r="BM93" s="46">
        <v>52</v>
      </c>
      <c r="BN93" s="46">
        <v>55</v>
      </c>
      <c r="BO93" s="46">
        <v>381</v>
      </c>
      <c r="BP93" s="46">
        <v>97</v>
      </c>
      <c r="BQ93" s="46">
        <v>723</v>
      </c>
      <c r="BR93" s="46">
        <v>194</v>
      </c>
      <c r="BS93" s="46">
        <v>130</v>
      </c>
      <c r="BT93" s="46">
        <v>23</v>
      </c>
      <c r="BU93" s="46">
        <v>149</v>
      </c>
      <c r="BV93" s="46">
        <v>46</v>
      </c>
      <c r="BW93" s="46">
        <v>119</v>
      </c>
      <c r="BX93" s="46">
        <v>0</v>
      </c>
      <c r="BY93" s="25">
        <v>22290</v>
      </c>
      <c r="BZ93" s="25">
        <v>0</v>
      </c>
      <c r="CA93" s="25">
        <v>0</v>
      </c>
      <c r="CB93" s="25">
        <v>0</v>
      </c>
      <c r="CC93" s="25">
        <v>0</v>
      </c>
      <c r="CD93" s="25">
        <v>0</v>
      </c>
      <c r="CE93" s="25">
        <v>0</v>
      </c>
      <c r="CF93" s="25">
        <v>0</v>
      </c>
      <c r="CG93" s="25">
        <v>22290</v>
      </c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</row>
    <row r="94" spans="1:99" s="5" customFormat="1" x14ac:dyDescent="0.3">
      <c r="A94" s="28" t="s">
        <v>182</v>
      </c>
      <c r="B94" s="14" t="s">
        <v>183</v>
      </c>
      <c r="C94" s="5">
        <v>89</v>
      </c>
      <c r="D94" s="46">
        <v>0</v>
      </c>
      <c r="E94" s="46">
        <v>0</v>
      </c>
      <c r="F94" s="46">
        <v>0</v>
      </c>
      <c r="G94" s="46">
        <v>0</v>
      </c>
      <c r="H94" s="46">
        <v>0</v>
      </c>
      <c r="I94" s="46">
        <v>0</v>
      </c>
      <c r="J94" s="46">
        <v>0</v>
      </c>
      <c r="K94" s="46">
        <v>0</v>
      </c>
      <c r="L94" s="46">
        <v>0</v>
      </c>
      <c r="M94" s="46">
        <v>0</v>
      </c>
      <c r="N94" s="46">
        <v>0</v>
      </c>
      <c r="O94" s="46">
        <v>0</v>
      </c>
      <c r="P94" s="46">
        <v>0</v>
      </c>
      <c r="Q94" s="46">
        <v>0</v>
      </c>
      <c r="R94" s="46">
        <v>0</v>
      </c>
      <c r="S94" s="46">
        <v>0</v>
      </c>
      <c r="T94" s="46">
        <v>0</v>
      </c>
      <c r="U94" s="46">
        <v>0</v>
      </c>
      <c r="V94" s="25">
        <v>0</v>
      </c>
      <c r="W94" s="25">
        <v>0</v>
      </c>
      <c r="X94" s="25">
        <v>0</v>
      </c>
      <c r="Y94" s="46">
        <v>0</v>
      </c>
      <c r="Z94" s="46">
        <v>0</v>
      </c>
      <c r="AA94" s="46">
        <v>0</v>
      </c>
      <c r="AB94" s="46">
        <v>0</v>
      </c>
      <c r="AC94" s="46">
        <v>0</v>
      </c>
      <c r="AD94" s="46">
        <v>0</v>
      </c>
      <c r="AE94" s="46">
        <v>0</v>
      </c>
      <c r="AF94" s="46">
        <v>0</v>
      </c>
      <c r="AG94" s="46">
        <v>0</v>
      </c>
      <c r="AH94" s="46">
        <v>0</v>
      </c>
      <c r="AI94" s="46">
        <v>0</v>
      </c>
      <c r="AJ94" s="46">
        <v>0</v>
      </c>
      <c r="AK94" s="46">
        <v>0</v>
      </c>
      <c r="AL94" s="46">
        <v>0</v>
      </c>
      <c r="AM94" s="46">
        <v>0</v>
      </c>
      <c r="AN94" s="46">
        <v>0</v>
      </c>
      <c r="AO94" s="46">
        <v>0</v>
      </c>
      <c r="AP94" s="46">
        <v>0</v>
      </c>
      <c r="AQ94" s="25">
        <v>0</v>
      </c>
      <c r="AR94" s="25">
        <v>0</v>
      </c>
      <c r="AS94" s="25">
        <v>0</v>
      </c>
      <c r="AT94" s="25">
        <v>0</v>
      </c>
      <c r="AU94" s="46">
        <v>0</v>
      </c>
      <c r="AV94" s="46">
        <v>0</v>
      </c>
      <c r="AW94" s="46">
        <v>0</v>
      </c>
      <c r="AX94" s="46">
        <v>0</v>
      </c>
      <c r="AY94" s="47">
        <v>0</v>
      </c>
      <c r="AZ94" s="46">
        <v>0</v>
      </c>
      <c r="BA94" s="46">
        <v>0</v>
      </c>
      <c r="BB94" s="46">
        <v>0</v>
      </c>
      <c r="BC94" s="46">
        <v>0</v>
      </c>
      <c r="BD94" s="46">
        <v>0</v>
      </c>
      <c r="BE94" s="46">
        <v>0</v>
      </c>
      <c r="BF94" s="46">
        <v>0</v>
      </c>
      <c r="BG94" s="46">
        <v>0</v>
      </c>
      <c r="BH94" s="46">
        <v>0</v>
      </c>
      <c r="BI94" s="46">
        <v>0</v>
      </c>
      <c r="BJ94" s="46">
        <v>0</v>
      </c>
      <c r="BK94" s="46">
        <v>0</v>
      </c>
      <c r="BL94" s="46">
        <v>0</v>
      </c>
      <c r="BM94" s="46">
        <v>0</v>
      </c>
      <c r="BN94" s="46">
        <v>0</v>
      </c>
      <c r="BO94" s="46">
        <v>0</v>
      </c>
      <c r="BP94" s="46">
        <v>0</v>
      </c>
      <c r="BQ94" s="46">
        <v>82843</v>
      </c>
      <c r="BR94" s="46">
        <v>6706</v>
      </c>
      <c r="BS94" s="46">
        <v>0</v>
      </c>
      <c r="BT94" s="46">
        <v>7263</v>
      </c>
      <c r="BU94" s="46">
        <v>0</v>
      </c>
      <c r="BV94" s="46">
        <v>0</v>
      </c>
      <c r="BW94" s="46">
        <v>0</v>
      </c>
      <c r="BX94" s="46">
        <v>0</v>
      </c>
      <c r="BY94" s="25">
        <v>96812</v>
      </c>
      <c r="BZ94" s="25">
        <v>0</v>
      </c>
      <c r="CA94" s="25">
        <v>0</v>
      </c>
      <c r="CB94" s="25">
        <v>0</v>
      </c>
      <c r="CC94" s="25">
        <v>0</v>
      </c>
      <c r="CD94" s="25">
        <v>0</v>
      </c>
      <c r="CE94" s="25">
        <v>0</v>
      </c>
      <c r="CF94" s="25">
        <v>0</v>
      </c>
      <c r="CG94" s="25">
        <v>96812</v>
      </c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</row>
    <row r="95" spans="1:99" s="5" customFormat="1" x14ac:dyDescent="0.3">
      <c r="A95" s="66" t="s">
        <v>184</v>
      </c>
      <c r="B95" s="67" t="s">
        <v>185</v>
      </c>
      <c r="C95" s="5">
        <v>90</v>
      </c>
      <c r="D95" s="46">
        <v>182575</v>
      </c>
      <c r="E95" s="46">
        <v>48953</v>
      </c>
      <c r="F95" s="46">
        <v>26039</v>
      </c>
      <c r="G95" s="46">
        <v>3887</v>
      </c>
      <c r="H95" s="46">
        <v>82275</v>
      </c>
      <c r="I95" s="46">
        <v>40026</v>
      </c>
      <c r="J95" s="46">
        <v>4247</v>
      </c>
      <c r="K95" s="46">
        <v>13233</v>
      </c>
      <c r="L95" s="46">
        <v>-927</v>
      </c>
      <c r="M95" s="46">
        <v>27501</v>
      </c>
      <c r="N95" s="46">
        <v>11221</v>
      </c>
      <c r="O95" s="46">
        <v>1741</v>
      </c>
      <c r="P95" s="46">
        <v>4276</v>
      </c>
      <c r="Q95" s="46">
        <v>9211</v>
      </c>
      <c r="R95" s="46">
        <v>4032</v>
      </c>
      <c r="S95" s="46">
        <v>4783</v>
      </c>
      <c r="T95" s="46">
        <v>16893</v>
      </c>
      <c r="U95" s="46">
        <v>4315</v>
      </c>
      <c r="V95" s="25">
        <v>31352.534847079216</v>
      </c>
      <c r="W95" s="25">
        <v>806.22500000000116</v>
      </c>
      <c r="X95" s="25">
        <v>90.240152920784496</v>
      </c>
      <c r="Y95" s="46">
        <v>4134</v>
      </c>
      <c r="Z95" s="46">
        <v>12505</v>
      </c>
      <c r="AA95" s="46">
        <v>5167</v>
      </c>
      <c r="AB95" s="46">
        <v>3587</v>
      </c>
      <c r="AC95" s="46">
        <v>21406</v>
      </c>
      <c r="AD95" s="46">
        <v>5651</v>
      </c>
      <c r="AE95" s="46">
        <v>4831</v>
      </c>
      <c r="AF95" s="46">
        <v>19673</v>
      </c>
      <c r="AG95" s="46">
        <v>9072</v>
      </c>
      <c r="AH95" s="46">
        <v>10310</v>
      </c>
      <c r="AI95" s="46">
        <v>4751</v>
      </c>
      <c r="AJ95" s="46">
        <v>4693</v>
      </c>
      <c r="AK95" s="46">
        <v>8755</v>
      </c>
      <c r="AL95" s="46">
        <v>1419</v>
      </c>
      <c r="AM95" s="46">
        <v>8283</v>
      </c>
      <c r="AN95" s="46">
        <v>2054</v>
      </c>
      <c r="AO95" s="46">
        <v>15383</v>
      </c>
      <c r="AP95" s="46">
        <v>14972</v>
      </c>
      <c r="AQ95" s="25">
        <v>60670.726369437907</v>
      </c>
      <c r="AR95" s="25">
        <v>9910.61827089703</v>
      </c>
      <c r="AS95" s="25">
        <v>7100.5881564106267</v>
      </c>
      <c r="AT95" s="25">
        <v>18879.067203254435</v>
      </c>
      <c r="AU95" s="46">
        <v>26426</v>
      </c>
      <c r="AV95" s="46">
        <v>135690</v>
      </c>
      <c r="AW95" s="46">
        <v>47260</v>
      </c>
      <c r="AX95" s="46">
        <v>320736</v>
      </c>
      <c r="AY95" s="48">
        <f>AY96+AY97</f>
        <v>75354</v>
      </c>
      <c r="AZ95" s="46">
        <v>4521</v>
      </c>
      <c r="BA95" s="46">
        <v>1775</v>
      </c>
      <c r="BB95" s="46">
        <v>33698</v>
      </c>
      <c r="BC95" s="46">
        <v>3121</v>
      </c>
      <c r="BD95" s="46">
        <v>68654</v>
      </c>
      <c r="BE95" s="46">
        <v>1586</v>
      </c>
      <c r="BF95" s="46">
        <v>3948</v>
      </c>
      <c r="BG95" s="46">
        <v>43825</v>
      </c>
      <c r="BH95" s="46">
        <v>51289</v>
      </c>
      <c r="BI95" s="46">
        <v>249222</v>
      </c>
      <c r="BJ95" s="46">
        <v>579640</v>
      </c>
      <c r="BK95" s="46">
        <v>92276</v>
      </c>
      <c r="BL95" s="46">
        <v>20171</v>
      </c>
      <c r="BM95" s="46">
        <v>22865</v>
      </c>
      <c r="BN95" s="46">
        <v>18437</v>
      </c>
      <c r="BO95" s="46">
        <v>54852</v>
      </c>
      <c r="BP95" s="46">
        <v>2998</v>
      </c>
      <c r="BQ95" s="46">
        <v>87157</v>
      </c>
      <c r="BR95" s="46">
        <v>13026</v>
      </c>
      <c r="BS95" s="46">
        <v>10137</v>
      </c>
      <c r="BT95" s="46">
        <v>6529</v>
      </c>
      <c r="BU95" s="46">
        <v>77062</v>
      </c>
      <c r="BV95" s="46">
        <v>9413</v>
      </c>
      <c r="BW95" s="46">
        <v>39805</v>
      </c>
      <c r="BX95" s="46">
        <v>0</v>
      </c>
      <c r="BY95" s="25">
        <v>2871210</v>
      </c>
      <c r="BZ95" s="25">
        <v>0</v>
      </c>
      <c r="CA95" s="25">
        <v>0</v>
      </c>
      <c r="CB95" s="25">
        <v>0</v>
      </c>
      <c r="CC95" s="25">
        <v>0</v>
      </c>
      <c r="CD95" s="25">
        <v>0</v>
      </c>
      <c r="CE95" s="25">
        <v>0</v>
      </c>
      <c r="CF95" s="25">
        <v>0</v>
      </c>
      <c r="CG95" s="25">
        <v>2871210</v>
      </c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</row>
    <row r="96" spans="1:99" s="5" customFormat="1" x14ac:dyDescent="0.3">
      <c r="A96" s="28"/>
      <c r="B96" s="14" t="s">
        <v>186</v>
      </c>
      <c r="C96" s="5">
        <v>91</v>
      </c>
      <c r="D96" s="46">
        <v>97228</v>
      </c>
      <c r="E96" s="46">
        <v>38269</v>
      </c>
      <c r="F96" s="46">
        <v>12179</v>
      </c>
      <c r="G96" s="46">
        <v>254</v>
      </c>
      <c r="H96" s="46">
        <v>0</v>
      </c>
      <c r="I96" s="46">
        <v>0</v>
      </c>
      <c r="J96" s="46">
        <v>0</v>
      </c>
      <c r="K96" s="46">
        <v>365</v>
      </c>
      <c r="L96" s="46">
        <v>0</v>
      </c>
      <c r="M96" s="46">
        <v>4151</v>
      </c>
      <c r="N96" s="46">
        <v>23</v>
      </c>
      <c r="O96" s="46">
        <v>0</v>
      </c>
      <c r="P96" s="46">
        <v>1228</v>
      </c>
      <c r="Q96" s="46">
        <v>6429</v>
      </c>
      <c r="R96" s="46">
        <v>625</v>
      </c>
      <c r="S96" s="46">
        <v>1625</v>
      </c>
      <c r="T96" s="46">
        <v>296</v>
      </c>
      <c r="U96" s="46">
        <v>460</v>
      </c>
      <c r="V96" s="25">
        <v>0</v>
      </c>
      <c r="W96" s="25">
        <v>0</v>
      </c>
      <c r="X96" s="25">
        <v>0</v>
      </c>
      <c r="Y96" s="46">
        <v>0</v>
      </c>
      <c r="Z96" s="46">
        <v>0</v>
      </c>
      <c r="AA96" s="46">
        <v>0</v>
      </c>
      <c r="AB96" s="46">
        <v>585</v>
      </c>
      <c r="AC96" s="46">
        <v>0</v>
      </c>
      <c r="AD96" s="46">
        <v>373</v>
      </c>
      <c r="AE96" s="46">
        <v>799</v>
      </c>
      <c r="AF96" s="46">
        <v>0</v>
      </c>
      <c r="AG96" s="46">
        <v>-18</v>
      </c>
      <c r="AH96" s="46">
        <v>2385</v>
      </c>
      <c r="AI96" s="46">
        <v>0</v>
      </c>
      <c r="AJ96" s="46">
        <v>0</v>
      </c>
      <c r="AK96" s="46">
        <v>0</v>
      </c>
      <c r="AL96" s="46">
        <v>0</v>
      </c>
      <c r="AM96" s="46">
        <v>28</v>
      </c>
      <c r="AN96" s="46">
        <v>0</v>
      </c>
      <c r="AO96" s="46">
        <v>1333</v>
      </c>
      <c r="AP96" s="46">
        <v>5023</v>
      </c>
      <c r="AQ96" s="25">
        <v>0</v>
      </c>
      <c r="AR96" s="25">
        <v>0</v>
      </c>
      <c r="AS96" s="25">
        <v>0</v>
      </c>
      <c r="AT96" s="25">
        <v>0</v>
      </c>
      <c r="AU96" s="46">
        <v>1734</v>
      </c>
      <c r="AV96" s="46">
        <v>68569</v>
      </c>
      <c r="AW96" s="46">
        <v>22740</v>
      </c>
      <c r="AX96" s="46">
        <v>58881</v>
      </c>
      <c r="AY96" s="47">
        <v>25394</v>
      </c>
      <c r="AZ96" s="46">
        <v>430</v>
      </c>
      <c r="BA96" s="46">
        <v>0</v>
      </c>
      <c r="BB96" s="46">
        <v>1273</v>
      </c>
      <c r="BC96" s="46">
        <v>1302</v>
      </c>
      <c r="BD96" s="46">
        <v>48476</v>
      </c>
      <c r="BE96" s="46">
        <v>56</v>
      </c>
      <c r="BF96" s="46">
        <v>853</v>
      </c>
      <c r="BG96" s="46">
        <v>253</v>
      </c>
      <c r="BH96" s="46">
        <v>9240</v>
      </c>
      <c r="BI96" s="46">
        <v>2638</v>
      </c>
      <c r="BJ96" s="46">
        <v>4300</v>
      </c>
      <c r="BK96" s="46">
        <v>39398</v>
      </c>
      <c r="BL96" s="46">
        <v>11034</v>
      </c>
      <c r="BM96" s="46">
        <v>6368</v>
      </c>
      <c r="BN96" s="46">
        <v>793</v>
      </c>
      <c r="BO96" s="46">
        <v>7868</v>
      </c>
      <c r="BP96" s="46">
        <v>1175</v>
      </c>
      <c r="BQ96" s="46">
        <v>0</v>
      </c>
      <c r="BR96" s="46">
        <v>0</v>
      </c>
      <c r="BS96" s="46">
        <v>7947</v>
      </c>
      <c r="BT96" s="46">
        <v>0</v>
      </c>
      <c r="BU96" s="46">
        <v>50020</v>
      </c>
      <c r="BV96" s="46">
        <v>6325</v>
      </c>
      <c r="BW96" s="46">
        <v>32861</v>
      </c>
      <c r="BX96" s="46">
        <v>0</v>
      </c>
      <c r="BY96" s="25">
        <v>583568</v>
      </c>
      <c r="BZ96" s="25">
        <v>0</v>
      </c>
      <c r="CA96" s="25">
        <v>0</v>
      </c>
      <c r="CB96" s="25">
        <v>0</v>
      </c>
      <c r="CC96" s="25">
        <v>0</v>
      </c>
      <c r="CD96" s="25">
        <v>0</v>
      </c>
      <c r="CE96" s="25">
        <v>0</v>
      </c>
      <c r="CF96" s="25">
        <v>0</v>
      </c>
      <c r="CG96" s="25">
        <v>583568</v>
      </c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</row>
    <row r="97" spans="1:99" s="5" customFormat="1" x14ac:dyDescent="0.3">
      <c r="A97" s="28"/>
      <c r="B97" s="14" t="s">
        <v>187</v>
      </c>
      <c r="C97" s="5">
        <v>92</v>
      </c>
      <c r="D97" s="46">
        <v>85347</v>
      </c>
      <c r="E97" s="46">
        <v>10684</v>
      </c>
      <c r="F97" s="46">
        <v>13860</v>
      </c>
      <c r="G97" s="46">
        <v>3633</v>
      </c>
      <c r="H97" s="46">
        <v>82275</v>
      </c>
      <c r="I97" s="46">
        <v>40026</v>
      </c>
      <c r="J97" s="46">
        <v>4247</v>
      </c>
      <c r="K97" s="46">
        <v>12868</v>
      </c>
      <c r="L97" s="46">
        <v>-927</v>
      </c>
      <c r="M97" s="46">
        <v>23350</v>
      </c>
      <c r="N97" s="46">
        <v>11198</v>
      </c>
      <c r="O97" s="46">
        <v>1741</v>
      </c>
      <c r="P97" s="46">
        <v>3048</v>
      </c>
      <c r="Q97" s="46">
        <v>2782</v>
      </c>
      <c r="R97" s="46">
        <v>3407</v>
      </c>
      <c r="S97" s="46">
        <v>3158</v>
      </c>
      <c r="T97" s="46">
        <v>16597</v>
      </c>
      <c r="U97" s="46">
        <v>3855</v>
      </c>
      <c r="V97" s="25">
        <v>31352.534847079216</v>
      </c>
      <c r="W97" s="25">
        <v>806.22500000000116</v>
      </c>
      <c r="X97" s="25">
        <v>90.240152920784496</v>
      </c>
      <c r="Y97" s="46">
        <v>4134</v>
      </c>
      <c r="Z97" s="46">
        <v>12505</v>
      </c>
      <c r="AA97" s="46">
        <v>5167</v>
      </c>
      <c r="AB97" s="46">
        <v>3002</v>
      </c>
      <c r="AC97" s="46">
        <v>21406</v>
      </c>
      <c r="AD97" s="46">
        <v>5278</v>
      </c>
      <c r="AE97" s="46">
        <v>4032</v>
      </c>
      <c r="AF97" s="46">
        <v>19673</v>
      </c>
      <c r="AG97" s="46">
        <v>9090</v>
      </c>
      <c r="AH97" s="46">
        <v>7925</v>
      </c>
      <c r="AI97" s="46">
        <v>4751</v>
      </c>
      <c r="AJ97" s="46">
        <v>4693</v>
      </c>
      <c r="AK97" s="46">
        <v>8755</v>
      </c>
      <c r="AL97" s="46">
        <v>1419</v>
      </c>
      <c r="AM97" s="46">
        <v>8255</v>
      </c>
      <c r="AN97" s="46">
        <v>2054</v>
      </c>
      <c r="AO97" s="46">
        <v>14050</v>
      </c>
      <c r="AP97" s="46">
        <v>9949</v>
      </c>
      <c r="AQ97" s="25">
        <v>60670.726369437907</v>
      </c>
      <c r="AR97" s="25">
        <v>9910.61827089703</v>
      </c>
      <c r="AS97" s="25">
        <v>7100.5881564106267</v>
      </c>
      <c r="AT97" s="25">
        <v>18879.067203254435</v>
      </c>
      <c r="AU97" s="46">
        <v>24692</v>
      </c>
      <c r="AV97" s="46">
        <v>67121</v>
      </c>
      <c r="AW97" s="46">
        <v>24520</v>
      </c>
      <c r="AX97" s="46">
        <v>261855</v>
      </c>
      <c r="AY97" s="47">
        <v>49960</v>
      </c>
      <c r="AZ97" s="46">
        <v>4091</v>
      </c>
      <c r="BA97" s="46">
        <v>1775</v>
      </c>
      <c r="BB97" s="46">
        <v>32425</v>
      </c>
      <c r="BC97" s="46">
        <v>1819</v>
      </c>
      <c r="BD97" s="46">
        <v>20178</v>
      </c>
      <c r="BE97" s="46">
        <v>1530</v>
      </c>
      <c r="BF97" s="46">
        <v>3095</v>
      </c>
      <c r="BG97" s="46">
        <v>43572</v>
      </c>
      <c r="BH97" s="46">
        <v>42049</v>
      </c>
      <c r="BI97" s="46">
        <v>246584</v>
      </c>
      <c r="BJ97" s="46">
        <v>575340</v>
      </c>
      <c r="BK97" s="46">
        <v>52878</v>
      </c>
      <c r="BL97" s="46">
        <v>9137</v>
      </c>
      <c r="BM97" s="46">
        <v>16497</v>
      </c>
      <c r="BN97" s="46">
        <v>17644</v>
      </c>
      <c r="BO97" s="46">
        <v>46984</v>
      </c>
      <c r="BP97" s="46">
        <v>1823</v>
      </c>
      <c r="BQ97" s="46">
        <v>87157</v>
      </c>
      <c r="BR97" s="46">
        <v>13026</v>
      </c>
      <c r="BS97" s="46">
        <v>2190</v>
      </c>
      <c r="BT97" s="46">
        <v>6529</v>
      </c>
      <c r="BU97" s="46">
        <v>27042</v>
      </c>
      <c r="BV97" s="46">
        <v>3088</v>
      </c>
      <c r="BW97" s="46">
        <v>6944</v>
      </c>
      <c r="BX97" s="46">
        <v>0</v>
      </c>
      <c r="BY97" s="25">
        <v>2287642</v>
      </c>
      <c r="BZ97" s="25">
        <v>0</v>
      </c>
      <c r="CA97" s="25">
        <v>0</v>
      </c>
      <c r="CB97" s="25">
        <v>0</v>
      </c>
      <c r="CC97" s="25">
        <v>0</v>
      </c>
      <c r="CD97" s="25">
        <v>0</v>
      </c>
      <c r="CE97" s="25">
        <v>0</v>
      </c>
      <c r="CF97" s="25">
        <v>0</v>
      </c>
      <c r="CG97" s="25">
        <v>2287642</v>
      </c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</row>
    <row r="98" spans="1:99" s="5" customFormat="1" x14ac:dyDescent="0.3">
      <c r="A98" s="66" t="s">
        <v>188</v>
      </c>
      <c r="B98" s="67" t="s">
        <v>189</v>
      </c>
      <c r="C98" s="5">
        <v>93</v>
      </c>
      <c r="D98" s="25">
        <v>216931</v>
      </c>
      <c r="E98" s="25">
        <v>71170</v>
      </c>
      <c r="F98" s="25">
        <v>28294</v>
      </c>
      <c r="G98" s="25">
        <v>8013</v>
      </c>
      <c r="H98" s="25">
        <v>99192</v>
      </c>
      <c r="I98" s="25">
        <v>44528</v>
      </c>
      <c r="J98" s="25">
        <v>6854</v>
      </c>
      <c r="K98" s="25">
        <v>43350</v>
      </c>
      <c r="L98" s="25">
        <v>7763</v>
      </c>
      <c r="M98" s="25">
        <v>62923</v>
      </c>
      <c r="N98" s="25">
        <v>21174</v>
      </c>
      <c r="O98" s="25">
        <v>3452</v>
      </c>
      <c r="P98" s="25">
        <v>15538</v>
      </c>
      <c r="Q98" s="25">
        <v>27754</v>
      </c>
      <c r="R98" s="25">
        <v>15080</v>
      </c>
      <c r="S98" s="25">
        <v>11427</v>
      </c>
      <c r="T98" s="25">
        <v>30921</v>
      </c>
      <c r="U98" s="25">
        <v>9979</v>
      </c>
      <c r="V98" s="25">
        <v>39997.352976640701</v>
      </c>
      <c r="W98" s="25">
        <v>1028.5250000000015</v>
      </c>
      <c r="X98" s="25">
        <v>115.1220233592978</v>
      </c>
      <c r="Y98" s="25">
        <v>11147</v>
      </c>
      <c r="Z98" s="25">
        <v>25408</v>
      </c>
      <c r="AA98" s="25">
        <v>14547</v>
      </c>
      <c r="AB98" s="25">
        <v>10441</v>
      </c>
      <c r="AC98" s="25">
        <v>34101</v>
      </c>
      <c r="AD98" s="25">
        <v>28568</v>
      </c>
      <c r="AE98" s="25">
        <v>23981</v>
      </c>
      <c r="AF98" s="25">
        <v>33074</v>
      </c>
      <c r="AG98" s="25">
        <v>15319</v>
      </c>
      <c r="AH98" s="25">
        <v>32352</v>
      </c>
      <c r="AI98" s="25">
        <v>14526</v>
      </c>
      <c r="AJ98" s="25">
        <v>19324</v>
      </c>
      <c r="AK98" s="25">
        <v>36375</v>
      </c>
      <c r="AL98" s="25">
        <v>21902</v>
      </c>
      <c r="AM98" s="25">
        <v>29138</v>
      </c>
      <c r="AN98" s="25">
        <v>10311</v>
      </c>
      <c r="AO98" s="25">
        <v>32031</v>
      </c>
      <c r="AP98" s="25">
        <v>28029</v>
      </c>
      <c r="AQ98" s="25">
        <v>75160.170411404295</v>
      </c>
      <c r="AR98" s="25">
        <v>11602.490433669687</v>
      </c>
      <c r="AS98" s="25">
        <v>8728.4526124363856</v>
      </c>
      <c r="AT98" s="25">
        <v>22564.886542489628</v>
      </c>
      <c r="AU98" s="25">
        <v>49419</v>
      </c>
      <c r="AV98" s="25">
        <v>240260</v>
      </c>
      <c r="AW98" s="25">
        <v>96441</v>
      </c>
      <c r="AX98" s="25">
        <v>673264</v>
      </c>
      <c r="AY98" s="41">
        <f>AY95+AY89</f>
        <v>163231</v>
      </c>
      <c r="AZ98" s="25">
        <v>9658</v>
      </c>
      <c r="BA98" s="25">
        <v>9267</v>
      </c>
      <c r="BB98" s="25">
        <v>77735</v>
      </c>
      <c r="BC98" s="25">
        <v>14428</v>
      </c>
      <c r="BD98" s="25">
        <v>128770</v>
      </c>
      <c r="BE98" s="25">
        <v>8384</v>
      </c>
      <c r="BF98" s="25">
        <v>15626</v>
      </c>
      <c r="BG98" s="25">
        <v>63037</v>
      </c>
      <c r="BH98" s="25">
        <v>108476</v>
      </c>
      <c r="BI98" s="25">
        <v>414439</v>
      </c>
      <c r="BJ98" s="25">
        <v>587563</v>
      </c>
      <c r="BK98" s="25">
        <v>154215</v>
      </c>
      <c r="BL98" s="25">
        <v>38756</v>
      </c>
      <c r="BM98" s="25">
        <v>38294</v>
      </c>
      <c r="BN98" s="25">
        <v>29781</v>
      </c>
      <c r="BO98" s="25">
        <v>173256</v>
      </c>
      <c r="BP98" s="25">
        <v>34072</v>
      </c>
      <c r="BQ98" s="25">
        <v>615860</v>
      </c>
      <c r="BR98" s="25">
        <v>295116</v>
      </c>
      <c r="BS98" s="25">
        <v>100070</v>
      </c>
      <c r="BT98" s="25">
        <v>134229</v>
      </c>
      <c r="BU98" s="25">
        <v>166893</v>
      </c>
      <c r="BV98" s="25">
        <v>22678</v>
      </c>
      <c r="BW98" s="25">
        <v>85200</v>
      </c>
      <c r="BX98" s="25">
        <v>74451</v>
      </c>
      <c r="BY98" s="25">
        <v>5926983</v>
      </c>
      <c r="BZ98" s="25">
        <v>0</v>
      </c>
      <c r="CA98" s="25">
        <v>0</v>
      </c>
      <c r="CB98" s="25">
        <v>0</v>
      </c>
      <c r="CC98" s="25">
        <v>0</v>
      </c>
      <c r="CD98" s="25">
        <v>0</v>
      </c>
      <c r="CE98" s="25">
        <v>0</v>
      </c>
      <c r="CF98" s="25">
        <v>0</v>
      </c>
      <c r="CG98" s="25">
        <v>5926983</v>
      </c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</row>
    <row r="99" spans="1:99" s="5" customFormat="1" x14ac:dyDescent="0.3">
      <c r="A99" s="28" t="s">
        <v>190</v>
      </c>
      <c r="B99" s="14" t="s">
        <v>191</v>
      </c>
      <c r="C99" s="5">
        <v>94</v>
      </c>
      <c r="D99" s="46">
        <v>1841</v>
      </c>
      <c r="E99" s="46">
        <v>641</v>
      </c>
      <c r="F99" s="46">
        <v>151</v>
      </c>
      <c r="G99" s="46">
        <v>199</v>
      </c>
      <c r="H99" s="46">
        <v>1568</v>
      </c>
      <c r="I99" s="46">
        <v>630</v>
      </c>
      <c r="J99" s="46">
        <v>170</v>
      </c>
      <c r="K99" s="46">
        <v>2563</v>
      </c>
      <c r="L99" s="46">
        <v>775</v>
      </c>
      <c r="M99" s="46">
        <v>3210</v>
      </c>
      <c r="N99" s="46">
        <v>938</v>
      </c>
      <c r="O99" s="46">
        <v>130</v>
      </c>
      <c r="P99" s="46">
        <v>530</v>
      </c>
      <c r="Q99" s="46">
        <v>650</v>
      </c>
      <c r="R99" s="46">
        <v>490</v>
      </c>
      <c r="S99" s="46">
        <v>363</v>
      </c>
      <c r="T99" s="46">
        <v>939</v>
      </c>
      <c r="U99" s="46">
        <v>281</v>
      </c>
      <c r="V99" s="25">
        <v>1318.044608560534</v>
      </c>
      <c r="W99" s="25">
        <v>26.900000000000002</v>
      </c>
      <c r="X99" s="25">
        <v>5.5391439466079474E-2</v>
      </c>
      <c r="Y99" s="46">
        <v>501</v>
      </c>
      <c r="Z99" s="46">
        <v>1318</v>
      </c>
      <c r="AA99" s="46">
        <v>705</v>
      </c>
      <c r="AB99" s="46">
        <v>479</v>
      </c>
      <c r="AC99" s="46">
        <v>709</v>
      </c>
      <c r="AD99" s="46">
        <v>1197</v>
      </c>
      <c r="AE99" s="46">
        <v>875</v>
      </c>
      <c r="AF99" s="46">
        <v>1156</v>
      </c>
      <c r="AG99" s="46">
        <v>555</v>
      </c>
      <c r="AH99" s="46">
        <v>1058</v>
      </c>
      <c r="AI99" s="46">
        <v>1074</v>
      </c>
      <c r="AJ99" s="46">
        <v>784</v>
      </c>
      <c r="AK99" s="46">
        <v>1363</v>
      </c>
      <c r="AL99" s="46">
        <v>1530</v>
      </c>
      <c r="AM99" s="46">
        <v>1108</v>
      </c>
      <c r="AN99" s="46">
        <v>419</v>
      </c>
      <c r="AO99" s="46">
        <v>725</v>
      </c>
      <c r="AP99" s="46">
        <v>486</v>
      </c>
      <c r="AQ99" s="25">
        <v>2228.8840747626796</v>
      </c>
      <c r="AR99" s="25">
        <v>364.09023852039769</v>
      </c>
      <c r="AS99" s="25">
        <v>260.85706913910423</v>
      </c>
      <c r="AT99" s="25">
        <v>303.16861757781845</v>
      </c>
      <c r="AU99" s="46">
        <v>951</v>
      </c>
      <c r="AV99" s="46">
        <v>3384</v>
      </c>
      <c r="AW99" s="46">
        <v>1466</v>
      </c>
      <c r="AX99" s="46">
        <v>12523</v>
      </c>
      <c r="AY99" s="47">
        <v>3613</v>
      </c>
      <c r="AZ99" s="46">
        <v>417</v>
      </c>
      <c r="BA99" s="46">
        <v>712</v>
      </c>
      <c r="BB99" s="46">
        <v>1734</v>
      </c>
      <c r="BC99" s="46">
        <v>394</v>
      </c>
      <c r="BD99" s="46">
        <v>1741</v>
      </c>
      <c r="BE99" s="46">
        <v>228</v>
      </c>
      <c r="BF99" s="46">
        <v>1362</v>
      </c>
      <c r="BG99" s="46">
        <v>6971</v>
      </c>
      <c r="BH99" s="46">
        <v>2073</v>
      </c>
      <c r="BI99" s="46">
        <v>8223</v>
      </c>
      <c r="BJ99" s="46">
        <v>473</v>
      </c>
      <c r="BK99" s="46">
        <v>2660</v>
      </c>
      <c r="BL99" s="46">
        <v>617</v>
      </c>
      <c r="BM99" s="46">
        <v>520</v>
      </c>
      <c r="BN99" s="46">
        <v>525</v>
      </c>
      <c r="BO99" s="46">
        <v>3452</v>
      </c>
      <c r="BP99" s="46">
        <v>1043</v>
      </c>
      <c r="BQ99" s="46">
        <v>163</v>
      </c>
      <c r="BR99" s="46">
        <v>17</v>
      </c>
      <c r="BS99" s="46">
        <v>2814</v>
      </c>
      <c r="BT99" s="46">
        <v>0</v>
      </c>
      <c r="BU99" s="46">
        <v>3006</v>
      </c>
      <c r="BV99" s="46">
        <v>306</v>
      </c>
      <c r="BW99" s="46">
        <v>1199</v>
      </c>
      <c r="BX99" s="46">
        <v>0</v>
      </c>
      <c r="BY99" s="25">
        <v>99200</v>
      </c>
      <c r="BZ99" s="25">
        <v>0</v>
      </c>
      <c r="CA99" s="25">
        <v>0</v>
      </c>
      <c r="CB99" s="25">
        <v>0</v>
      </c>
      <c r="CC99" s="25">
        <v>0</v>
      </c>
      <c r="CD99" s="25">
        <v>0</v>
      </c>
      <c r="CE99" s="25">
        <v>0</v>
      </c>
      <c r="CF99" s="25">
        <v>0</v>
      </c>
      <c r="CG99" s="25">
        <v>99200</v>
      </c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</row>
    <row r="100" spans="1:99" s="5" customFormat="1" x14ac:dyDescent="0.3">
      <c r="A100" s="28" t="s">
        <v>192</v>
      </c>
      <c r="B100" s="14" t="s">
        <v>193</v>
      </c>
      <c r="C100" s="5">
        <v>95</v>
      </c>
      <c r="D100" s="46">
        <v>-9261</v>
      </c>
      <c r="E100" s="46">
        <v>-119</v>
      </c>
      <c r="F100" s="46">
        <v>-37</v>
      </c>
      <c r="G100" s="46">
        <v>-61</v>
      </c>
      <c r="H100" s="46">
        <v>0</v>
      </c>
      <c r="I100" s="46">
        <v>-24</v>
      </c>
      <c r="J100" s="46">
        <v>0</v>
      </c>
      <c r="K100" s="46">
        <v>-82</v>
      </c>
      <c r="L100" s="46">
        <v>-114</v>
      </c>
      <c r="M100" s="46">
        <v>-105</v>
      </c>
      <c r="N100" s="46">
        <v>-32</v>
      </c>
      <c r="O100" s="46">
        <v>0</v>
      </c>
      <c r="P100" s="46">
        <v>-21</v>
      </c>
      <c r="Q100" s="46">
        <v>0</v>
      </c>
      <c r="R100" s="46">
        <v>0</v>
      </c>
      <c r="S100" s="46">
        <v>-31</v>
      </c>
      <c r="T100" s="46">
        <v>-80</v>
      </c>
      <c r="U100" s="46">
        <v>0</v>
      </c>
      <c r="V100" s="25">
        <v>-146.99382251604467</v>
      </c>
      <c r="W100" s="25">
        <v>-3</v>
      </c>
      <c r="X100" s="25">
        <v>-6.1774839553248488E-3</v>
      </c>
      <c r="Y100" s="46">
        <v>-124</v>
      </c>
      <c r="Z100" s="46">
        <v>-30</v>
      </c>
      <c r="AA100" s="46">
        <v>0</v>
      </c>
      <c r="AB100" s="46">
        <v>0</v>
      </c>
      <c r="AC100" s="46">
        <v>-21</v>
      </c>
      <c r="AD100" s="46">
        <v>-120</v>
      </c>
      <c r="AE100" s="46">
        <v>-99</v>
      </c>
      <c r="AF100" s="46">
        <v>-53</v>
      </c>
      <c r="AG100" s="46">
        <v>-28</v>
      </c>
      <c r="AH100" s="46">
        <v>-67</v>
      </c>
      <c r="AI100" s="46">
        <v>0</v>
      </c>
      <c r="AJ100" s="46">
        <v>-74</v>
      </c>
      <c r="AK100" s="46">
        <v>-195</v>
      </c>
      <c r="AL100" s="46">
        <v>-219</v>
      </c>
      <c r="AM100" s="46">
        <v>-180</v>
      </c>
      <c r="AN100" s="46">
        <v>-51</v>
      </c>
      <c r="AO100" s="46">
        <v>-28</v>
      </c>
      <c r="AP100" s="46">
        <v>0</v>
      </c>
      <c r="AQ100" s="25">
        <v>-84.01558596666419</v>
      </c>
      <c r="AR100" s="25">
        <v>-13.724022294560445</v>
      </c>
      <c r="AS100" s="25">
        <v>-9.8327498345116879</v>
      </c>
      <c r="AT100" s="25">
        <v>-11.427641904263668</v>
      </c>
      <c r="AU100" s="46">
        <v>-31</v>
      </c>
      <c r="AV100" s="46">
        <v>-364</v>
      </c>
      <c r="AW100" s="46">
        <v>-29</v>
      </c>
      <c r="AX100" s="46">
        <v>-618</v>
      </c>
      <c r="AY100" s="47">
        <v>-1629</v>
      </c>
      <c r="AZ100" s="46">
        <v>0</v>
      </c>
      <c r="BA100" s="46">
        <v>-25</v>
      </c>
      <c r="BB100" s="46">
        <v>-49</v>
      </c>
      <c r="BC100" s="46">
        <v>0</v>
      </c>
      <c r="BD100" s="46">
        <v>0</v>
      </c>
      <c r="BE100" s="46">
        <v>0</v>
      </c>
      <c r="BF100" s="46">
        <v>0</v>
      </c>
      <c r="BG100" s="46">
        <v>-64</v>
      </c>
      <c r="BH100" s="46">
        <v>0</v>
      </c>
      <c r="BI100" s="46">
        <v>0</v>
      </c>
      <c r="BJ100" s="46">
        <v>0</v>
      </c>
      <c r="BK100" s="46">
        <v>0</v>
      </c>
      <c r="BL100" s="46">
        <v>-374</v>
      </c>
      <c r="BM100" s="46">
        <v>0</v>
      </c>
      <c r="BN100" s="46">
        <v>-155</v>
      </c>
      <c r="BO100" s="46">
        <v>-49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-121</v>
      </c>
      <c r="BV100" s="46">
        <v>0</v>
      </c>
      <c r="BW100" s="46">
        <v>0</v>
      </c>
      <c r="BX100" s="46">
        <v>0</v>
      </c>
      <c r="BY100" s="25">
        <v>-15033</v>
      </c>
      <c r="BZ100" s="25">
        <v>0</v>
      </c>
      <c r="CA100" s="25">
        <v>0</v>
      </c>
      <c r="CB100" s="25">
        <v>0</v>
      </c>
      <c r="CC100" s="25">
        <v>0</v>
      </c>
      <c r="CD100" s="25">
        <v>0</v>
      </c>
      <c r="CE100" s="25">
        <v>0</v>
      </c>
      <c r="CF100" s="25">
        <v>0</v>
      </c>
      <c r="CG100" s="25">
        <v>-15033</v>
      </c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</row>
    <row r="101" spans="1:99" s="5" customFormat="1" x14ac:dyDescent="0.3">
      <c r="A101" s="66" t="s">
        <v>194</v>
      </c>
      <c r="B101" s="67" t="s">
        <v>195</v>
      </c>
      <c r="C101" s="5">
        <v>96</v>
      </c>
      <c r="D101" s="46">
        <v>209511</v>
      </c>
      <c r="E101" s="46">
        <v>71692</v>
      </c>
      <c r="F101" s="46">
        <v>28408</v>
      </c>
      <c r="G101" s="46">
        <v>8151</v>
      </c>
      <c r="H101" s="46">
        <v>100760</v>
      </c>
      <c r="I101" s="46">
        <v>45134</v>
      </c>
      <c r="J101" s="46">
        <v>7024</v>
      </c>
      <c r="K101" s="46">
        <v>45831</v>
      </c>
      <c r="L101" s="46">
        <v>8424</v>
      </c>
      <c r="M101" s="46">
        <v>66028</v>
      </c>
      <c r="N101" s="46">
        <v>22080</v>
      </c>
      <c r="O101" s="46">
        <v>3582</v>
      </c>
      <c r="P101" s="46">
        <v>16047</v>
      </c>
      <c r="Q101" s="46">
        <v>28404</v>
      </c>
      <c r="R101" s="46">
        <v>15570</v>
      </c>
      <c r="S101" s="46">
        <v>11759</v>
      </c>
      <c r="T101" s="46">
        <v>31780</v>
      </c>
      <c r="U101" s="46">
        <v>10260</v>
      </c>
      <c r="V101" s="25">
        <v>41168.403762685193</v>
      </c>
      <c r="W101" s="25">
        <v>1052.4250000000015</v>
      </c>
      <c r="X101" s="25">
        <v>115.17123731480855</v>
      </c>
      <c r="Y101" s="46">
        <v>11524</v>
      </c>
      <c r="Z101" s="46">
        <v>26696</v>
      </c>
      <c r="AA101" s="46">
        <v>15252</v>
      </c>
      <c r="AB101" s="46">
        <v>10920</v>
      </c>
      <c r="AC101" s="46">
        <v>34789</v>
      </c>
      <c r="AD101" s="46">
        <v>29645</v>
      </c>
      <c r="AE101" s="46">
        <v>24757</v>
      </c>
      <c r="AF101" s="46">
        <v>34177</v>
      </c>
      <c r="AG101" s="46">
        <v>15846</v>
      </c>
      <c r="AH101" s="46">
        <v>33343</v>
      </c>
      <c r="AI101" s="46">
        <v>15600</v>
      </c>
      <c r="AJ101" s="46">
        <v>20034</v>
      </c>
      <c r="AK101" s="46">
        <v>37543</v>
      </c>
      <c r="AL101" s="46">
        <v>23213</v>
      </c>
      <c r="AM101" s="46">
        <v>30066</v>
      </c>
      <c r="AN101" s="46">
        <v>10679</v>
      </c>
      <c r="AO101" s="46">
        <v>32728</v>
      </c>
      <c r="AP101" s="46">
        <v>28515</v>
      </c>
      <c r="AQ101" s="25">
        <v>77305.038900200307</v>
      </c>
      <c r="AR101" s="25">
        <v>11952.856649895524</v>
      </c>
      <c r="AS101" s="25">
        <v>8979.4769317409791</v>
      </c>
      <c r="AT101" s="25">
        <v>22856.627518163183</v>
      </c>
      <c r="AU101" s="46">
        <v>50339</v>
      </c>
      <c r="AV101" s="46">
        <v>243280</v>
      </c>
      <c r="AW101" s="46">
        <v>97878</v>
      </c>
      <c r="AX101" s="46">
        <v>685169</v>
      </c>
      <c r="AY101" s="48">
        <f>AY98+AY99+AY100</f>
        <v>165215</v>
      </c>
      <c r="AZ101" s="46">
        <v>10075</v>
      </c>
      <c r="BA101" s="46">
        <v>9954</v>
      </c>
      <c r="BB101" s="46">
        <v>79420</v>
      </c>
      <c r="BC101" s="46">
        <v>14822</v>
      </c>
      <c r="BD101" s="46">
        <v>130511</v>
      </c>
      <c r="BE101" s="46">
        <v>8612</v>
      </c>
      <c r="BF101" s="46">
        <v>16988</v>
      </c>
      <c r="BG101" s="46">
        <v>69944</v>
      </c>
      <c r="BH101" s="46">
        <v>110549</v>
      </c>
      <c r="BI101" s="46">
        <v>422662</v>
      </c>
      <c r="BJ101" s="46">
        <v>588036</v>
      </c>
      <c r="BK101" s="46">
        <v>156875</v>
      </c>
      <c r="BL101" s="46">
        <v>38999</v>
      </c>
      <c r="BM101" s="46">
        <v>38814</v>
      </c>
      <c r="BN101" s="46">
        <v>30151</v>
      </c>
      <c r="BO101" s="46">
        <v>176659</v>
      </c>
      <c r="BP101" s="46">
        <v>35115</v>
      </c>
      <c r="BQ101" s="46">
        <v>616023</v>
      </c>
      <c r="BR101" s="46">
        <v>295133</v>
      </c>
      <c r="BS101" s="46">
        <v>102884</v>
      </c>
      <c r="BT101" s="46">
        <v>134229</v>
      </c>
      <c r="BU101" s="46">
        <v>169778</v>
      </c>
      <c r="BV101" s="46">
        <v>22984</v>
      </c>
      <c r="BW101" s="46">
        <v>86399</v>
      </c>
      <c r="BX101" s="46">
        <v>74451</v>
      </c>
      <c r="BY101" s="25">
        <v>6011150</v>
      </c>
      <c r="BZ101" s="25">
        <v>0</v>
      </c>
      <c r="CA101" s="25">
        <v>0</v>
      </c>
      <c r="CB101" s="25">
        <v>0</v>
      </c>
      <c r="CC101" s="25">
        <v>0</v>
      </c>
      <c r="CD101" s="25">
        <v>0</v>
      </c>
      <c r="CE101" s="25">
        <v>0</v>
      </c>
      <c r="CF101" s="25">
        <v>0</v>
      </c>
      <c r="CG101" s="25">
        <v>6011150</v>
      </c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</row>
    <row r="102" spans="1:99" s="5" customFormat="1" x14ac:dyDescent="0.3">
      <c r="A102" s="28" t="s">
        <v>196</v>
      </c>
      <c r="B102" s="14" t="s">
        <v>197</v>
      </c>
      <c r="C102" s="5">
        <v>97</v>
      </c>
      <c r="D102" s="46">
        <v>398037</v>
      </c>
      <c r="E102" s="46">
        <v>151959</v>
      </c>
      <c r="F102" s="46">
        <v>37870</v>
      </c>
      <c r="G102" s="46">
        <v>20011</v>
      </c>
      <c r="H102" s="46">
        <v>225938</v>
      </c>
      <c r="I102" s="46">
        <v>92326</v>
      </c>
      <c r="J102" s="46">
        <v>18273</v>
      </c>
      <c r="K102" s="46">
        <v>292406</v>
      </c>
      <c r="L102" s="46">
        <v>51555</v>
      </c>
      <c r="M102" s="46">
        <v>324943</v>
      </c>
      <c r="N102" s="46">
        <v>78544</v>
      </c>
      <c r="O102" s="46">
        <v>15694</v>
      </c>
      <c r="P102" s="46">
        <v>54793</v>
      </c>
      <c r="Q102" s="46">
        <v>66432</v>
      </c>
      <c r="R102" s="46">
        <v>43848</v>
      </c>
      <c r="S102" s="46">
        <v>32687</v>
      </c>
      <c r="T102" s="46">
        <v>109595</v>
      </c>
      <c r="U102" s="46">
        <v>21333</v>
      </c>
      <c r="V102" s="25">
        <v>433811.26648911083</v>
      </c>
      <c r="W102" s="25">
        <v>10385.862128765166</v>
      </c>
      <c r="X102" s="25">
        <v>3303.8713821240121</v>
      </c>
      <c r="Y102" s="46">
        <v>54637</v>
      </c>
      <c r="Z102" s="46">
        <v>179506</v>
      </c>
      <c r="AA102" s="46">
        <v>88308</v>
      </c>
      <c r="AB102" s="46">
        <v>50176</v>
      </c>
      <c r="AC102" s="46">
        <v>76244</v>
      </c>
      <c r="AD102" s="46">
        <v>121217</v>
      </c>
      <c r="AE102" s="46">
        <v>83888</v>
      </c>
      <c r="AF102" s="46">
        <v>150065</v>
      </c>
      <c r="AG102" s="46">
        <v>73148</v>
      </c>
      <c r="AH102" s="46">
        <v>101954</v>
      </c>
      <c r="AI102" s="46">
        <v>103544</v>
      </c>
      <c r="AJ102" s="46">
        <v>79945</v>
      </c>
      <c r="AK102" s="46">
        <v>129313</v>
      </c>
      <c r="AL102" s="46">
        <v>187915</v>
      </c>
      <c r="AM102" s="46">
        <v>105992</v>
      </c>
      <c r="AN102" s="46">
        <v>41813</v>
      </c>
      <c r="AO102" s="46">
        <v>75235</v>
      </c>
      <c r="AP102" s="46">
        <v>79968</v>
      </c>
      <c r="AQ102" s="25">
        <v>231741.35660714976</v>
      </c>
      <c r="AR102" s="25">
        <v>34484.752941129023</v>
      </c>
      <c r="AS102" s="25">
        <v>16753.735752267654</v>
      </c>
      <c r="AT102" s="25">
        <v>40159.15469945356</v>
      </c>
      <c r="AU102" s="46">
        <v>82220</v>
      </c>
      <c r="AV102" s="46">
        <v>552073</v>
      </c>
      <c r="AW102" s="46">
        <v>175093</v>
      </c>
      <c r="AX102" s="46">
        <v>1120579</v>
      </c>
      <c r="AY102" s="48">
        <f>AY101+AY88</f>
        <v>379389.95552003221</v>
      </c>
      <c r="AZ102" s="46">
        <v>23042</v>
      </c>
      <c r="BA102" s="46">
        <v>44807</v>
      </c>
      <c r="BB102" s="46">
        <v>138844</v>
      </c>
      <c r="BC102" s="46">
        <v>27787</v>
      </c>
      <c r="BD102" s="46">
        <v>276938</v>
      </c>
      <c r="BE102" s="46">
        <v>17903</v>
      </c>
      <c r="BF102" s="46">
        <v>43874</v>
      </c>
      <c r="BG102" s="46">
        <v>166879</v>
      </c>
      <c r="BH102" s="46">
        <v>167410</v>
      </c>
      <c r="BI102" s="46">
        <v>649009</v>
      </c>
      <c r="BJ102" s="46">
        <v>639752</v>
      </c>
      <c r="BK102" s="46">
        <v>228613</v>
      </c>
      <c r="BL102" s="46">
        <v>62891</v>
      </c>
      <c r="BM102" s="46">
        <v>104820</v>
      </c>
      <c r="BN102" s="46">
        <v>48479</v>
      </c>
      <c r="BO102" s="46">
        <v>261715</v>
      </c>
      <c r="BP102" s="46">
        <v>43096</v>
      </c>
      <c r="BQ102" s="46">
        <v>858764</v>
      </c>
      <c r="BR102" s="46">
        <v>351095</v>
      </c>
      <c r="BS102" s="46">
        <v>143437</v>
      </c>
      <c r="BT102" s="46">
        <v>202716</v>
      </c>
      <c r="BU102" s="46">
        <v>302873</v>
      </c>
      <c r="BV102" s="46">
        <v>40366</v>
      </c>
      <c r="BW102" s="46">
        <v>171919</v>
      </c>
      <c r="BX102" s="46">
        <v>74451</v>
      </c>
      <c r="BY102" s="25">
        <v>12010010</v>
      </c>
      <c r="BZ102" s="25">
        <v>0</v>
      </c>
      <c r="CA102" s="25">
        <v>0</v>
      </c>
      <c r="CB102" s="25">
        <v>0</v>
      </c>
      <c r="CC102" s="25">
        <v>0</v>
      </c>
      <c r="CD102" s="25">
        <v>0</v>
      </c>
      <c r="CE102" s="25">
        <v>0</v>
      </c>
      <c r="CF102" s="25">
        <v>0</v>
      </c>
      <c r="CG102" s="25">
        <v>12010010</v>
      </c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</row>
    <row r="103" spans="1:99" s="5" customFormat="1" x14ac:dyDescent="0.3">
      <c r="A103" s="28"/>
      <c r="B103" s="14" t="s">
        <v>198</v>
      </c>
      <c r="C103" s="5">
        <v>98</v>
      </c>
      <c r="D103" s="25">
        <v>6687599</v>
      </c>
      <c r="E103" s="25">
        <v>5891326</v>
      </c>
      <c r="F103" s="46">
        <v>801096</v>
      </c>
      <c r="G103" s="25">
        <v>118276</v>
      </c>
      <c r="H103" s="25">
        <v>50144</v>
      </c>
      <c r="I103" s="25">
        <v>35440</v>
      </c>
      <c r="J103" s="25">
        <v>28949</v>
      </c>
      <c r="K103" s="25">
        <v>765202</v>
      </c>
      <c r="L103" s="25">
        <v>156442</v>
      </c>
      <c r="M103" s="25">
        <v>1285134</v>
      </c>
      <c r="N103" s="25">
        <v>190956</v>
      </c>
      <c r="O103" s="25">
        <v>17784</v>
      </c>
      <c r="P103" s="25">
        <v>632157</v>
      </c>
      <c r="Q103" s="25">
        <v>1676586</v>
      </c>
      <c r="R103" s="25">
        <v>468535</v>
      </c>
      <c r="S103" s="25">
        <v>376397</v>
      </c>
      <c r="T103" s="25">
        <v>201777</v>
      </c>
      <c r="U103" s="25">
        <v>180593</v>
      </c>
      <c r="V103" s="25">
        <v>18842.967500000002</v>
      </c>
      <c r="W103" s="25">
        <v>2617.3804999999988</v>
      </c>
      <c r="X103" s="25">
        <v>260.65199999999999</v>
      </c>
      <c r="Y103" s="25">
        <v>98255</v>
      </c>
      <c r="Z103" s="25">
        <v>92285</v>
      </c>
      <c r="AA103" s="25">
        <v>85311</v>
      </c>
      <c r="AB103" s="25">
        <v>137454</v>
      </c>
      <c r="AC103" s="25">
        <v>104114</v>
      </c>
      <c r="AD103" s="25">
        <v>444627</v>
      </c>
      <c r="AE103" s="25">
        <v>563545</v>
      </c>
      <c r="AF103" s="25">
        <v>122810</v>
      </c>
      <c r="AG103" s="25">
        <v>100208</v>
      </c>
      <c r="AH103" s="25">
        <v>669483</v>
      </c>
      <c r="AI103" s="25">
        <v>127233</v>
      </c>
      <c r="AJ103" s="25">
        <v>198332</v>
      </c>
      <c r="AK103" s="25">
        <v>378379</v>
      </c>
      <c r="AL103" s="25">
        <v>160623</v>
      </c>
      <c r="AM103" s="25">
        <v>305020</v>
      </c>
      <c r="AN103" s="25">
        <v>81338</v>
      </c>
      <c r="AO103" s="25">
        <v>744311</v>
      </c>
      <c r="AP103" s="25">
        <v>532601</v>
      </c>
      <c r="AQ103" s="25">
        <v>102497.99157891489</v>
      </c>
      <c r="AR103" s="25">
        <v>16271.463246158866</v>
      </c>
      <c r="AS103" s="25">
        <v>12467.511832466309</v>
      </c>
      <c r="AT103" s="25">
        <v>27161.033342459919</v>
      </c>
      <c r="AU103" s="25">
        <v>563905</v>
      </c>
      <c r="AV103" s="25">
        <v>7617875</v>
      </c>
      <c r="AW103" s="25">
        <v>2968849</v>
      </c>
      <c r="AX103" s="25">
        <v>16293655</v>
      </c>
      <c r="AY103" s="40">
        <v>4076625</v>
      </c>
      <c r="AZ103" s="25">
        <v>52733</v>
      </c>
      <c r="BA103" s="25">
        <v>60529</v>
      </c>
      <c r="BB103" s="25">
        <v>808476</v>
      </c>
      <c r="BC103" s="25">
        <v>438611</v>
      </c>
      <c r="BD103" s="25">
        <v>5622208</v>
      </c>
      <c r="BE103" s="25">
        <v>136112</v>
      </c>
      <c r="BF103" s="25">
        <v>166605</v>
      </c>
      <c r="BG103" s="25">
        <v>252106</v>
      </c>
      <c r="BH103" s="25">
        <v>752017</v>
      </c>
      <c r="BI103" s="25">
        <v>1241143</v>
      </c>
      <c r="BJ103" s="25">
        <v>466409</v>
      </c>
      <c r="BK103" s="25">
        <v>1887743</v>
      </c>
      <c r="BL103" s="25">
        <v>630552</v>
      </c>
      <c r="BM103" s="25">
        <v>613009</v>
      </c>
      <c r="BN103" s="25">
        <v>298455</v>
      </c>
      <c r="BO103" s="25">
        <v>4178701</v>
      </c>
      <c r="BP103" s="25">
        <v>781913</v>
      </c>
      <c r="BQ103" s="25">
        <v>4825230</v>
      </c>
      <c r="BR103" s="25">
        <v>4202039</v>
      </c>
      <c r="BS103" s="25">
        <v>2878667</v>
      </c>
      <c r="BT103" s="25">
        <v>2218572</v>
      </c>
      <c r="BU103" s="25">
        <v>3428002</v>
      </c>
      <c r="BV103" s="25">
        <v>1122849</v>
      </c>
      <c r="BW103" s="25">
        <v>4502808</v>
      </c>
      <c r="BX103" s="25">
        <v>6563436</v>
      </c>
      <c r="BY103" s="25">
        <v>104340275</v>
      </c>
      <c r="BZ103" s="25">
        <v>0</v>
      </c>
      <c r="CA103" s="25">
        <v>0</v>
      </c>
      <c r="CB103" s="25">
        <v>0</v>
      </c>
      <c r="CC103" s="25">
        <v>0</v>
      </c>
      <c r="CD103" s="25">
        <v>0</v>
      </c>
      <c r="CE103" s="25">
        <v>0</v>
      </c>
      <c r="CF103" s="25">
        <v>0</v>
      </c>
      <c r="CG103" s="25">
        <v>104340275</v>
      </c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</row>
    <row r="105" spans="1:99" x14ac:dyDescent="0.3">
      <c r="AY105" s="29"/>
    </row>
    <row r="106" spans="1:99" x14ac:dyDescent="0.3">
      <c r="AY106" s="29"/>
    </row>
    <row r="108" spans="1:99" x14ac:dyDescent="0.3">
      <c r="AY108" s="29"/>
    </row>
  </sheetData>
  <mergeCells count="2">
    <mergeCell ref="A3:C3"/>
    <mergeCell ref="A4:C4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CE3ED-073C-4589-86B9-B4F1A317ED96}">
  <sheetPr codeName="Planilha5"/>
  <dimension ref="A1:FE30"/>
  <sheetViews>
    <sheetView showGridLines="0" zoomScale="85" zoomScaleNormal="85" workbookViewId="0">
      <pane xSplit="2" topLeftCell="C1" activePane="topRight" state="frozen"/>
      <selection pane="topRight" activeCell="H18" sqref="H18"/>
    </sheetView>
  </sheetViews>
  <sheetFormatPr defaultColWidth="12.77734375" defaultRowHeight="14.4" x14ac:dyDescent="0.3"/>
  <cols>
    <col min="1" max="1" width="13.77734375" customWidth="1"/>
    <col min="2" max="2" width="32.77734375" customWidth="1"/>
  </cols>
  <sheetData>
    <row r="1" spans="1:161" x14ac:dyDescent="0.3">
      <c r="A1" t="s">
        <v>1</v>
      </c>
    </row>
    <row r="4" spans="1:161" s="5" customFormat="1" x14ac:dyDescent="0.3">
      <c r="A4" s="3" t="s">
        <v>9</v>
      </c>
      <c r="B4" s="4" t="s">
        <v>9</v>
      </c>
      <c r="C4" s="28" t="s">
        <v>10</v>
      </c>
      <c r="D4" s="28" t="s">
        <v>11</v>
      </c>
      <c r="E4" s="28" t="s">
        <v>12</v>
      </c>
      <c r="F4" s="28" t="s">
        <v>13</v>
      </c>
      <c r="G4" s="28" t="s">
        <v>14</v>
      </c>
      <c r="H4" s="28" t="s">
        <v>15</v>
      </c>
      <c r="I4" s="28" t="s">
        <v>16</v>
      </c>
      <c r="J4" s="28" t="s">
        <v>17</v>
      </c>
      <c r="K4" s="28" t="s">
        <v>18</v>
      </c>
      <c r="L4" s="28" t="s">
        <v>19</v>
      </c>
      <c r="M4" s="28" t="s">
        <v>20</v>
      </c>
      <c r="N4" s="28" t="s">
        <v>21</v>
      </c>
      <c r="O4" s="28" t="s">
        <v>22</v>
      </c>
      <c r="P4" s="28" t="s">
        <v>23</v>
      </c>
      <c r="Q4" s="28" t="s">
        <v>24</v>
      </c>
      <c r="R4" s="28" t="s">
        <v>25</v>
      </c>
      <c r="S4" s="28" t="s">
        <v>26</v>
      </c>
      <c r="T4" s="28" t="s">
        <v>27</v>
      </c>
      <c r="U4" s="28" t="s">
        <v>28</v>
      </c>
      <c r="V4" s="28" t="s">
        <v>29</v>
      </c>
      <c r="W4" s="28" t="s">
        <v>30</v>
      </c>
      <c r="X4" s="28" t="s">
        <v>31</v>
      </c>
      <c r="Y4" s="28" t="s">
        <v>32</v>
      </c>
      <c r="Z4" s="28" t="s">
        <v>33</v>
      </c>
      <c r="AA4" s="28" t="s">
        <v>34</v>
      </c>
      <c r="AB4" s="28" t="s">
        <v>35</v>
      </c>
      <c r="AC4" s="28" t="s">
        <v>36</v>
      </c>
      <c r="AD4" s="28" t="s">
        <v>37</v>
      </c>
      <c r="AE4" s="28" t="s">
        <v>38</v>
      </c>
      <c r="AF4" s="28" t="s">
        <v>39</v>
      </c>
      <c r="AG4" s="28" t="s">
        <v>40</v>
      </c>
      <c r="AH4" s="28" t="s">
        <v>41</v>
      </c>
      <c r="AI4" s="28" t="s">
        <v>42</v>
      </c>
      <c r="AJ4" s="28" t="s">
        <v>43</v>
      </c>
      <c r="AK4" s="28" t="s">
        <v>44</v>
      </c>
      <c r="AL4" s="28" t="s">
        <v>45</v>
      </c>
      <c r="AM4" s="28" t="s">
        <v>46</v>
      </c>
      <c r="AN4" s="28" t="s">
        <v>47</v>
      </c>
      <c r="AO4" s="28" t="s">
        <v>48</v>
      </c>
      <c r="AP4" s="28" t="s">
        <v>49</v>
      </c>
      <c r="AQ4" s="28" t="s">
        <v>50</v>
      </c>
      <c r="AR4" s="28" t="s">
        <v>51</v>
      </c>
      <c r="AS4" s="28" t="s">
        <v>52</v>
      </c>
      <c r="AT4" s="28" t="s">
        <v>53</v>
      </c>
      <c r="AU4" s="28" t="s">
        <v>54</v>
      </c>
      <c r="AV4" s="28" t="s">
        <v>55</v>
      </c>
      <c r="AW4" s="28" t="s">
        <v>56</v>
      </c>
      <c r="AX4" s="34" t="s">
        <v>57</v>
      </c>
      <c r="AY4" s="28" t="s">
        <v>58</v>
      </c>
      <c r="AZ4" s="28" t="s">
        <v>59</v>
      </c>
      <c r="BA4" s="28" t="s">
        <v>60</v>
      </c>
      <c r="BB4" s="28" t="s">
        <v>61</v>
      </c>
      <c r="BC4" s="28" t="s">
        <v>62</v>
      </c>
      <c r="BD4" s="28" t="s">
        <v>63</v>
      </c>
      <c r="BE4" s="28" t="s">
        <v>64</v>
      </c>
      <c r="BF4" s="28" t="s">
        <v>65</v>
      </c>
      <c r="BG4" s="28" t="s">
        <v>66</v>
      </c>
      <c r="BH4" s="28" t="s">
        <v>67</v>
      </c>
      <c r="BI4" s="28" t="s">
        <v>68</v>
      </c>
      <c r="BJ4" s="28" t="s">
        <v>69</v>
      </c>
      <c r="BK4" s="28" t="s">
        <v>70</v>
      </c>
      <c r="BL4" s="28" t="s">
        <v>71</v>
      </c>
      <c r="BM4" s="28" t="s">
        <v>72</v>
      </c>
      <c r="BN4" s="28" t="s">
        <v>73</v>
      </c>
      <c r="BO4" s="28" t="s">
        <v>74</v>
      </c>
      <c r="BP4" s="28" t="s">
        <v>75</v>
      </c>
      <c r="BQ4" s="28" t="s">
        <v>76</v>
      </c>
      <c r="BR4" s="28" t="s">
        <v>77</v>
      </c>
      <c r="BS4" s="28" t="s">
        <v>78</v>
      </c>
      <c r="BT4" s="28" t="s">
        <v>79</v>
      </c>
      <c r="BU4" s="28" t="s">
        <v>80</v>
      </c>
      <c r="BV4" s="28" t="s">
        <v>81</v>
      </c>
      <c r="BW4" s="28" t="s">
        <v>82</v>
      </c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</row>
    <row r="5" spans="1:161" s="5" customFormat="1" ht="36.75" customHeight="1" x14ac:dyDescent="0.3">
      <c r="A5" s="9"/>
      <c r="B5" s="4"/>
      <c r="C5" s="10" t="s">
        <v>84</v>
      </c>
      <c r="D5" s="10" t="s">
        <v>85</v>
      </c>
      <c r="E5" s="10" t="s">
        <v>86</v>
      </c>
      <c r="F5" s="10" t="s">
        <v>87</v>
      </c>
      <c r="G5" s="21" t="s">
        <v>88</v>
      </c>
      <c r="H5" s="10" t="s">
        <v>89</v>
      </c>
      <c r="I5" s="10" t="s">
        <v>90</v>
      </c>
      <c r="J5" s="10" t="s">
        <v>91</v>
      </c>
      <c r="K5" s="10" t="s">
        <v>92</v>
      </c>
      <c r="L5" s="10" t="s">
        <v>93</v>
      </c>
      <c r="M5" s="10" t="s">
        <v>94</v>
      </c>
      <c r="N5" s="10" t="s">
        <v>95</v>
      </c>
      <c r="O5" s="10" t="s">
        <v>96</v>
      </c>
      <c r="P5" s="10" t="s">
        <v>97</v>
      </c>
      <c r="Q5" s="10" t="s">
        <v>98</v>
      </c>
      <c r="R5" s="10" t="s">
        <v>99</v>
      </c>
      <c r="S5" s="10" t="s">
        <v>100</v>
      </c>
      <c r="T5" s="10" t="s">
        <v>101</v>
      </c>
      <c r="U5" s="21" t="s">
        <v>102</v>
      </c>
      <c r="V5" s="21" t="s">
        <v>103</v>
      </c>
      <c r="W5" s="10" t="s">
        <v>104</v>
      </c>
      <c r="X5" s="21" t="s">
        <v>105</v>
      </c>
      <c r="Y5" s="10" t="s">
        <v>106</v>
      </c>
      <c r="Z5" s="10" t="s">
        <v>107</v>
      </c>
      <c r="AA5" s="10" t="s">
        <v>108</v>
      </c>
      <c r="AB5" s="10" t="s">
        <v>109</v>
      </c>
      <c r="AC5" s="10" t="s">
        <v>110</v>
      </c>
      <c r="AD5" s="10" t="s">
        <v>111</v>
      </c>
      <c r="AE5" s="10" t="s">
        <v>112</v>
      </c>
      <c r="AF5" s="10" t="s">
        <v>113</v>
      </c>
      <c r="AG5" s="10" t="s">
        <v>114</v>
      </c>
      <c r="AH5" s="10" t="s">
        <v>115</v>
      </c>
      <c r="AI5" s="10" t="s">
        <v>116</v>
      </c>
      <c r="AJ5" s="10" t="s">
        <v>117</v>
      </c>
      <c r="AK5" s="10" t="s">
        <v>118</v>
      </c>
      <c r="AL5" s="10" t="s">
        <v>119</v>
      </c>
      <c r="AM5" s="10" t="s">
        <v>120</v>
      </c>
      <c r="AN5" s="10" t="s">
        <v>121</v>
      </c>
      <c r="AO5" s="10" t="s">
        <v>122</v>
      </c>
      <c r="AP5" s="21" t="s">
        <v>123</v>
      </c>
      <c r="AQ5" s="21" t="s">
        <v>124</v>
      </c>
      <c r="AR5" s="21" t="s">
        <v>125</v>
      </c>
      <c r="AS5" s="21" t="s">
        <v>126</v>
      </c>
      <c r="AT5" s="10" t="s">
        <v>127</v>
      </c>
      <c r="AU5" s="10" t="s">
        <v>128</v>
      </c>
      <c r="AV5" s="10" t="s">
        <v>129</v>
      </c>
      <c r="AW5" s="10" t="s">
        <v>130</v>
      </c>
      <c r="AX5" s="32" t="s">
        <v>131</v>
      </c>
      <c r="AY5" s="10" t="s">
        <v>132</v>
      </c>
      <c r="AZ5" s="10" t="s">
        <v>133</v>
      </c>
      <c r="BA5" s="10" t="s">
        <v>134</v>
      </c>
      <c r="BB5" s="10" t="s">
        <v>135</v>
      </c>
      <c r="BC5" s="10" t="s">
        <v>136</v>
      </c>
      <c r="BD5" s="10" t="s">
        <v>137</v>
      </c>
      <c r="BE5" s="10" t="s">
        <v>138</v>
      </c>
      <c r="BF5" s="10" t="s">
        <v>139</v>
      </c>
      <c r="BG5" s="10" t="s">
        <v>140</v>
      </c>
      <c r="BH5" s="10" t="s">
        <v>141</v>
      </c>
      <c r="BI5" s="10" t="s">
        <v>142</v>
      </c>
      <c r="BJ5" s="10" t="s">
        <v>143</v>
      </c>
      <c r="BK5" s="10" t="s">
        <v>144</v>
      </c>
      <c r="BL5" s="10" t="s">
        <v>145</v>
      </c>
      <c r="BM5" s="10" t="s">
        <v>146</v>
      </c>
      <c r="BN5" s="10" t="s">
        <v>147</v>
      </c>
      <c r="BO5" s="10" t="s">
        <v>148</v>
      </c>
      <c r="BP5" s="10" t="s">
        <v>149</v>
      </c>
      <c r="BQ5" s="10" t="s">
        <v>150</v>
      </c>
      <c r="BR5" s="10" t="s">
        <v>151</v>
      </c>
      <c r="BS5" s="10" t="s">
        <v>152</v>
      </c>
      <c r="BT5" s="10" t="s">
        <v>153</v>
      </c>
      <c r="BU5" s="10" t="s">
        <v>154</v>
      </c>
      <c r="BV5" s="10" t="s">
        <v>155</v>
      </c>
      <c r="BW5" s="10" t="s">
        <v>156</v>
      </c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</row>
    <row r="6" spans="1:161" s="5" customFormat="1" x14ac:dyDescent="0.3">
      <c r="A6" s="5" t="s">
        <v>215</v>
      </c>
      <c r="C6" s="25">
        <v>1</v>
      </c>
      <c r="D6" s="25">
        <v>2</v>
      </c>
      <c r="E6" s="25">
        <v>3</v>
      </c>
      <c r="F6" s="25">
        <v>4</v>
      </c>
      <c r="G6" s="25">
        <v>5</v>
      </c>
      <c r="H6" s="25">
        <v>6</v>
      </c>
      <c r="I6" s="25">
        <v>7</v>
      </c>
      <c r="J6" s="25">
        <v>8</v>
      </c>
      <c r="K6" s="25">
        <v>9</v>
      </c>
      <c r="L6" s="25">
        <v>10</v>
      </c>
      <c r="M6" s="25">
        <v>11</v>
      </c>
      <c r="N6" s="25">
        <v>12</v>
      </c>
      <c r="O6" s="25">
        <v>13</v>
      </c>
      <c r="P6" s="25">
        <v>14</v>
      </c>
      <c r="Q6" s="25">
        <v>15</v>
      </c>
      <c r="R6" s="25">
        <v>16</v>
      </c>
      <c r="S6" s="25">
        <v>17</v>
      </c>
      <c r="T6" s="25">
        <v>18</v>
      </c>
      <c r="U6" s="25">
        <v>19</v>
      </c>
      <c r="V6" s="25">
        <v>20</v>
      </c>
      <c r="W6" s="25">
        <v>21</v>
      </c>
      <c r="X6" s="25">
        <v>22</v>
      </c>
      <c r="Y6" s="25">
        <v>23</v>
      </c>
      <c r="Z6" s="25">
        <v>24</v>
      </c>
      <c r="AA6" s="25">
        <v>25</v>
      </c>
      <c r="AB6" s="25">
        <v>26</v>
      </c>
      <c r="AC6" s="25">
        <v>27</v>
      </c>
      <c r="AD6" s="25">
        <v>28</v>
      </c>
      <c r="AE6" s="25">
        <v>29</v>
      </c>
      <c r="AF6" s="25">
        <v>30</v>
      </c>
      <c r="AG6" s="25">
        <v>31</v>
      </c>
      <c r="AH6" s="25">
        <v>32</v>
      </c>
      <c r="AI6" s="25">
        <v>33</v>
      </c>
      <c r="AJ6" s="25">
        <v>34</v>
      </c>
      <c r="AK6" s="25">
        <v>35</v>
      </c>
      <c r="AL6" s="25">
        <v>36</v>
      </c>
      <c r="AM6" s="25">
        <v>37</v>
      </c>
      <c r="AN6" s="25">
        <v>38</v>
      </c>
      <c r="AO6" s="25">
        <v>39</v>
      </c>
      <c r="AP6" s="25">
        <v>40</v>
      </c>
      <c r="AQ6" s="25">
        <v>41</v>
      </c>
      <c r="AR6" s="25">
        <v>42</v>
      </c>
      <c r="AS6" s="25">
        <v>43</v>
      </c>
      <c r="AT6" s="25">
        <v>44</v>
      </c>
      <c r="AU6" s="25">
        <v>45</v>
      </c>
      <c r="AV6" s="25">
        <v>46</v>
      </c>
      <c r="AW6" s="25">
        <v>47</v>
      </c>
      <c r="AX6" s="40">
        <v>48</v>
      </c>
      <c r="AY6" s="25">
        <v>49</v>
      </c>
      <c r="AZ6" s="25">
        <v>50</v>
      </c>
      <c r="BA6" s="25">
        <v>51</v>
      </c>
      <c r="BB6" s="25">
        <v>52</v>
      </c>
      <c r="BC6" s="25">
        <v>53</v>
      </c>
      <c r="BD6" s="25">
        <v>54</v>
      </c>
      <c r="BE6" s="25">
        <v>55</v>
      </c>
      <c r="BF6" s="25">
        <v>56</v>
      </c>
      <c r="BG6" s="25">
        <v>57</v>
      </c>
      <c r="BH6" s="25">
        <v>58</v>
      </c>
      <c r="BI6" s="25">
        <v>59</v>
      </c>
      <c r="BJ6" s="25">
        <v>60</v>
      </c>
      <c r="BK6" s="25">
        <v>61</v>
      </c>
      <c r="BL6" s="25">
        <v>62</v>
      </c>
      <c r="BM6" s="25">
        <v>63</v>
      </c>
      <c r="BN6" s="25">
        <v>64</v>
      </c>
      <c r="BO6" s="25">
        <v>65</v>
      </c>
      <c r="BP6" s="25">
        <v>66</v>
      </c>
      <c r="BQ6" s="25">
        <v>67</v>
      </c>
      <c r="BR6" s="25">
        <v>68</v>
      </c>
      <c r="BS6" s="25">
        <v>69</v>
      </c>
      <c r="BT6" s="25">
        <v>70</v>
      </c>
      <c r="BU6" s="25">
        <v>71</v>
      </c>
      <c r="BV6" s="25">
        <v>72</v>
      </c>
      <c r="BW6" s="25">
        <v>73</v>
      </c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</row>
    <row r="7" spans="1:161" s="1" customFormat="1" x14ac:dyDescent="0.3">
      <c r="A7" s="1" t="s">
        <v>2</v>
      </c>
      <c r="B7" s="1" t="s">
        <v>3</v>
      </c>
      <c r="C7" s="26">
        <v>4274.5448533633498</v>
      </c>
      <c r="D7" s="26">
        <v>1546.0078107636489</v>
      </c>
      <c r="E7" s="26">
        <v>235.93927351487253</v>
      </c>
      <c r="F7" s="26">
        <v>95.330890215418634</v>
      </c>
      <c r="G7" s="26">
        <v>291.55885178417702</v>
      </c>
      <c r="H7" s="26">
        <v>423.42483742115559</v>
      </c>
      <c r="I7" s="26">
        <v>884.40553107806011</v>
      </c>
      <c r="J7" s="26">
        <v>2204.578007122745</v>
      </c>
      <c r="K7" s="26">
        <v>640.99804930210303</v>
      </c>
      <c r="L7" s="26">
        <v>2686.7733298911671</v>
      </c>
      <c r="M7" s="26">
        <v>513.15562822066818</v>
      </c>
      <c r="N7" s="26">
        <v>14.049785778736156</v>
      </c>
      <c r="O7" s="26">
        <v>11.547913673950701</v>
      </c>
      <c r="P7" s="26">
        <v>4.8025246273732192</v>
      </c>
      <c r="Q7" s="26">
        <v>8.981599480035932</v>
      </c>
      <c r="R7" s="26">
        <v>12.502177469828773</v>
      </c>
      <c r="S7" s="26">
        <v>503.89305215007693</v>
      </c>
      <c r="T7" s="26">
        <v>5.7066016175261325</v>
      </c>
      <c r="U7" s="26">
        <v>7227.7510333533364</v>
      </c>
      <c r="V7" s="26">
        <v>186.02792824509402</v>
      </c>
      <c r="W7" s="26">
        <v>59.551663533382211</v>
      </c>
      <c r="X7" s="26">
        <v>24.310129663511098</v>
      </c>
      <c r="Y7" s="26">
        <v>709.12834989416194</v>
      </c>
      <c r="Z7" s="26">
        <v>62.656885329390349</v>
      </c>
      <c r="AA7" s="26">
        <v>30.658538773066709</v>
      </c>
      <c r="AB7" s="26">
        <v>12.225235353790479</v>
      </c>
      <c r="AC7" s="26">
        <v>108.97587865727418</v>
      </c>
      <c r="AD7" s="26">
        <v>3003.7170753265063</v>
      </c>
      <c r="AE7" s="26">
        <v>312.97861533234288</v>
      </c>
      <c r="AF7" s="26">
        <v>915.80055242404103</v>
      </c>
      <c r="AG7" s="26">
        <v>157.39044053472631</v>
      </c>
      <c r="AH7" s="26">
        <v>2.3581616468748678</v>
      </c>
      <c r="AI7" s="26">
        <v>6.3855009014800803</v>
      </c>
      <c r="AJ7" s="26">
        <v>5.2523836224071037</v>
      </c>
      <c r="AK7" s="26">
        <v>11.948150329673604</v>
      </c>
      <c r="AL7" s="26">
        <v>4.3925780218866741</v>
      </c>
      <c r="AM7" s="26">
        <v>1.1961568306250112</v>
      </c>
      <c r="AN7" s="26">
        <v>3.1646596941945866</v>
      </c>
      <c r="AO7" s="26">
        <v>4.0739364986242057</v>
      </c>
      <c r="AP7" s="26">
        <v>3219.9295591213172</v>
      </c>
      <c r="AQ7" s="26">
        <v>525.88156787182811</v>
      </c>
      <c r="AR7" s="26">
        <v>376.77451904999839</v>
      </c>
      <c r="AS7" s="26">
        <v>52.715279858356482</v>
      </c>
      <c r="AT7" s="26">
        <v>73.007634152888812</v>
      </c>
      <c r="AU7" s="26">
        <v>78.61363610789364</v>
      </c>
      <c r="AV7" s="26">
        <v>11.493026373532347</v>
      </c>
      <c r="AW7" s="26">
        <v>186.94402271063564</v>
      </c>
      <c r="AX7" s="51">
        <v>56168.352654942522</v>
      </c>
      <c r="AY7" s="26">
        <v>1289.0931960323132</v>
      </c>
      <c r="AZ7" s="26">
        <v>3424.4186009999999</v>
      </c>
      <c r="BA7" s="26">
        <v>24.016389540715195</v>
      </c>
      <c r="BB7" s="26">
        <v>1.0135745205133013</v>
      </c>
      <c r="BC7" s="26">
        <v>27.235050494711999</v>
      </c>
      <c r="BD7" s="26">
        <v>0.27613680746165925</v>
      </c>
      <c r="BE7" s="26">
        <v>0.70368304615171207</v>
      </c>
      <c r="BF7" s="26">
        <v>1.0706857159842138</v>
      </c>
      <c r="BG7" s="26">
        <v>2.0610468398858672</v>
      </c>
      <c r="BH7" s="26">
        <v>7.1679086037238644</v>
      </c>
      <c r="BI7" s="26">
        <v>1.2172904019021942</v>
      </c>
      <c r="BJ7" s="26">
        <v>6.8818160511417519</v>
      </c>
      <c r="BK7" s="26">
        <v>4.8857685885931046</v>
      </c>
      <c r="BL7" s="26">
        <v>1.5761238110678715</v>
      </c>
      <c r="BM7" s="26">
        <v>8.4891870465250285</v>
      </c>
      <c r="BN7" s="26">
        <v>6.7747787221585067</v>
      </c>
      <c r="BO7" s="26">
        <v>5.1195387653139539</v>
      </c>
      <c r="BP7" s="26">
        <v>160.93287468625653</v>
      </c>
      <c r="BQ7" s="26">
        <v>23.078656990990186</v>
      </c>
      <c r="BR7" s="26">
        <v>1.5459382762784617</v>
      </c>
      <c r="BS7" s="26">
        <v>5.5421943012702801</v>
      </c>
      <c r="BT7" s="26">
        <v>4.1712199410643649</v>
      </c>
      <c r="BU7" s="26">
        <v>1.7130399431404968</v>
      </c>
      <c r="BV7" s="26">
        <v>8.5155621699479536</v>
      </c>
      <c r="BW7" s="26">
        <v>0</v>
      </c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</row>
    <row r="8" spans="1:161" s="1" customFormat="1" x14ac:dyDescent="0.3">
      <c r="A8" s="1" t="s">
        <v>2</v>
      </c>
      <c r="B8" s="1" t="s">
        <v>4</v>
      </c>
      <c r="C8" s="26">
        <v>451.24217117007066</v>
      </c>
      <c r="D8" s="26">
        <v>128.62240114939578</v>
      </c>
      <c r="E8" s="26">
        <v>24.135427680533589</v>
      </c>
      <c r="F8" s="26">
        <v>3.7752690878280295</v>
      </c>
      <c r="G8" s="26">
        <v>2.270246381523978</v>
      </c>
      <c r="H8" s="26">
        <v>26.954484530647989</v>
      </c>
      <c r="I8" s="26">
        <v>2.5843130746659169</v>
      </c>
      <c r="J8" s="26">
        <v>5.9452158825723753</v>
      </c>
      <c r="K8" s="26">
        <v>2.5947514262106934</v>
      </c>
      <c r="L8" s="26">
        <v>8.4514101152551824</v>
      </c>
      <c r="M8" s="26">
        <v>1.376743677950468</v>
      </c>
      <c r="N8" s="26">
        <v>4.7565823345363051E-2</v>
      </c>
      <c r="O8" s="26">
        <v>0</v>
      </c>
      <c r="P8" s="26">
        <v>0</v>
      </c>
      <c r="Q8" s="26">
        <v>0</v>
      </c>
      <c r="R8" s="26">
        <v>0</v>
      </c>
      <c r="S8" s="26">
        <v>18.181399656260265</v>
      </c>
      <c r="T8" s="26">
        <v>0.81860034373973789</v>
      </c>
      <c r="U8" s="26">
        <v>9.4447540638942784E-3</v>
      </c>
      <c r="V8" s="26">
        <v>2.4326435476235394E-4</v>
      </c>
      <c r="W8" s="26">
        <v>4.2555771837522831E-5</v>
      </c>
      <c r="X8" s="26">
        <v>1.5867543591807036</v>
      </c>
      <c r="Y8" s="26">
        <v>0.16817159605635856</v>
      </c>
      <c r="Z8" s="26">
        <v>5.0381367603447684E-2</v>
      </c>
      <c r="AA8" s="26">
        <v>4.2383789323780938E-2</v>
      </c>
      <c r="AB8" s="26">
        <v>2.9077945647878398E-2</v>
      </c>
      <c r="AC8" s="26">
        <v>0.11350036799733641</v>
      </c>
      <c r="AD8" s="26">
        <v>6</v>
      </c>
      <c r="AE8" s="26">
        <v>3</v>
      </c>
      <c r="AF8" s="26">
        <v>0.39409391696096097</v>
      </c>
      <c r="AG8" s="26">
        <v>0.60590608303903903</v>
      </c>
      <c r="AH8" s="26">
        <v>2.0668192328813555E-2</v>
      </c>
      <c r="AI8" s="26">
        <v>2.2655340778954123E-2</v>
      </c>
      <c r="AJ8" s="26">
        <v>2.6088518251268254E-2</v>
      </c>
      <c r="AK8" s="26">
        <v>9.2625034255251468E-2</v>
      </c>
      <c r="AL8" s="26">
        <v>2.1202482401768193E-2</v>
      </c>
      <c r="AM8" s="26">
        <v>8.7895352431212308E-3</v>
      </c>
      <c r="AN8" s="26">
        <v>2.2440867581133322E-2</v>
      </c>
      <c r="AO8" s="26">
        <v>2.2131727670747375E-2</v>
      </c>
      <c r="AP8" s="26">
        <v>0</v>
      </c>
      <c r="AQ8" s="26">
        <v>0</v>
      </c>
      <c r="AR8" s="26">
        <v>0</v>
      </c>
      <c r="AS8" s="26">
        <v>0</v>
      </c>
      <c r="AT8" s="26">
        <v>0</v>
      </c>
      <c r="AU8" s="26">
        <v>0.44029610229774524</v>
      </c>
      <c r="AV8" s="26">
        <v>2.0686008559441551E-2</v>
      </c>
      <c r="AW8" s="26">
        <v>1.0454336335273355</v>
      </c>
      <c r="AX8" s="51">
        <v>3474</v>
      </c>
      <c r="AY8" s="26">
        <v>0</v>
      </c>
      <c r="AZ8" s="26">
        <v>0</v>
      </c>
      <c r="BA8" s="26">
        <v>0.14351726886175195</v>
      </c>
      <c r="BB8" s="26">
        <v>2.2368645690939064E-3</v>
      </c>
      <c r="BC8" s="26">
        <v>1.5629852399257089E-3</v>
      </c>
      <c r="BD8" s="26">
        <v>3.011153821976698E-4</v>
      </c>
      <c r="BE8" s="26">
        <v>1.0538108258244228E-3</v>
      </c>
      <c r="BF8" s="26">
        <v>7.2896560579863092E-4</v>
      </c>
      <c r="BG8" s="26">
        <v>1.0964186673373705E-3</v>
      </c>
      <c r="BH8" s="26">
        <v>3.8078583099878517E-3</v>
      </c>
      <c r="BI8" s="26">
        <v>7.9523122357907515E-4</v>
      </c>
      <c r="BJ8" s="26">
        <v>3.6566816656209687E-3</v>
      </c>
      <c r="BK8" s="26">
        <v>3.0225848677678155E-3</v>
      </c>
      <c r="BL8" s="26">
        <v>7.8237229402248012E-4</v>
      </c>
      <c r="BM8" s="26">
        <v>1.1384634865517189E-2</v>
      </c>
      <c r="BN8" s="26">
        <v>3.588792644694634E-3</v>
      </c>
      <c r="BO8" s="26">
        <v>3.3843934553867326E-2</v>
      </c>
      <c r="BP8" s="26">
        <v>0</v>
      </c>
      <c r="BQ8" s="26">
        <v>0</v>
      </c>
      <c r="BR8" s="26">
        <v>9.7767678306460853E-3</v>
      </c>
      <c r="BS8" s="26">
        <v>0</v>
      </c>
      <c r="BT8" s="26">
        <v>6.8468088282927731E-3</v>
      </c>
      <c r="BU8" s="26">
        <v>5.6076390175514258E-3</v>
      </c>
      <c r="BV8" s="26">
        <v>2.3371821850942723E-2</v>
      </c>
      <c r="BW8" s="26">
        <v>0</v>
      </c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</row>
    <row r="9" spans="1:161" s="1" customFormat="1" x14ac:dyDescent="0.3">
      <c r="A9" s="1" t="s">
        <v>2</v>
      </c>
      <c r="B9" s="1" t="s">
        <v>5</v>
      </c>
      <c r="C9" s="26">
        <v>0</v>
      </c>
      <c r="D9" s="26">
        <v>0</v>
      </c>
      <c r="E9" s="26">
        <v>0</v>
      </c>
      <c r="F9" s="26">
        <v>0</v>
      </c>
      <c r="G9" s="26">
        <v>0</v>
      </c>
      <c r="H9" s="26">
        <v>0</v>
      </c>
      <c r="I9" s="26">
        <v>0</v>
      </c>
      <c r="J9" s="26">
        <v>0</v>
      </c>
      <c r="K9" s="26">
        <v>0</v>
      </c>
      <c r="L9" s="26">
        <v>0</v>
      </c>
      <c r="M9" s="26">
        <v>0</v>
      </c>
      <c r="N9" s="26">
        <v>0</v>
      </c>
      <c r="O9" s="26">
        <v>0</v>
      </c>
      <c r="P9" s="26">
        <v>0</v>
      </c>
      <c r="Q9" s="26">
        <v>0</v>
      </c>
      <c r="R9" s="26">
        <v>0</v>
      </c>
      <c r="S9" s="26">
        <v>0</v>
      </c>
      <c r="T9" s="26">
        <v>0</v>
      </c>
      <c r="U9" s="26">
        <v>0</v>
      </c>
      <c r="V9" s="26">
        <v>0</v>
      </c>
      <c r="W9" s="26">
        <v>0</v>
      </c>
      <c r="X9" s="26">
        <v>0</v>
      </c>
      <c r="Y9" s="26">
        <v>0</v>
      </c>
      <c r="Z9" s="26">
        <v>0</v>
      </c>
      <c r="AA9" s="26">
        <v>0</v>
      </c>
      <c r="AB9" s="26">
        <v>0</v>
      </c>
      <c r="AC9" s="26">
        <v>0</v>
      </c>
      <c r="AD9" s="26">
        <v>0</v>
      </c>
      <c r="AE9" s="26">
        <v>0</v>
      </c>
      <c r="AF9" s="26">
        <v>0</v>
      </c>
      <c r="AG9" s="26">
        <v>0</v>
      </c>
      <c r="AH9" s="26">
        <v>0</v>
      </c>
      <c r="AI9" s="26">
        <v>0</v>
      </c>
      <c r="AJ9" s="26">
        <v>0</v>
      </c>
      <c r="AK9" s="26">
        <v>0</v>
      </c>
      <c r="AL9" s="26">
        <v>0</v>
      </c>
      <c r="AM9" s="26">
        <v>0</v>
      </c>
      <c r="AN9" s="26">
        <v>0</v>
      </c>
      <c r="AO9" s="26">
        <v>0</v>
      </c>
      <c r="AP9" s="26">
        <v>0</v>
      </c>
      <c r="AQ9" s="26">
        <v>0</v>
      </c>
      <c r="AR9" s="26">
        <v>0</v>
      </c>
      <c r="AS9" s="26">
        <v>0</v>
      </c>
      <c r="AT9" s="26">
        <v>0</v>
      </c>
      <c r="AU9" s="26">
        <v>0</v>
      </c>
      <c r="AV9" s="26">
        <v>0</v>
      </c>
      <c r="AW9" s="26">
        <v>0</v>
      </c>
      <c r="AX9" s="51">
        <v>15717.543227951701</v>
      </c>
      <c r="AY9" s="26">
        <v>0</v>
      </c>
      <c r="AZ9" s="26">
        <v>0</v>
      </c>
      <c r="BA9" s="26">
        <v>0</v>
      </c>
      <c r="BB9" s="26">
        <v>0</v>
      </c>
      <c r="BC9" s="26">
        <v>0</v>
      </c>
      <c r="BD9" s="26">
        <v>0</v>
      </c>
      <c r="BE9" s="26">
        <v>0</v>
      </c>
      <c r="BF9" s="26">
        <v>0</v>
      </c>
      <c r="BG9" s="26">
        <v>0</v>
      </c>
      <c r="BH9" s="26">
        <v>0</v>
      </c>
      <c r="BI9" s="26">
        <v>0</v>
      </c>
      <c r="BJ9" s="26">
        <v>0</v>
      </c>
      <c r="BK9" s="26">
        <v>0</v>
      </c>
      <c r="BL9" s="26">
        <v>0</v>
      </c>
      <c r="BM9" s="26">
        <v>0</v>
      </c>
      <c r="BN9" s="26">
        <v>0</v>
      </c>
      <c r="BO9" s="26">
        <v>0</v>
      </c>
      <c r="BP9" s="26">
        <v>0</v>
      </c>
      <c r="BQ9" s="26">
        <v>0</v>
      </c>
      <c r="BR9" s="26">
        <v>0</v>
      </c>
      <c r="BS9" s="26">
        <v>0</v>
      </c>
      <c r="BT9" s="26">
        <v>0</v>
      </c>
      <c r="BU9" s="26">
        <v>0</v>
      </c>
      <c r="BV9" s="26">
        <v>0</v>
      </c>
      <c r="BW9" s="26">
        <v>0</v>
      </c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</row>
    <row r="10" spans="1:161" s="1" customFormat="1" x14ac:dyDescent="0.3">
      <c r="A10" s="1" t="s">
        <v>2</v>
      </c>
      <c r="B10" s="1" t="s">
        <v>6</v>
      </c>
      <c r="C10" s="26">
        <v>1321.1045317824291</v>
      </c>
      <c r="D10" s="26">
        <v>757.96232893500917</v>
      </c>
      <c r="E10" s="26">
        <v>66.790858567985779</v>
      </c>
      <c r="F10" s="26">
        <v>311.93034239812562</v>
      </c>
      <c r="G10" s="26">
        <v>181.14916443920396</v>
      </c>
      <c r="H10" s="26">
        <v>589.9946300672317</v>
      </c>
      <c r="I10" s="26">
        <v>151.75249405757359</v>
      </c>
      <c r="J10" s="26">
        <v>490.24767036152326</v>
      </c>
      <c r="K10" s="26">
        <v>30.894755205436127</v>
      </c>
      <c r="L10" s="26">
        <v>971.94405559559527</v>
      </c>
      <c r="M10" s="26">
        <v>191.3092596262245</v>
      </c>
      <c r="N10" s="26">
        <v>15.109463600532832</v>
      </c>
      <c r="O10" s="26">
        <v>217.44797397142307</v>
      </c>
      <c r="P10" s="26">
        <v>35.271077524435647</v>
      </c>
      <c r="Q10" s="26">
        <v>44.338724606403694</v>
      </c>
      <c r="R10" s="26">
        <v>154.70014201413895</v>
      </c>
      <c r="S10" s="26">
        <v>1586.2820826766804</v>
      </c>
      <c r="T10" s="26">
        <v>113.68030228804317</v>
      </c>
      <c r="U10" s="26">
        <v>10.582697813102374</v>
      </c>
      <c r="V10" s="26">
        <v>0.22779053718712816</v>
      </c>
      <c r="W10" s="26">
        <v>1.1161291691019114E-2</v>
      </c>
      <c r="X10" s="26">
        <v>32.335277468826604</v>
      </c>
      <c r="Y10" s="26">
        <v>966.11640896590347</v>
      </c>
      <c r="Z10" s="26">
        <v>147.97155540591805</v>
      </c>
      <c r="AA10" s="26">
        <v>47.588774250977679</v>
      </c>
      <c r="AB10" s="26">
        <v>68.184015753303015</v>
      </c>
      <c r="AC10" s="26">
        <v>498.37209316088661</v>
      </c>
      <c r="AD10" s="26">
        <v>748.9092875270253</v>
      </c>
      <c r="AE10" s="26">
        <v>1982.5336899707049</v>
      </c>
      <c r="AF10" s="26">
        <v>1321.9973369417501</v>
      </c>
      <c r="AG10" s="26">
        <v>621.4935169745246</v>
      </c>
      <c r="AH10" s="26">
        <v>16.39055392605421</v>
      </c>
      <c r="AI10" s="26">
        <v>55.710447705128153</v>
      </c>
      <c r="AJ10" s="26">
        <v>60.303518316094049</v>
      </c>
      <c r="AK10" s="26">
        <v>58.027720102790354</v>
      </c>
      <c r="AL10" s="26">
        <v>125.7523566052389</v>
      </c>
      <c r="AM10" s="26">
        <v>24.520684465283846</v>
      </c>
      <c r="AN10" s="26">
        <v>37.43042677360387</v>
      </c>
      <c r="AO10" s="26">
        <v>30.345424690854781</v>
      </c>
      <c r="AP10" s="26">
        <v>2064.7884329891849</v>
      </c>
      <c r="AQ10" s="26">
        <v>82.852521008382979</v>
      </c>
      <c r="AR10" s="26">
        <v>8.7443136126586204E-2</v>
      </c>
      <c r="AS10" s="26">
        <v>118.79780133964677</v>
      </c>
      <c r="AT10" s="26">
        <v>1206.3527501714188</v>
      </c>
      <c r="AU10" s="26">
        <v>66.181254686468833</v>
      </c>
      <c r="AV10" s="26">
        <v>186.23195146376185</v>
      </c>
      <c r="AW10" s="26">
        <v>2436.8783983985431</v>
      </c>
      <c r="AX10" s="51">
        <v>163.14115901360861</v>
      </c>
      <c r="AY10" s="26">
        <v>0</v>
      </c>
      <c r="AZ10" s="26">
        <v>0</v>
      </c>
      <c r="BA10" s="26">
        <v>164.97304108365611</v>
      </c>
      <c r="BB10" s="26">
        <v>165.71005445723648</v>
      </c>
      <c r="BC10" s="26">
        <v>237.50915556240727</v>
      </c>
      <c r="BD10" s="26">
        <v>13.813985222965012</v>
      </c>
      <c r="BE10" s="26">
        <v>46.877910629229632</v>
      </c>
      <c r="BF10" s="26">
        <v>213.8603297540167</v>
      </c>
      <c r="BG10" s="26">
        <v>83.244369915348969</v>
      </c>
      <c r="BH10" s="26">
        <v>279.57972389772266</v>
      </c>
      <c r="BI10" s="26">
        <v>86.413711012615025</v>
      </c>
      <c r="BJ10" s="26">
        <v>154.22561970341312</v>
      </c>
      <c r="BK10" s="26">
        <v>37.52416748711525</v>
      </c>
      <c r="BL10" s="26">
        <v>28.25148990838413</v>
      </c>
      <c r="BM10" s="26">
        <v>22.931578120422181</v>
      </c>
      <c r="BN10" s="26">
        <v>878.19673451664301</v>
      </c>
      <c r="BO10" s="26">
        <v>12.483058385991971</v>
      </c>
      <c r="BP10" s="26">
        <v>1542.3328278176455</v>
      </c>
      <c r="BQ10" s="26">
        <v>499.41659788081455</v>
      </c>
      <c r="BR10" s="26">
        <v>274.90258933340709</v>
      </c>
      <c r="BS10" s="26">
        <v>330.45223464505125</v>
      </c>
      <c r="BT10" s="26">
        <v>214.9258479387619</v>
      </c>
      <c r="BU10" s="26">
        <v>127.98750787613261</v>
      </c>
      <c r="BV10" s="26">
        <v>348.84745480036565</v>
      </c>
      <c r="BW10" s="26">
        <v>0</v>
      </c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</row>
    <row r="11" spans="1:161" s="1" customFormat="1" x14ac:dyDescent="0.3">
      <c r="A11" s="1" t="s">
        <v>2</v>
      </c>
      <c r="B11" s="1" t="s">
        <v>7</v>
      </c>
      <c r="C11" s="26">
        <v>289.20824392955365</v>
      </c>
      <c r="D11" s="26">
        <v>165.92687314593311</v>
      </c>
      <c r="E11" s="26">
        <v>14.615735101080038</v>
      </c>
      <c r="F11" s="26">
        <v>15.412504743279149</v>
      </c>
      <c r="G11" s="26">
        <v>8.8707102010256165</v>
      </c>
      <c r="H11" s="26">
        <v>29.14079830477138</v>
      </c>
      <c r="I11" s="26">
        <v>7.4974569363712611</v>
      </c>
      <c r="J11" s="26">
        <v>105.85486424091765</v>
      </c>
      <c r="K11" s="26">
        <v>6.4943651918093721</v>
      </c>
      <c r="L11" s="26">
        <v>211.66412096623418</v>
      </c>
      <c r="M11" s="26">
        <v>41.696332323607123</v>
      </c>
      <c r="N11" s="26">
        <v>3.2571011565881833</v>
      </c>
      <c r="O11" s="26">
        <v>47.262063776196122</v>
      </c>
      <c r="P11" s="26">
        <v>7.3012456045512355</v>
      </c>
      <c r="Q11" s="26">
        <v>9.592775247050044</v>
      </c>
      <c r="R11" s="26">
        <v>33.816410192938122</v>
      </c>
      <c r="S11" s="26">
        <v>346.29816557258613</v>
      </c>
      <c r="T11" s="26">
        <v>11.371171353510057</v>
      </c>
      <c r="U11" s="26">
        <v>0.92726335134090643</v>
      </c>
      <c r="V11" s="26">
        <v>1.9381528337874616E-2</v>
      </c>
      <c r="W11" s="26">
        <v>1.1028417205806928E-3</v>
      </c>
      <c r="X11" s="26">
        <v>3.1032650000895212</v>
      </c>
      <c r="Y11" s="26">
        <v>97.290337671827288</v>
      </c>
      <c r="Z11" s="26">
        <v>14.839943044279103</v>
      </c>
      <c r="AA11" s="26">
        <v>4.6541181313762401</v>
      </c>
      <c r="AB11" s="26">
        <v>6.6227737630468591</v>
      </c>
      <c r="AC11" s="26">
        <v>49.928844011033227</v>
      </c>
      <c r="AD11" s="26">
        <v>75.476806104415573</v>
      </c>
      <c r="AE11" s="26">
        <v>199.54224521092985</v>
      </c>
      <c r="AF11" s="26">
        <v>133.30429115681281</v>
      </c>
      <c r="AG11" s="26">
        <v>62.44260514717493</v>
      </c>
      <c r="AH11" s="26">
        <v>1.616174372233206</v>
      </c>
      <c r="AI11" s="26">
        <v>5.5919764037119872</v>
      </c>
      <c r="AJ11" s="26">
        <v>6.0277750564011878</v>
      </c>
      <c r="AK11" s="26">
        <v>5.8172256468499528</v>
      </c>
      <c r="AL11" s="26">
        <v>12.63605192016518</v>
      </c>
      <c r="AM11" s="26">
        <v>2.4605151836140147</v>
      </c>
      <c r="AN11" s="26">
        <v>3.7305401652828478</v>
      </c>
      <c r="AO11" s="26">
        <v>1.4974178424840388</v>
      </c>
      <c r="AP11" s="26">
        <v>85.82284031516275</v>
      </c>
      <c r="AQ11" s="26">
        <v>327.46211841433546</v>
      </c>
      <c r="AR11" s="26">
        <v>3.2747992319087371E-3</v>
      </c>
      <c r="AS11" s="26">
        <v>25.997842119801277</v>
      </c>
      <c r="AT11" s="26">
        <v>59.595912322475598</v>
      </c>
      <c r="AU11" s="26">
        <v>13.912019116185139</v>
      </c>
      <c r="AV11" s="26">
        <v>38.845730667120002</v>
      </c>
      <c r="AW11" s="26">
        <v>512.49218894912678</v>
      </c>
      <c r="AX11" s="51">
        <v>6.1274809863913715</v>
      </c>
      <c r="AY11" s="26">
        <v>0</v>
      </c>
      <c r="AZ11" s="26">
        <v>0</v>
      </c>
      <c r="BA11" s="26">
        <v>16.111100538318567</v>
      </c>
      <c r="BB11" s="26">
        <v>35.632115062311016</v>
      </c>
      <c r="BC11" s="26">
        <v>49.014111085206864</v>
      </c>
      <c r="BD11" s="26">
        <v>2.9301157793577595</v>
      </c>
      <c r="BE11" s="26">
        <v>10.018941511448686</v>
      </c>
      <c r="BF11" s="26">
        <v>45.651320920216165</v>
      </c>
      <c r="BG11" s="26">
        <v>17.247178324324889</v>
      </c>
      <c r="BH11" s="26">
        <v>58.458467045196571</v>
      </c>
      <c r="BI11" s="26">
        <v>17.776355903736928</v>
      </c>
      <c r="BJ11" s="26">
        <v>31.040119118068393</v>
      </c>
      <c r="BK11" s="26">
        <v>7.679015095605183</v>
      </c>
      <c r="BL11" s="26">
        <v>5.6157447806543326</v>
      </c>
      <c r="BM11" s="26">
        <v>4.4386998689629378</v>
      </c>
      <c r="BN11" s="26">
        <v>190.4112777027994</v>
      </c>
      <c r="BO11" s="26">
        <v>2.5964546674205828</v>
      </c>
      <c r="BP11" s="26">
        <v>171.37031420196061</v>
      </c>
      <c r="BQ11" s="26">
        <v>55.490733097868286</v>
      </c>
      <c r="BR11" s="26">
        <v>57.668180892144839</v>
      </c>
      <c r="BS11" s="26">
        <v>36.716914960561255</v>
      </c>
      <c r="BT11" s="26">
        <v>45.707297040822112</v>
      </c>
      <c r="BU11" s="26">
        <v>26.067356622794492</v>
      </c>
      <c r="BV11" s="26">
        <v>74.456145850732923</v>
      </c>
      <c r="BW11" s="26">
        <v>0</v>
      </c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</row>
    <row r="12" spans="1:161" s="1" customFormat="1" x14ac:dyDescent="0.3">
      <c r="A12" s="1" t="s">
        <v>2</v>
      </c>
      <c r="B12" s="1" t="s">
        <v>8</v>
      </c>
      <c r="C12" s="26">
        <v>0</v>
      </c>
      <c r="D12" s="26">
        <v>0</v>
      </c>
      <c r="E12" s="26">
        <v>0</v>
      </c>
      <c r="F12" s="26">
        <v>126.00883841772728</v>
      </c>
      <c r="G12" s="26">
        <v>70.632650005421809</v>
      </c>
      <c r="H12" s="26">
        <v>238.03630949987277</v>
      </c>
      <c r="I12" s="26">
        <v>63.948697542644346</v>
      </c>
      <c r="J12" s="26">
        <v>234.94406920238319</v>
      </c>
      <c r="K12" s="26">
        <v>14.366586525753492</v>
      </c>
      <c r="L12" s="26">
        <v>470.26568801839585</v>
      </c>
      <c r="M12" s="26">
        <v>92.653025913982006</v>
      </c>
      <c r="N12" s="26">
        <v>7.2285740437271224</v>
      </c>
      <c r="O12" s="26">
        <v>111.3380409451234</v>
      </c>
      <c r="P12" s="26">
        <v>17.092741179606982</v>
      </c>
      <c r="Q12" s="26">
        <v>22.586118738760685</v>
      </c>
      <c r="R12" s="26">
        <v>79.720582170482231</v>
      </c>
      <c r="S12" s="26">
        <v>909.56089958698499</v>
      </c>
      <c r="T12" s="26">
        <v>59.665760808074424</v>
      </c>
      <c r="U12" s="26">
        <v>11.656476533178159</v>
      </c>
      <c r="V12" s="26">
        <v>0.23863544026932854</v>
      </c>
      <c r="W12" s="26">
        <v>1.4946038441010657E-2</v>
      </c>
      <c r="X12" s="26">
        <v>41.351049566130925</v>
      </c>
      <c r="Y12" s="26">
        <v>1332.5986519345947</v>
      </c>
      <c r="Z12" s="26">
        <v>202.80765589856424</v>
      </c>
      <c r="AA12" s="26">
        <v>62.727528445670892</v>
      </c>
      <c r="AB12" s="26">
        <v>88.959171739416448</v>
      </c>
      <c r="AC12" s="26">
        <v>681.9275905174452</v>
      </c>
      <c r="AD12" s="26">
        <v>1246.2225108759153</v>
      </c>
      <c r="AE12" s="26">
        <v>1173.2340661556389</v>
      </c>
      <c r="AF12" s="26">
        <v>283.30471742781299</v>
      </c>
      <c r="AG12" s="26">
        <v>132.52215904452797</v>
      </c>
      <c r="AH12" s="26">
        <v>0.78028559579139678</v>
      </c>
      <c r="AI12" s="26">
        <v>2.7180894939545621</v>
      </c>
      <c r="AJ12" s="26">
        <v>2.9247568554022738</v>
      </c>
      <c r="AK12" s="26">
        <v>2.8266441309476851</v>
      </c>
      <c r="AL12" s="26">
        <v>6.1439391519819422</v>
      </c>
      <c r="AM12" s="26">
        <v>1.1957080010175134</v>
      </c>
      <c r="AN12" s="26">
        <v>1.8081860067465536</v>
      </c>
      <c r="AO12" s="26">
        <v>1.4363918298873046</v>
      </c>
      <c r="AP12" s="26">
        <v>6317.3747721769814</v>
      </c>
      <c r="AQ12" s="26">
        <v>381.07985561270442</v>
      </c>
      <c r="AR12" s="26">
        <v>7.8983127063303113E-2</v>
      </c>
      <c r="AS12" s="26">
        <v>535.89249396960531</v>
      </c>
      <c r="AT12" s="26">
        <v>13.304933817101109</v>
      </c>
      <c r="AU12" s="26">
        <v>1.010873630039919</v>
      </c>
      <c r="AV12" s="26">
        <v>2.829197441146317</v>
      </c>
      <c r="AW12" s="26">
        <v>37.227819547267607</v>
      </c>
      <c r="AX12" s="51">
        <v>1946.3183203126687</v>
      </c>
      <c r="AY12" s="26">
        <v>0</v>
      </c>
      <c r="AZ12" s="26">
        <v>0</v>
      </c>
      <c r="BA12" s="26">
        <v>2.5228419224166592</v>
      </c>
      <c r="BB12" s="26">
        <v>2.570182118078415</v>
      </c>
      <c r="BC12" s="26">
        <v>3.5820981261657736</v>
      </c>
      <c r="BD12" s="26">
        <v>0.21226897977433612</v>
      </c>
      <c r="BE12" s="26">
        <v>0.72406218572273895</v>
      </c>
      <c r="BF12" s="26">
        <v>3.3005699640869195</v>
      </c>
      <c r="BG12" s="26">
        <v>1.2590218601597019</v>
      </c>
      <c r="BH12" s="26">
        <v>4.2543108344270468</v>
      </c>
      <c r="BI12" s="26">
        <v>1.3004873506550214</v>
      </c>
      <c r="BJ12" s="26">
        <v>2.2871077647762226</v>
      </c>
      <c r="BK12" s="26">
        <v>0.56393468079565656</v>
      </c>
      <c r="BL12" s="26">
        <v>0.41548433001312784</v>
      </c>
      <c r="BM12" s="26">
        <v>0.33138152061179504</v>
      </c>
      <c r="BN12" s="26">
        <v>13.698894523391392</v>
      </c>
      <c r="BO12" s="26">
        <v>0.18927541836209227</v>
      </c>
      <c r="BP12" s="26">
        <v>17.022217500438966</v>
      </c>
      <c r="BQ12" s="26">
        <v>5.5221485157354708</v>
      </c>
      <c r="BR12" s="26">
        <v>4.1924097185119287</v>
      </c>
      <c r="BS12" s="26">
        <v>3.6526506015070601</v>
      </c>
      <c r="BT12" s="26">
        <v>3.3084488492868109</v>
      </c>
      <c r="BU12" s="26">
        <v>1.9132373669599649</v>
      </c>
      <c r="BV12" s="26">
        <v>5.3832004963519138</v>
      </c>
      <c r="BW12" s="26">
        <v>0</v>
      </c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</row>
    <row r="13" spans="1:161" x14ac:dyDescent="0.3">
      <c r="A13" s="24" t="s">
        <v>2</v>
      </c>
      <c r="B13" s="24" t="s">
        <v>219</v>
      </c>
      <c r="C13" s="27">
        <f>SUM(C6:C12)</f>
        <v>6337.0998002454035</v>
      </c>
      <c r="D13" s="27">
        <f>SUM(D6:D12)</f>
        <v>2600.5194139939872</v>
      </c>
      <c r="E13" s="27">
        <f t="shared" ref="E13:BP13" si="0">SUM(E6:E12)</f>
        <v>344.48129486447192</v>
      </c>
      <c r="F13" s="27">
        <f t="shared" si="0"/>
        <v>556.45784486237869</v>
      </c>
      <c r="G13" s="27">
        <f t="shared" si="0"/>
        <v>559.48162281135239</v>
      </c>
      <c r="H13" s="27">
        <f t="shared" si="0"/>
        <v>1313.5510598236792</v>
      </c>
      <c r="I13" s="27">
        <f t="shared" si="0"/>
        <v>1117.1884926893154</v>
      </c>
      <c r="J13" s="27">
        <f t="shared" si="0"/>
        <v>3049.5698268101419</v>
      </c>
      <c r="K13" s="27">
        <f t="shared" si="0"/>
        <v>704.34850765131273</v>
      </c>
      <c r="L13" s="27">
        <f t="shared" si="0"/>
        <v>4359.0986045866484</v>
      </c>
      <c r="M13" s="27">
        <f t="shared" si="0"/>
        <v>851.19098976243231</v>
      </c>
      <c r="N13" s="27">
        <f t="shared" si="0"/>
        <v>51.692490402929657</v>
      </c>
      <c r="O13" s="27">
        <f t="shared" si="0"/>
        <v>400.59599236669328</v>
      </c>
      <c r="P13" s="27">
        <f t="shared" si="0"/>
        <v>78.467588935967086</v>
      </c>
      <c r="Q13" s="27">
        <f t="shared" si="0"/>
        <v>100.49921807225036</v>
      </c>
      <c r="R13" s="27">
        <f t="shared" si="0"/>
        <v>296.73931184738808</v>
      </c>
      <c r="S13" s="27">
        <f t="shared" si="0"/>
        <v>3381.215599642589</v>
      </c>
      <c r="T13" s="27">
        <f t="shared" si="0"/>
        <v>209.2424364108935</v>
      </c>
      <c r="U13" s="27">
        <f t="shared" si="0"/>
        <v>7269.926915805022</v>
      </c>
      <c r="V13" s="27">
        <f t="shared" si="0"/>
        <v>206.51397901524311</v>
      </c>
      <c r="W13" s="27">
        <f t="shared" si="0"/>
        <v>80.578916261006668</v>
      </c>
      <c r="X13" s="27">
        <f t="shared" si="0"/>
        <v>124.68647605773886</v>
      </c>
      <c r="Y13" s="27">
        <f t="shared" si="0"/>
        <v>3128.301920062544</v>
      </c>
      <c r="Z13" s="27">
        <f t="shared" si="0"/>
        <v>452.32642104575518</v>
      </c>
      <c r="AA13" s="27">
        <f t="shared" si="0"/>
        <v>170.6713433904153</v>
      </c>
      <c r="AB13" s="27">
        <f t="shared" si="0"/>
        <v>202.02027455520471</v>
      </c>
      <c r="AC13" s="27">
        <f t="shared" si="0"/>
        <v>1366.3179067146366</v>
      </c>
      <c r="AD13" s="27">
        <f t="shared" si="0"/>
        <v>5108.3256798338625</v>
      </c>
      <c r="AE13" s="27">
        <f t="shared" si="0"/>
        <v>3700.2886166696162</v>
      </c>
      <c r="AF13" s="27">
        <f t="shared" si="0"/>
        <v>2684.8009918673779</v>
      </c>
      <c r="AG13" s="27">
        <f t="shared" si="0"/>
        <v>1005.4546277839928</v>
      </c>
      <c r="AH13" s="27">
        <f t="shared" si="0"/>
        <v>53.165843733282493</v>
      </c>
      <c r="AI13" s="27">
        <f t="shared" si="0"/>
        <v>103.42866984505373</v>
      </c>
      <c r="AJ13" s="27">
        <f t="shared" si="0"/>
        <v>108.53452236855588</v>
      </c>
      <c r="AK13" s="27">
        <f t="shared" si="0"/>
        <v>113.71236524451685</v>
      </c>
      <c r="AL13" s="27">
        <f t="shared" si="0"/>
        <v>184.94612818167448</v>
      </c>
      <c r="AM13" s="27">
        <f t="shared" si="0"/>
        <v>66.381854015783517</v>
      </c>
      <c r="AN13" s="27">
        <f t="shared" si="0"/>
        <v>84.156253507408977</v>
      </c>
      <c r="AO13" s="27">
        <f t="shared" si="0"/>
        <v>76.37530258952107</v>
      </c>
      <c r="AP13" s="27">
        <f t="shared" si="0"/>
        <v>11727.915604602646</v>
      </c>
      <c r="AQ13" s="27">
        <f t="shared" si="0"/>
        <v>1358.2760629072509</v>
      </c>
      <c r="AR13" s="27">
        <f t="shared" si="0"/>
        <v>418.94422011242017</v>
      </c>
      <c r="AS13" s="27">
        <f t="shared" si="0"/>
        <v>776.40341728740987</v>
      </c>
      <c r="AT13" s="27">
        <f t="shared" si="0"/>
        <v>1396.2612304638844</v>
      </c>
      <c r="AU13" s="27">
        <f t="shared" si="0"/>
        <v>205.1580796428853</v>
      </c>
      <c r="AV13" s="27">
        <f t="shared" si="0"/>
        <v>285.42059195411997</v>
      </c>
      <c r="AW13" s="27">
        <f t="shared" si="0"/>
        <v>3221.5878632391009</v>
      </c>
      <c r="AX13" s="49">
        <f t="shared" si="0"/>
        <v>77523.482843206904</v>
      </c>
      <c r="AY13" s="27">
        <f t="shared" si="0"/>
        <v>1338.0931960323132</v>
      </c>
      <c r="AZ13" s="27">
        <f t="shared" si="0"/>
        <v>3474.4186009999999</v>
      </c>
      <c r="BA13" s="27">
        <f t="shared" si="0"/>
        <v>258.76689035396828</v>
      </c>
      <c r="BB13" s="27">
        <f t="shared" si="0"/>
        <v>256.9281630227083</v>
      </c>
      <c r="BC13" s="27">
        <f t="shared" si="0"/>
        <v>370.34197825373184</v>
      </c>
      <c r="BD13" s="27">
        <f t="shared" si="0"/>
        <v>71.232807904940969</v>
      </c>
      <c r="BE13" s="27">
        <f t="shared" si="0"/>
        <v>113.3256511833786</v>
      </c>
      <c r="BF13" s="27">
        <f t="shared" si="0"/>
        <v>319.88363531990984</v>
      </c>
      <c r="BG13" s="27">
        <f t="shared" si="0"/>
        <v>160.81271335838676</v>
      </c>
      <c r="BH13" s="27">
        <f t="shared" si="0"/>
        <v>407.4642182393801</v>
      </c>
      <c r="BI13" s="27">
        <f t="shared" si="0"/>
        <v>165.70863990013277</v>
      </c>
      <c r="BJ13" s="27">
        <f t="shared" si="0"/>
        <v>254.43831931906507</v>
      </c>
      <c r="BK13" s="27">
        <f t="shared" si="0"/>
        <v>111.65590843697696</v>
      </c>
      <c r="BL13" s="27">
        <f t="shared" si="0"/>
        <v>97.859625202413497</v>
      </c>
      <c r="BM13" s="27">
        <f t="shared" si="0"/>
        <v>99.202231191387469</v>
      </c>
      <c r="BN13" s="27">
        <f t="shared" si="0"/>
        <v>1153.0852742576369</v>
      </c>
      <c r="BO13" s="27">
        <f t="shared" si="0"/>
        <v>85.422171171642461</v>
      </c>
      <c r="BP13" s="27">
        <f t="shared" si="0"/>
        <v>1957.6582342063016</v>
      </c>
      <c r="BQ13" s="27">
        <f t="shared" ref="BQ13:BW13" si="1">SUM(BQ6:BQ12)</f>
        <v>650.5081364854085</v>
      </c>
      <c r="BR13" s="27">
        <f t="shared" si="1"/>
        <v>406.31889498817299</v>
      </c>
      <c r="BS13" s="27">
        <f t="shared" si="1"/>
        <v>445.36399450838985</v>
      </c>
      <c r="BT13" s="27">
        <f t="shared" si="1"/>
        <v>338.1196605787635</v>
      </c>
      <c r="BU13" s="27">
        <f t="shared" si="1"/>
        <v>228.68674944804511</v>
      </c>
      <c r="BV13" s="27">
        <f t="shared" si="1"/>
        <v>509.22573513924937</v>
      </c>
      <c r="BW13" s="27">
        <f t="shared" si="1"/>
        <v>73</v>
      </c>
    </row>
    <row r="15" spans="1:161" x14ac:dyDescent="0.3">
      <c r="C15" s="76" t="s">
        <v>225</v>
      </c>
      <c r="D15" s="76"/>
      <c r="F15" s="77" t="s">
        <v>221</v>
      </c>
      <c r="G15" s="77"/>
      <c r="H15" s="77"/>
      <c r="J15" s="77" t="s">
        <v>226</v>
      </c>
      <c r="K15" s="77"/>
      <c r="L15" s="77"/>
      <c r="N15" s="77" t="s">
        <v>232</v>
      </c>
      <c r="O15" s="77"/>
      <c r="P15" s="77"/>
    </row>
    <row r="16" spans="1:161" ht="28.8" x14ac:dyDescent="0.3">
      <c r="C16" s="42" t="s">
        <v>227</v>
      </c>
      <c r="D16" s="42" t="s">
        <v>228</v>
      </c>
      <c r="F16" s="42" t="s">
        <v>224</v>
      </c>
      <c r="G16" s="43" t="s">
        <v>223</v>
      </c>
      <c r="H16" s="43" t="s">
        <v>222</v>
      </c>
      <c r="J16" s="42" t="s">
        <v>224</v>
      </c>
      <c r="K16" s="43" t="s">
        <v>223</v>
      </c>
      <c r="L16" s="43" t="s">
        <v>222</v>
      </c>
      <c r="N16" s="42" t="s">
        <v>224</v>
      </c>
      <c r="O16" s="43" t="s">
        <v>223</v>
      </c>
      <c r="P16" s="43" t="s">
        <v>222</v>
      </c>
    </row>
    <row r="17" spans="1:16" x14ac:dyDescent="0.3">
      <c r="A17" s="45" t="s">
        <v>28</v>
      </c>
      <c r="B17" s="1" t="s">
        <v>102</v>
      </c>
      <c r="C17" s="39">
        <f t="shared" ref="C17:C22" si="2">AX7</f>
        <v>56168.352654942522</v>
      </c>
      <c r="D17" s="40">
        <f>VLOOKUP(A17,'Fluxos Monetários'!$A$6:$BX$78,51,TRUE)</f>
        <v>72335.83666423877</v>
      </c>
      <c r="F17" s="40">
        <f>C17-C17</f>
        <v>0</v>
      </c>
      <c r="G17" s="44">
        <f>VLOOKUP($A$17,'Fluxos Monetários'!$A$6:$BX$78,51,TRUE)/$C$17</f>
        <v>1.2878397397306185</v>
      </c>
      <c r="H17" s="40">
        <f>F17*G17</f>
        <v>0</v>
      </c>
      <c r="J17" s="40">
        <f>C17*0.621</f>
        <v>34880.546998719306</v>
      </c>
      <c r="K17" s="44">
        <f>VLOOKUP($A$17,'Fluxos Monetários'!$A$6:$BX$78,51,TRUE)/$C$17</f>
        <v>1.2878397397306185</v>
      </c>
      <c r="L17" s="40">
        <f t="shared" ref="L17:L22" si="3">J17*K17</f>
        <v>44920.554568492276</v>
      </c>
      <c r="N17" s="40">
        <f>C17-C17</f>
        <v>0</v>
      </c>
      <c r="O17" s="44">
        <f>VLOOKUP($A$17,'Fluxos Monetários'!$A$6:$BX$78,51,TRUE)/$C$17</f>
        <v>1.2878397397306185</v>
      </c>
      <c r="P17" s="40">
        <f t="shared" ref="P17" si="4">N17*O17</f>
        <v>0</v>
      </c>
    </row>
    <row r="18" spans="1:16" x14ac:dyDescent="0.3">
      <c r="A18" s="45" t="s">
        <v>29</v>
      </c>
      <c r="B18" s="1" t="s">
        <v>103</v>
      </c>
      <c r="C18" s="39">
        <f t="shared" si="2"/>
        <v>3474</v>
      </c>
      <c r="D18" s="40">
        <f>VLOOKUP(A18,'Fluxos Monetários'!$A$6:$BX$78,51,TRUE)</f>
        <v>5181.1799382375975</v>
      </c>
      <c r="F18" s="40">
        <f>C18+(0.621*C17)</f>
        <v>38354.546998719306</v>
      </c>
      <c r="G18" s="44">
        <f>VLOOKUP($A$18,'Fluxos Monetários'!$A$6:$BX$78,51,TRUE)/$C$18</f>
        <v>1.4914162171092682</v>
      </c>
      <c r="H18" s="40">
        <f>F18*G18</f>
        <v>57202.593393769581</v>
      </c>
      <c r="J18" s="40">
        <f>C18</f>
        <v>3474</v>
      </c>
      <c r="K18" s="44">
        <f>VLOOKUP($A$18,'Fluxos Monetários'!$A$6:$BX$78,51,TRUE)/$C$18</f>
        <v>1.4914162171092682</v>
      </c>
      <c r="L18" s="40">
        <f>J18*K18</f>
        <v>5181.1799382375975</v>
      </c>
      <c r="N18" s="40">
        <f>C18+(0.621*C17)+(0.5*C22)</f>
        <v>39327.706158875641</v>
      </c>
      <c r="O18" s="44">
        <f>VLOOKUP($A$18,'Fluxos Monetários'!$A$6:$BX$78,51,TRUE)/$C$18</f>
        <v>1.4914162171092682</v>
      </c>
      <c r="P18" s="40">
        <f>N18*O18</f>
        <v>58653.978747055175</v>
      </c>
    </row>
    <row r="19" spans="1:16" x14ac:dyDescent="0.3">
      <c r="A19" s="45" t="s">
        <v>31</v>
      </c>
      <c r="B19" s="1" t="s">
        <v>229</v>
      </c>
      <c r="C19" s="39">
        <f t="shared" si="2"/>
        <v>15717.543227951701</v>
      </c>
      <c r="D19" s="40">
        <f>VLOOKUP(A19,'Fluxos Monetários'!$A$6:$BX$78,51,TRUE)</f>
        <v>701.33619022676862</v>
      </c>
      <c r="F19" s="40">
        <f>C19+(0.379*0.9624*C17)+(0.9624*C22)</f>
        <v>38078.064142969837</v>
      </c>
      <c r="G19" s="44">
        <f>VLOOKUP($A$19,'Fluxos Monetários'!$A$6:$BX$78,51,TRUE)/$C$19</f>
        <v>4.4621235014612792E-2</v>
      </c>
      <c r="H19" s="40">
        <f t="shared" ref="H19:H22" si="5">F19*G19</f>
        <v>1699.0902490249575</v>
      </c>
      <c r="J19" s="40">
        <f>C19-C19</f>
        <v>0</v>
      </c>
      <c r="K19" s="44">
        <f>VLOOKUP($A$19,'Fluxos Monetários'!$A$6:$BX$78,51,TRUE)/$C$19</f>
        <v>4.4621235014612792E-2</v>
      </c>
      <c r="L19" s="40">
        <f>J19*K19</f>
        <v>0</v>
      </c>
      <c r="N19" s="40">
        <f>C19+(0.379*C17)+(0.5*C22)</f>
        <v>37978.508044331254</v>
      </c>
      <c r="O19" s="44">
        <f>VLOOKUP($A$19,'Fluxos Monetários'!$A$6:$BX$78,51,TRUE)/$C$19</f>
        <v>4.4621235014612792E-2</v>
      </c>
      <c r="P19" s="40">
        <f>N19*O19</f>
        <v>1694.6479329504673</v>
      </c>
    </row>
    <row r="20" spans="1:16" x14ac:dyDescent="0.3">
      <c r="A20" s="35" t="s">
        <v>49</v>
      </c>
      <c r="B20" s="1" t="s">
        <v>230</v>
      </c>
      <c r="C20" s="39">
        <f>AX10</f>
        <v>163.14115901360861</v>
      </c>
      <c r="D20" s="40">
        <f>VLOOKUP(A20,'Fluxos Monetários'!$A$6:$BX$78,51,TRUE)</f>
        <v>26.3774484024107</v>
      </c>
      <c r="F20" s="40">
        <f>C20+(0.379*0.0362*C17)+(0.0362*C22)</f>
        <v>1004.2164469642076</v>
      </c>
      <c r="G20" s="44">
        <f>VLOOKUP($A$20,'Fluxos Monetários'!$A$6:$BX$78,51,TRUE)/$C$20</f>
        <v>0.16168481676785434</v>
      </c>
      <c r="H20" s="40">
        <f t="shared" si="5"/>
        <v>162.36655222267365</v>
      </c>
      <c r="J20" s="40">
        <f>C20+(0.95*((0.379*C17)+C19+C22))</f>
        <v>37167.225003276821</v>
      </c>
      <c r="K20" s="44">
        <f>VLOOKUP($A$20,'Fluxos Monetários'!$A$6:$BX$78,51,TRUE)/$C$20</f>
        <v>0.16168481676785434</v>
      </c>
      <c r="L20" s="40">
        <f>J20*K20</f>
        <v>6009.3759644244274</v>
      </c>
      <c r="N20" s="40">
        <f>C20</f>
        <v>163.14115901360861</v>
      </c>
      <c r="O20" s="44">
        <f>VLOOKUP($A$20,'Fluxos Monetários'!$A$6:$BX$78,51,TRUE)/$C$20</f>
        <v>0.16168481676785434</v>
      </c>
      <c r="P20" s="40">
        <f>N20*O20</f>
        <v>26.3774484024107</v>
      </c>
    </row>
    <row r="21" spans="1:16" x14ac:dyDescent="0.3">
      <c r="A21" s="35" t="s">
        <v>50</v>
      </c>
      <c r="B21" s="1" t="s">
        <v>231</v>
      </c>
      <c r="C21" s="39">
        <f t="shared" si="2"/>
        <v>6.1274809863913715</v>
      </c>
      <c r="D21" s="40">
        <f>VLOOKUP(A21,'Fluxos Monetários'!$A$6:$BX$78,51,TRUE)</f>
        <v>0.99072064053320175</v>
      </c>
      <c r="F21" s="40">
        <f>C21+(0.379*0.0014*C17)+(0.0014*C22)</f>
        <v>38.65525455354161</v>
      </c>
      <c r="G21" s="44">
        <f>VLOOKUP($A$21,'Fluxos Monetários'!$A$6:$BX$78,51,TRUE)/$C$21</f>
        <v>0.16168481676785457</v>
      </c>
      <c r="H21" s="40">
        <f t="shared" si="5"/>
        <v>6.249967749604151</v>
      </c>
      <c r="J21" s="40">
        <f>C21+(0.05*((0.379*C17)+C19+C22))</f>
        <v>1953.7108412107709</v>
      </c>
      <c r="K21" s="44">
        <f>VLOOKUP($A$21,'Fluxos Monetários'!$A$6:$BX$78,51,TRUE)/$C$21</f>
        <v>0.16168481676785457</v>
      </c>
      <c r="L21" s="40">
        <f>J21*K21</f>
        <v>315.88537937853448</v>
      </c>
      <c r="N21" s="40">
        <f>C21</f>
        <v>6.1274809863913715</v>
      </c>
      <c r="O21" s="44">
        <f>VLOOKUP($A$21,'Fluxos Monetários'!$A$6:$BX$78,51,TRUE)/$C$21</f>
        <v>0.16168481676785457</v>
      </c>
      <c r="P21" s="40">
        <f>N21*O21</f>
        <v>0.99072064053320164</v>
      </c>
    </row>
    <row r="22" spans="1:16" x14ac:dyDescent="0.3">
      <c r="A22" s="45" t="s">
        <v>52</v>
      </c>
      <c r="B22" s="1" t="s">
        <v>126</v>
      </c>
      <c r="C22" s="39">
        <f t="shared" si="2"/>
        <v>1946.3183203126687</v>
      </c>
      <c r="D22" s="40">
        <f>VLOOKUP(A22,'Fluxos Monetários'!$A$6:$BX$78,51,TRUE)</f>
        <v>1553.3183672703592</v>
      </c>
      <c r="F22" s="40">
        <f>C22-C22</f>
        <v>0</v>
      </c>
      <c r="G22" s="44">
        <f>VLOOKUP($A$22,'Fluxos Monetários'!$A$6:$BX$78,51,TRUE)/$C$22</f>
        <v>0.79808032995385081</v>
      </c>
      <c r="H22" s="40">
        <f t="shared" si="5"/>
        <v>0</v>
      </c>
      <c r="J22" s="40">
        <f>C22-C22</f>
        <v>0</v>
      </c>
      <c r="K22" s="44">
        <f>VLOOKUP($A$22,'Fluxos Monetários'!$A$6:$BX$78,51,TRUE)/$C$22</f>
        <v>0.79808032995385081</v>
      </c>
      <c r="L22" s="40">
        <f t="shared" si="3"/>
        <v>0</v>
      </c>
      <c r="N22" s="40">
        <f>C22-C22</f>
        <v>0</v>
      </c>
      <c r="O22" s="44">
        <f>VLOOKUP($A$22,'Fluxos Monetários'!$A$6:$BX$78,51,TRUE)/$C$22</f>
        <v>0.79808032995385081</v>
      </c>
      <c r="P22" s="40">
        <f t="shared" ref="P22" si="6">N22*O22</f>
        <v>0</v>
      </c>
    </row>
    <row r="23" spans="1:16" x14ac:dyDescent="0.3">
      <c r="B23" s="24" t="s">
        <v>219</v>
      </c>
      <c r="C23" s="49">
        <f>SUM(C17:C22)</f>
        <v>77475.482843206904</v>
      </c>
      <c r="D23" s="41">
        <f>SUM(D17:D22)</f>
        <v>79799.039329016436</v>
      </c>
      <c r="F23" s="41">
        <f>SUM(F17:F22)</f>
        <v>77475.48284320689</v>
      </c>
      <c r="G23" s="41">
        <f>SUM(G17:G22)</f>
        <v>3.9453271553440592</v>
      </c>
      <c r="H23" s="41">
        <f>SUM(H17:H22)</f>
        <v>59070.300162766813</v>
      </c>
      <c r="J23" s="41">
        <f>SUM(J17:J22)</f>
        <v>77475.482843206904</v>
      </c>
      <c r="K23" s="41">
        <f>SUM(K17:K22)</f>
        <v>3.9453271553440592</v>
      </c>
      <c r="L23" s="41">
        <f>SUM(L17:L22)</f>
        <v>56426.995850532832</v>
      </c>
      <c r="N23" s="41">
        <f>SUM(N17:N22)</f>
        <v>77475.482843206904</v>
      </c>
      <c r="O23" s="41">
        <f>SUM(O17:O22)</f>
        <v>3.9453271553440592</v>
      </c>
      <c r="P23" s="41">
        <f>SUM(P17:P22)</f>
        <v>60375.994849048584</v>
      </c>
    </row>
    <row r="25" spans="1:16" x14ac:dyDescent="0.3">
      <c r="F25" s="63" t="s">
        <v>102</v>
      </c>
      <c r="G25" s="62"/>
      <c r="H25" s="64">
        <f>(F17-$C$17)/$C$17</f>
        <v>-1</v>
      </c>
      <c r="J25" s="63" t="s">
        <v>102</v>
      </c>
      <c r="K25" s="50"/>
      <c r="L25" s="64">
        <f>(J17-$C$17)/$C$17</f>
        <v>-0.379</v>
      </c>
      <c r="N25" s="63" t="s">
        <v>102</v>
      </c>
      <c r="O25" s="50"/>
      <c r="P25" s="64">
        <f>(N17-$C$17)/$C$17</f>
        <v>-1</v>
      </c>
    </row>
    <row r="26" spans="1:16" x14ac:dyDescent="0.3">
      <c r="F26" s="50" t="s">
        <v>103</v>
      </c>
      <c r="G26" s="62"/>
      <c r="H26" s="64">
        <f>(F18-$C$18)/$C$18</f>
        <v>10.040456821738431</v>
      </c>
      <c r="J26" s="63" t="s">
        <v>103</v>
      </c>
      <c r="K26" s="50"/>
      <c r="L26" s="64">
        <f>(J18-$C$18)/$C$18</f>
        <v>0</v>
      </c>
      <c r="N26" s="50" t="s">
        <v>103</v>
      </c>
      <c r="O26" s="50"/>
      <c r="P26" s="64">
        <f>(N18-$C$18)/$C$18</f>
        <v>10.320583235139793</v>
      </c>
    </row>
    <row r="27" spans="1:16" x14ac:dyDescent="0.3">
      <c r="F27" s="50" t="s">
        <v>229</v>
      </c>
      <c r="G27" s="62"/>
      <c r="H27" s="64">
        <f>(F19-$C$19)/$C$19</f>
        <v>1.4226473304843676</v>
      </c>
      <c r="J27" s="63" t="s">
        <v>229</v>
      </c>
      <c r="K27" s="50"/>
      <c r="L27" s="64">
        <f>(J19-$C$19)/$C$19</f>
        <v>-1</v>
      </c>
      <c r="N27" s="50" t="s">
        <v>229</v>
      </c>
      <c r="O27" s="50"/>
      <c r="P27" s="64">
        <f>(N19-$C$19)/$C$19</f>
        <v>1.4163132554196631</v>
      </c>
    </row>
    <row r="28" spans="1:16" x14ac:dyDescent="0.3">
      <c r="F28" s="50" t="s">
        <v>230</v>
      </c>
      <c r="G28" s="62"/>
      <c r="H28" s="64">
        <f>(F20-$C$20)/$C$20</f>
        <v>5.1555063911274512</v>
      </c>
      <c r="J28" s="50" t="s">
        <v>230</v>
      </c>
      <c r="K28" s="50"/>
      <c r="L28" s="64">
        <f>(J20-$C$20)/$C$20</f>
        <v>226.82248960347565</v>
      </c>
      <c r="N28" s="50" t="s">
        <v>230</v>
      </c>
      <c r="O28" s="50"/>
      <c r="P28" s="64">
        <f>(N20-$C$20)/$C$20</f>
        <v>0</v>
      </c>
    </row>
    <row r="29" spans="1:16" x14ac:dyDescent="0.3">
      <c r="F29" s="50" t="s">
        <v>231</v>
      </c>
      <c r="G29" s="62"/>
      <c r="H29" s="64">
        <f>(F21-$C$21)/$C$21</f>
        <v>5.3085066505129488</v>
      </c>
      <c r="J29" s="50" t="s">
        <v>231</v>
      </c>
      <c r="K29" s="50"/>
      <c r="L29" s="64">
        <f>(J21-$C$21)/$C$21</f>
        <v>317.84404791296799</v>
      </c>
      <c r="N29" s="50" t="s">
        <v>231</v>
      </c>
      <c r="O29" s="50"/>
      <c r="P29" s="64">
        <f>(N21-$C$21)/$C$21</f>
        <v>0</v>
      </c>
    </row>
    <row r="30" spans="1:16" x14ac:dyDescent="0.3">
      <c r="F30" s="63" t="s">
        <v>126</v>
      </c>
      <c r="G30" s="62"/>
      <c r="H30" s="64">
        <f>(F22-$C$22)/$C$22</f>
        <v>-1</v>
      </c>
      <c r="J30" s="63" t="s">
        <v>126</v>
      </c>
      <c r="K30" s="50"/>
      <c r="L30" s="64">
        <f>(J22-$C$22)/$C$22</f>
        <v>-1</v>
      </c>
      <c r="N30" s="63" t="s">
        <v>126</v>
      </c>
      <c r="O30" s="50"/>
      <c r="P30" s="64">
        <f>(N22-$C$22)/$C$22</f>
        <v>-1</v>
      </c>
    </row>
  </sheetData>
  <mergeCells count="4">
    <mergeCell ref="C15:D15"/>
    <mergeCell ref="F15:H15"/>
    <mergeCell ref="J15:L15"/>
    <mergeCell ref="N15:P15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5611C-FCAB-449E-84E1-459DDE03DFA8}">
  <sheetPr codeName="Planilha6"/>
  <dimension ref="A1:BW32"/>
  <sheetViews>
    <sheetView showGridLines="0" zoomScaleNormal="100" workbookViewId="0">
      <pane xSplit="2" topLeftCell="C1" activePane="topRight" state="frozen"/>
      <selection pane="topRight" activeCell="B25" sqref="A19:B25"/>
    </sheetView>
  </sheetViews>
  <sheetFormatPr defaultRowHeight="14.4" x14ac:dyDescent="0.3"/>
  <cols>
    <col min="1" max="1" width="13.77734375" customWidth="1"/>
    <col min="2" max="2" width="32.77734375" customWidth="1"/>
    <col min="3" max="5" width="9" bestFit="1" customWidth="1"/>
    <col min="6" max="6" width="9.77734375" bestFit="1" customWidth="1"/>
    <col min="7" max="11" width="9" bestFit="1" customWidth="1"/>
    <col min="12" max="12" width="9.5546875" bestFit="1" customWidth="1"/>
    <col min="13" max="49" width="9" bestFit="1" customWidth="1"/>
    <col min="50" max="50" width="9.109375" bestFit="1" customWidth="1"/>
    <col min="51" max="75" width="9" bestFit="1" customWidth="1"/>
  </cols>
  <sheetData>
    <row r="1" spans="1:75" x14ac:dyDescent="0.3">
      <c r="A1" s="19" t="s">
        <v>200</v>
      </c>
    </row>
    <row r="3" spans="1:75" ht="49.5" customHeight="1" x14ac:dyDescent="0.3">
      <c r="A3" s="73" t="s">
        <v>217</v>
      </c>
      <c r="B3" s="74"/>
      <c r="C3" s="10" t="s">
        <v>84</v>
      </c>
      <c r="D3" s="10" t="s">
        <v>85</v>
      </c>
      <c r="E3" s="10" t="s">
        <v>86</v>
      </c>
      <c r="F3" s="10" t="s">
        <v>87</v>
      </c>
      <c r="G3" s="21" t="s">
        <v>88</v>
      </c>
      <c r="H3" s="10" t="s">
        <v>89</v>
      </c>
      <c r="I3" s="10" t="s">
        <v>90</v>
      </c>
      <c r="J3" s="10" t="s">
        <v>91</v>
      </c>
      <c r="K3" s="10" t="s">
        <v>92</v>
      </c>
      <c r="L3" s="10" t="s">
        <v>93</v>
      </c>
      <c r="M3" s="10" t="s">
        <v>94</v>
      </c>
      <c r="N3" s="10" t="s">
        <v>95</v>
      </c>
      <c r="O3" s="10" t="s">
        <v>96</v>
      </c>
      <c r="P3" s="10" t="s">
        <v>97</v>
      </c>
      <c r="Q3" s="10" t="s">
        <v>98</v>
      </c>
      <c r="R3" s="10" t="s">
        <v>99</v>
      </c>
      <c r="S3" s="10" t="s">
        <v>100</v>
      </c>
      <c r="T3" s="10" t="s">
        <v>101</v>
      </c>
      <c r="U3" s="21" t="s">
        <v>102</v>
      </c>
      <c r="V3" s="21" t="s">
        <v>103</v>
      </c>
      <c r="W3" s="10" t="s">
        <v>104</v>
      </c>
      <c r="X3" s="21" t="s">
        <v>105</v>
      </c>
      <c r="Y3" s="10" t="s">
        <v>106</v>
      </c>
      <c r="Z3" s="10" t="s">
        <v>107</v>
      </c>
      <c r="AA3" s="10" t="s">
        <v>108</v>
      </c>
      <c r="AB3" s="10" t="s">
        <v>109</v>
      </c>
      <c r="AC3" s="10" t="s">
        <v>110</v>
      </c>
      <c r="AD3" s="10" t="s">
        <v>111</v>
      </c>
      <c r="AE3" s="10" t="s">
        <v>112</v>
      </c>
      <c r="AF3" s="10" t="s">
        <v>113</v>
      </c>
      <c r="AG3" s="10" t="s">
        <v>114</v>
      </c>
      <c r="AH3" s="10" t="s">
        <v>115</v>
      </c>
      <c r="AI3" s="10" t="s">
        <v>116</v>
      </c>
      <c r="AJ3" s="10" t="s">
        <v>117</v>
      </c>
      <c r="AK3" s="10" t="s">
        <v>118</v>
      </c>
      <c r="AL3" s="10" t="s">
        <v>119</v>
      </c>
      <c r="AM3" s="10" t="s">
        <v>120</v>
      </c>
      <c r="AN3" s="10" t="s">
        <v>121</v>
      </c>
      <c r="AO3" s="10" t="s">
        <v>122</v>
      </c>
      <c r="AP3" s="21" t="s">
        <v>123</v>
      </c>
      <c r="AQ3" s="21" t="s">
        <v>124</v>
      </c>
      <c r="AR3" s="21" t="s">
        <v>125</v>
      </c>
      <c r="AS3" s="21" t="s">
        <v>126</v>
      </c>
      <c r="AT3" s="10" t="s">
        <v>127</v>
      </c>
      <c r="AU3" s="10" t="s">
        <v>128</v>
      </c>
      <c r="AV3" s="10" t="s">
        <v>129</v>
      </c>
      <c r="AW3" s="10" t="s">
        <v>130</v>
      </c>
      <c r="AX3" s="32" t="s">
        <v>131</v>
      </c>
      <c r="AY3" s="10" t="s">
        <v>132</v>
      </c>
      <c r="AZ3" s="10" t="s">
        <v>133</v>
      </c>
      <c r="BA3" s="10" t="s">
        <v>134</v>
      </c>
      <c r="BB3" s="10" t="s">
        <v>135</v>
      </c>
      <c r="BC3" s="10" t="s">
        <v>136</v>
      </c>
      <c r="BD3" s="10" t="s">
        <v>137</v>
      </c>
      <c r="BE3" s="10" t="s">
        <v>138</v>
      </c>
      <c r="BF3" s="10" t="s">
        <v>139</v>
      </c>
      <c r="BG3" s="10" t="s">
        <v>140</v>
      </c>
      <c r="BH3" s="10" t="s">
        <v>141</v>
      </c>
      <c r="BI3" s="10" t="s">
        <v>142</v>
      </c>
      <c r="BJ3" s="10" t="s">
        <v>143</v>
      </c>
      <c r="BK3" s="10" t="s">
        <v>144</v>
      </c>
      <c r="BL3" s="10" t="s">
        <v>145</v>
      </c>
      <c r="BM3" s="10" t="s">
        <v>146</v>
      </c>
      <c r="BN3" s="10" t="s">
        <v>147</v>
      </c>
      <c r="BO3" s="10" t="s">
        <v>148</v>
      </c>
      <c r="BP3" s="10" t="s">
        <v>149</v>
      </c>
      <c r="BQ3" s="10" t="s">
        <v>150</v>
      </c>
      <c r="BR3" s="10" t="s">
        <v>151</v>
      </c>
      <c r="BS3" s="10" t="s">
        <v>152</v>
      </c>
      <c r="BT3" s="10" t="s">
        <v>153</v>
      </c>
      <c r="BU3" s="10" t="s">
        <v>154</v>
      </c>
      <c r="BV3" s="10" t="s">
        <v>155</v>
      </c>
      <c r="BW3" s="10" t="s">
        <v>156</v>
      </c>
    </row>
    <row r="4" spans="1:75" x14ac:dyDescent="0.3">
      <c r="A4" s="78" t="s">
        <v>83</v>
      </c>
      <c r="B4" s="79"/>
      <c r="C4" s="31">
        <v>0.54545327336270943</v>
      </c>
      <c r="D4" s="31">
        <v>0.32994051789688478</v>
      </c>
      <c r="E4" s="31">
        <v>0.57828584819900863</v>
      </c>
      <c r="F4" s="31">
        <v>7.5069664710745637E-2</v>
      </c>
      <c r="G4" s="31">
        <v>0.4095409465678409</v>
      </c>
      <c r="H4" s="31">
        <v>0.79407613064084015</v>
      </c>
      <c r="I4" s="31">
        <v>0.54315054495401383</v>
      </c>
      <c r="J4" s="31">
        <v>0.80930502854579356</v>
      </c>
      <c r="K4" s="31">
        <v>0.64569823017449424</v>
      </c>
      <c r="L4" s="31">
        <v>0.68101750893674817</v>
      </c>
      <c r="M4" s="31">
        <v>0.55664511970334107</v>
      </c>
      <c r="N4" s="31">
        <v>0.9759241869370272</v>
      </c>
      <c r="O4" s="31">
        <v>0.41178192411927711</v>
      </c>
      <c r="P4" s="31">
        <v>0.90940524909831244</v>
      </c>
      <c r="Q4" s="31">
        <v>0.89009197460673628</v>
      </c>
      <c r="R4" s="31">
        <v>0.34234790004276644</v>
      </c>
      <c r="S4" s="31">
        <v>0.44991422804084241</v>
      </c>
      <c r="T4" s="31">
        <v>4.8305545970529114E-2</v>
      </c>
      <c r="U4" s="31">
        <v>0.30783526154634805</v>
      </c>
      <c r="V4" s="31">
        <v>4.339172406108717E-2</v>
      </c>
      <c r="W4" s="31">
        <v>8.939366661353601E-2</v>
      </c>
      <c r="X4" s="31">
        <v>0.55079574665367326</v>
      </c>
      <c r="Y4" s="31">
        <v>0.13291871940182937</v>
      </c>
      <c r="Z4" s="31">
        <v>0.17310216342167517</v>
      </c>
      <c r="AA4" s="31">
        <v>0.78547046871600801</v>
      </c>
      <c r="AB4" s="31">
        <v>0.72352534245557665</v>
      </c>
      <c r="AC4" s="31">
        <v>0.21967090363706995</v>
      </c>
      <c r="AD4" s="31">
        <v>0.13318799538289716</v>
      </c>
      <c r="AE4" s="31">
        <v>0.38649292191172802</v>
      </c>
      <c r="AF4" s="31">
        <v>0.38471989691751679</v>
      </c>
      <c r="AG4" s="31">
        <v>0.24538889230875738</v>
      </c>
      <c r="AH4" s="31">
        <v>0.69695884005213271</v>
      </c>
      <c r="AI4" s="31">
        <v>0.49818704677095593</v>
      </c>
      <c r="AJ4" s="31">
        <v>0.68564487180526801</v>
      </c>
      <c r="AK4" s="31">
        <v>0.95040313206626104</v>
      </c>
      <c r="AL4" s="31">
        <v>0.18124412239915291</v>
      </c>
      <c r="AM4" s="31">
        <v>0.94833506060857231</v>
      </c>
      <c r="AN4" s="31">
        <v>0.74218918466846084</v>
      </c>
      <c r="AO4" s="31">
        <v>0.18377083518904661</v>
      </c>
      <c r="AP4" s="31">
        <v>0.36390600764189368</v>
      </c>
      <c r="AQ4" s="31">
        <v>0.22195600715986191</v>
      </c>
      <c r="AR4" s="31">
        <v>3.1733018180796204E-3</v>
      </c>
      <c r="AS4" s="31">
        <v>0.25195294107604121</v>
      </c>
      <c r="AT4" s="31">
        <v>0.4152548042021672</v>
      </c>
      <c r="AU4" s="31">
        <v>0.80238010829542916</v>
      </c>
      <c r="AV4" s="31">
        <v>0.68796737106020167</v>
      </c>
      <c r="AW4" s="31">
        <v>0.57806366322251113</v>
      </c>
      <c r="AX4" s="31">
        <v>0.3370879924202132</v>
      </c>
      <c r="AY4" s="31">
        <v>0.34507918041591962</v>
      </c>
      <c r="AZ4" s="31">
        <v>0.40548231487264241</v>
      </c>
      <c r="BA4" s="31">
        <v>0.31469117342773134</v>
      </c>
      <c r="BB4" s="31">
        <v>0.46913385925288098</v>
      </c>
      <c r="BC4" s="31">
        <v>0.85382528643524103</v>
      </c>
      <c r="BD4" s="31">
        <v>0.50545757967149108</v>
      </c>
      <c r="BE4" s="31">
        <v>5.7694611906498258E-2</v>
      </c>
      <c r="BF4" s="31">
        <v>0.6093322522386706</v>
      </c>
      <c r="BG4" s="31">
        <v>0.50198698697425193</v>
      </c>
      <c r="BH4" s="31">
        <v>0.46491885254078308</v>
      </c>
      <c r="BI4" s="31">
        <v>0.85874231325730443</v>
      </c>
      <c r="BJ4" s="31">
        <v>0.14012699040556947</v>
      </c>
      <c r="BK4" s="31">
        <v>0.4718247469753033</v>
      </c>
      <c r="BL4" s="31">
        <v>4.8643477547912158E-2</v>
      </c>
      <c r="BM4" s="31">
        <v>0.1851993100003107</v>
      </c>
      <c r="BN4" s="31">
        <v>0.22533553086642966</v>
      </c>
      <c r="BO4" s="31">
        <v>1.2097535418370078E-2</v>
      </c>
      <c r="BP4" s="31">
        <v>0.9684307379732352</v>
      </c>
      <c r="BQ4" s="31">
        <v>0.99574358796209239</v>
      </c>
      <c r="BR4" s="31">
        <v>0.88808766445658449</v>
      </c>
      <c r="BS4" s="31">
        <v>0.99793731346205428</v>
      </c>
      <c r="BT4" s="31">
        <v>0.88106811387478401</v>
      </c>
      <c r="BU4" s="31">
        <v>0.81855566289647397</v>
      </c>
      <c r="BV4" s="31">
        <v>0.83396242325138559</v>
      </c>
      <c r="BW4" s="31">
        <v>1</v>
      </c>
    </row>
    <row r="6" spans="1:75" x14ac:dyDescent="0.3">
      <c r="A6" s="80" t="s">
        <v>218</v>
      </c>
      <c r="B6" s="80"/>
      <c r="C6" s="28" t="s">
        <v>10</v>
      </c>
      <c r="D6" s="28" t="s">
        <v>11</v>
      </c>
      <c r="E6" s="28" t="s">
        <v>12</v>
      </c>
      <c r="F6" s="28" t="s">
        <v>13</v>
      </c>
      <c r="G6" s="28" t="s">
        <v>14</v>
      </c>
      <c r="H6" s="28" t="s">
        <v>15</v>
      </c>
      <c r="I6" s="28" t="s">
        <v>16</v>
      </c>
      <c r="J6" s="28" t="s">
        <v>17</v>
      </c>
      <c r="K6" s="28" t="s">
        <v>18</v>
      </c>
      <c r="L6" s="28" t="s">
        <v>19</v>
      </c>
      <c r="M6" s="28" t="s">
        <v>20</v>
      </c>
      <c r="N6" s="28" t="s">
        <v>21</v>
      </c>
      <c r="O6" s="28" t="s">
        <v>22</v>
      </c>
      <c r="P6" s="28" t="s">
        <v>23</v>
      </c>
      <c r="Q6" s="28" t="s">
        <v>24</v>
      </c>
      <c r="R6" s="28" t="s">
        <v>25</v>
      </c>
      <c r="S6" s="28" t="s">
        <v>26</v>
      </c>
      <c r="T6" s="28" t="s">
        <v>27</v>
      </c>
      <c r="U6" s="28" t="s">
        <v>28</v>
      </c>
      <c r="V6" s="28" t="s">
        <v>29</v>
      </c>
      <c r="W6" s="28" t="s">
        <v>30</v>
      </c>
      <c r="X6" s="28" t="s">
        <v>31</v>
      </c>
      <c r="Y6" s="28" t="s">
        <v>32</v>
      </c>
      <c r="Z6" s="28" t="s">
        <v>33</v>
      </c>
      <c r="AA6" s="28" t="s">
        <v>34</v>
      </c>
      <c r="AB6" s="28" t="s">
        <v>35</v>
      </c>
      <c r="AC6" s="28" t="s">
        <v>36</v>
      </c>
      <c r="AD6" s="28" t="s">
        <v>37</v>
      </c>
      <c r="AE6" s="28" t="s">
        <v>38</v>
      </c>
      <c r="AF6" s="28" t="s">
        <v>39</v>
      </c>
      <c r="AG6" s="28" t="s">
        <v>40</v>
      </c>
      <c r="AH6" s="28" t="s">
        <v>41</v>
      </c>
      <c r="AI6" s="28" t="s">
        <v>42</v>
      </c>
      <c r="AJ6" s="28" t="s">
        <v>43</v>
      </c>
      <c r="AK6" s="28" t="s">
        <v>44</v>
      </c>
      <c r="AL6" s="28" t="s">
        <v>45</v>
      </c>
      <c r="AM6" s="28" t="s">
        <v>46</v>
      </c>
      <c r="AN6" s="28" t="s">
        <v>47</v>
      </c>
      <c r="AO6" s="28" t="s">
        <v>48</v>
      </c>
      <c r="AP6" s="28" t="s">
        <v>49</v>
      </c>
      <c r="AQ6" s="28" t="s">
        <v>50</v>
      </c>
      <c r="AR6" s="28" t="s">
        <v>51</v>
      </c>
      <c r="AS6" s="28" t="s">
        <v>52</v>
      </c>
      <c r="AT6" s="28" t="s">
        <v>53</v>
      </c>
      <c r="AU6" s="28" t="s">
        <v>54</v>
      </c>
      <c r="AV6" s="28" t="s">
        <v>55</v>
      </c>
      <c r="AW6" s="28" t="s">
        <v>56</v>
      </c>
      <c r="AX6" s="34" t="s">
        <v>57</v>
      </c>
      <c r="AY6" s="28" t="s">
        <v>58</v>
      </c>
      <c r="AZ6" s="28" t="s">
        <v>59</v>
      </c>
      <c r="BA6" s="28" t="s">
        <v>60</v>
      </c>
      <c r="BB6" s="28" t="s">
        <v>61</v>
      </c>
      <c r="BC6" s="28" t="s">
        <v>62</v>
      </c>
      <c r="BD6" s="28" t="s">
        <v>63</v>
      </c>
      <c r="BE6" s="28" t="s">
        <v>64</v>
      </c>
      <c r="BF6" s="28" t="s">
        <v>65</v>
      </c>
      <c r="BG6" s="28" t="s">
        <v>66</v>
      </c>
      <c r="BH6" s="28" t="s">
        <v>67</v>
      </c>
      <c r="BI6" s="28" t="s">
        <v>68</v>
      </c>
      <c r="BJ6" s="28" t="s">
        <v>69</v>
      </c>
      <c r="BK6" s="28" t="s">
        <v>70</v>
      </c>
      <c r="BL6" s="28" t="s">
        <v>71</v>
      </c>
      <c r="BM6" s="28" t="s">
        <v>72</v>
      </c>
      <c r="BN6" s="28" t="s">
        <v>73</v>
      </c>
      <c r="BO6" s="28" t="s">
        <v>74</v>
      </c>
      <c r="BP6" s="28" t="s">
        <v>75</v>
      </c>
      <c r="BQ6" s="28" t="s">
        <v>76</v>
      </c>
      <c r="BR6" s="28" t="s">
        <v>77</v>
      </c>
      <c r="BS6" s="28" t="s">
        <v>78</v>
      </c>
      <c r="BT6" s="28" t="s">
        <v>79</v>
      </c>
      <c r="BU6" s="28" t="s">
        <v>80</v>
      </c>
      <c r="BV6" s="28" t="s">
        <v>81</v>
      </c>
      <c r="BW6" s="28" t="s">
        <v>82</v>
      </c>
    </row>
    <row r="7" spans="1:75" ht="49.5" customHeight="1" x14ac:dyDescent="0.3">
      <c r="A7" s="80"/>
      <c r="B7" s="80"/>
      <c r="C7" s="10" t="s">
        <v>84</v>
      </c>
      <c r="D7" s="10" t="s">
        <v>85</v>
      </c>
      <c r="E7" s="10" t="s">
        <v>86</v>
      </c>
      <c r="F7" s="10" t="s">
        <v>87</v>
      </c>
      <c r="G7" s="21" t="s">
        <v>88</v>
      </c>
      <c r="H7" s="10" t="s">
        <v>89</v>
      </c>
      <c r="I7" s="10" t="s">
        <v>90</v>
      </c>
      <c r="J7" s="10" t="s">
        <v>91</v>
      </c>
      <c r="K7" s="10" t="s">
        <v>92</v>
      </c>
      <c r="L7" s="10" t="s">
        <v>93</v>
      </c>
      <c r="M7" s="10" t="s">
        <v>94</v>
      </c>
      <c r="N7" s="10" t="s">
        <v>95</v>
      </c>
      <c r="O7" s="10" t="s">
        <v>96</v>
      </c>
      <c r="P7" s="10" t="s">
        <v>97</v>
      </c>
      <c r="Q7" s="10" t="s">
        <v>98</v>
      </c>
      <c r="R7" s="10" t="s">
        <v>99</v>
      </c>
      <c r="S7" s="10" t="s">
        <v>100</v>
      </c>
      <c r="T7" s="10" t="s">
        <v>101</v>
      </c>
      <c r="U7" s="21" t="s">
        <v>102</v>
      </c>
      <c r="V7" s="21" t="s">
        <v>103</v>
      </c>
      <c r="W7" s="10" t="s">
        <v>104</v>
      </c>
      <c r="X7" s="21" t="s">
        <v>105</v>
      </c>
      <c r="Y7" s="10" t="s">
        <v>106</v>
      </c>
      <c r="Z7" s="10" t="s">
        <v>107</v>
      </c>
      <c r="AA7" s="10" t="s">
        <v>108</v>
      </c>
      <c r="AB7" s="10" t="s">
        <v>109</v>
      </c>
      <c r="AC7" s="10" t="s">
        <v>110</v>
      </c>
      <c r="AD7" s="10" t="s">
        <v>111</v>
      </c>
      <c r="AE7" s="10" t="s">
        <v>112</v>
      </c>
      <c r="AF7" s="10" t="s">
        <v>113</v>
      </c>
      <c r="AG7" s="10" t="s">
        <v>114</v>
      </c>
      <c r="AH7" s="10" t="s">
        <v>115</v>
      </c>
      <c r="AI7" s="10" t="s">
        <v>116</v>
      </c>
      <c r="AJ7" s="10" t="s">
        <v>117</v>
      </c>
      <c r="AK7" s="10" t="s">
        <v>118</v>
      </c>
      <c r="AL7" s="10" t="s">
        <v>119</v>
      </c>
      <c r="AM7" s="10" t="s">
        <v>120</v>
      </c>
      <c r="AN7" s="10" t="s">
        <v>121</v>
      </c>
      <c r="AO7" s="10" t="s">
        <v>122</v>
      </c>
      <c r="AP7" s="21" t="s">
        <v>123</v>
      </c>
      <c r="AQ7" s="21" t="s">
        <v>124</v>
      </c>
      <c r="AR7" s="21" t="s">
        <v>125</v>
      </c>
      <c r="AS7" s="21" t="s">
        <v>126</v>
      </c>
      <c r="AT7" s="10" t="s">
        <v>127</v>
      </c>
      <c r="AU7" s="10" t="s">
        <v>128</v>
      </c>
      <c r="AV7" s="10" t="s">
        <v>129</v>
      </c>
      <c r="AW7" s="10" t="s">
        <v>130</v>
      </c>
      <c r="AX7" s="32" t="s">
        <v>131</v>
      </c>
      <c r="AY7" s="10" t="s">
        <v>132</v>
      </c>
      <c r="AZ7" s="10" t="s">
        <v>133</v>
      </c>
      <c r="BA7" s="10" t="s">
        <v>134</v>
      </c>
      <c r="BB7" s="10" t="s">
        <v>135</v>
      </c>
      <c r="BC7" s="10" t="s">
        <v>136</v>
      </c>
      <c r="BD7" s="10" t="s">
        <v>137</v>
      </c>
      <c r="BE7" s="10" t="s">
        <v>138</v>
      </c>
      <c r="BF7" s="10" t="s">
        <v>139</v>
      </c>
      <c r="BG7" s="10" t="s">
        <v>140</v>
      </c>
      <c r="BH7" s="10" t="s">
        <v>141</v>
      </c>
      <c r="BI7" s="10" t="s">
        <v>142</v>
      </c>
      <c r="BJ7" s="10" t="s">
        <v>143</v>
      </c>
      <c r="BK7" s="10" t="s">
        <v>144</v>
      </c>
      <c r="BL7" s="10" t="s">
        <v>145</v>
      </c>
      <c r="BM7" s="10" t="s">
        <v>146</v>
      </c>
      <c r="BN7" s="10" t="s">
        <v>147</v>
      </c>
      <c r="BO7" s="10" t="s">
        <v>148</v>
      </c>
      <c r="BP7" s="10" t="s">
        <v>149</v>
      </c>
      <c r="BQ7" s="10" t="s">
        <v>150</v>
      </c>
      <c r="BR7" s="10" t="s">
        <v>151</v>
      </c>
      <c r="BS7" s="10" t="s">
        <v>152</v>
      </c>
      <c r="BT7" s="10" t="s">
        <v>153</v>
      </c>
      <c r="BU7" s="10" t="s">
        <v>154</v>
      </c>
      <c r="BV7" s="10" t="s">
        <v>155</v>
      </c>
      <c r="BW7" s="10" t="s">
        <v>156</v>
      </c>
    </row>
    <row r="8" spans="1:75" x14ac:dyDescent="0.3">
      <c r="A8" s="5" t="s">
        <v>215</v>
      </c>
      <c r="B8" s="5" t="s">
        <v>220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3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</row>
    <row r="9" spans="1:75" x14ac:dyDescent="0.3">
      <c r="A9" s="1" t="s">
        <v>2</v>
      </c>
      <c r="B9" s="1" t="s">
        <v>3</v>
      </c>
      <c r="C9" s="25">
        <f>'Fluxos Energia'!C7*'Energia Demanda Final'!C$4</f>
        <v>2331.5644824027618</v>
      </c>
      <c r="D9" s="25">
        <f>'Fluxos Energia'!D7*'Energia Demanda Final'!D$4</f>
        <v>510.09061775598735</v>
      </c>
      <c r="E9" s="25">
        <f>'Fluxos Energia'!E7*'Energia Demanda Final'!E$4</f>
        <v>136.44034290800596</v>
      </c>
      <c r="F9" s="25">
        <f>'Fluxos Energia'!F7*'Energia Demanda Final'!F$4</f>
        <v>7.1564579650483786</v>
      </c>
      <c r="G9" s="25">
        <f>'Fluxos Energia'!G7*'Energia Demanda Final'!G$4</f>
        <v>119.40528813992469</v>
      </c>
      <c r="H9" s="25">
        <f>'Fluxos Energia'!H7*'Energia Demanda Final'!H$4</f>
        <v>336.23155651661807</v>
      </c>
      <c r="I9" s="25">
        <f>'Fluxos Energia'!I7*'Energia Demanda Final'!I$4</f>
        <v>480.36534616539234</v>
      </c>
      <c r="J9" s="25">
        <f>'Fluxos Energia'!J7*'Energia Demanda Final'!J$4</f>
        <v>1784.1760669859018</v>
      </c>
      <c r="K9" s="25">
        <f>'Fluxos Energia'!K7*'Energia Demanda Final'!K$4</f>
        <v>413.89130597967113</v>
      </c>
      <c r="L9" s="25">
        <f>'Fluxos Energia'!L7*'Energia Demanda Final'!L$4</f>
        <v>1829.7396802001745</v>
      </c>
      <c r="M9" s="25">
        <f>'Fluxos Energia'!M7*'Energia Demanda Final'!M$4</f>
        <v>285.64557609733703</v>
      </c>
      <c r="N9" s="25">
        <f>'Fluxos Energia'!N7*'Energia Demanda Final'!N$4</f>
        <v>13.71152576275249</v>
      </c>
      <c r="O9" s="25">
        <f>'Fluxos Energia'!O7*'Energia Demanda Final'!O$4</f>
        <v>4.7552221122227305</v>
      </c>
      <c r="P9" s="25">
        <f>'Fluxos Energia'!P7*'Energia Demanda Final'!P$4</f>
        <v>4.3674411050571225</v>
      </c>
      <c r="Q9" s="25">
        <f>'Fluxos Energia'!Q7*'Energia Demanda Final'!Q$4</f>
        <v>7.9944496163120187</v>
      </c>
      <c r="R9" s="25">
        <f>'Fluxos Energia'!R7*'Energia Demanda Final'!R$4</f>
        <v>4.2800942027578674</v>
      </c>
      <c r="S9" s="25">
        <f>'Fluxos Energia'!S7*'Energia Demanda Final'!S$4</f>
        <v>226.70865357324581</v>
      </c>
      <c r="T9" s="25">
        <f>'Fluxos Energia'!T7*'Energia Demanda Final'!T$4</f>
        <v>0.27566050677090437</v>
      </c>
      <c r="U9" s="25">
        <f>'Fluxos Energia'!U7*'Energia Demanda Final'!U$4</f>
        <v>2224.9566297442116</v>
      </c>
      <c r="V9" s="25">
        <f>'Fluxos Energia'!V7*'Energia Demanda Final'!V$4</f>
        <v>8.0720725300668441</v>
      </c>
      <c r="W9" s="25">
        <f>'Fluxos Energia'!W7*'Energia Demanda Final'!W$4</f>
        <v>5.3235415561846393</v>
      </c>
      <c r="X9" s="25">
        <f>'Fluxos Energia'!X7*'Energia Demanda Final'!X$4</f>
        <v>13.389916019261205</v>
      </c>
      <c r="Y9" s="25">
        <f>'Fluxos Energia'!Y7*'Energia Demanda Final'!Y$4</f>
        <v>94.256432159464381</v>
      </c>
      <c r="Z9" s="25">
        <f>'Fluxos Energia'!Z7*'Energia Demanda Final'!Z$4</f>
        <v>10.84604240378129</v>
      </c>
      <c r="AA9" s="25">
        <f>'Fluxos Energia'!AA7*'Energia Demanda Final'!AA$4</f>
        <v>24.081376820228613</v>
      </c>
      <c r="AB9" s="25">
        <f>'Fluxos Energia'!AB7*'Energia Demanda Final'!AB$4</f>
        <v>8.8452675959512792</v>
      </c>
      <c r="AC9" s="25">
        <f>'Fluxos Energia'!AC7*'Energia Demanda Final'!AC$4</f>
        <v>23.938829739287105</v>
      </c>
      <c r="AD9" s="25">
        <f>'Fluxos Energia'!AD7*'Energia Demanda Final'!AD$4</f>
        <v>400.0590559601161</v>
      </c>
      <c r="AE9" s="25">
        <f>'Fluxos Energia'!AE7*'Energia Demanda Final'!AE$4</f>
        <v>120.96401953568396</v>
      </c>
      <c r="AF9" s="25">
        <f>'Fluxos Energia'!AF7*'Energia Demanda Final'!AF$4</f>
        <v>352.32669412558198</v>
      </c>
      <c r="AG9" s="25">
        <f>'Fluxos Energia'!AG7*'Energia Demanda Final'!AG$4</f>
        <v>38.621865862803837</v>
      </c>
      <c r="AH9" s="25">
        <f>'Fluxos Energia'!AH7*'Energia Demanda Final'!AH$4</f>
        <v>1.6435416060613348</v>
      </c>
      <c r="AI9" s="25">
        <f>'Fluxos Energia'!AI7*'Energia Demanda Final'!AI$4</f>
        <v>3.181173836261638</v>
      </c>
      <c r="AJ9" s="25">
        <f>'Fluxos Energia'!AJ7*'Energia Demanda Final'!AJ$4</f>
        <v>3.6012698954574076</v>
      </c>
      <c r="AK9" s="25">
        <f>'Fluxos Energia'!AK7*'Energia Demanda Final'!AK$4</f>
        <v>11.355559495720323</v>
      </c>
      <c r="AL9" s="25">
        <f>'Fluxos Energia'!AL7*'Energia Demanda Final'!AL$4</f>
        <v>0.7961289486466574</v>
      </c>
      <c r="AM9" s="25">
        <f>'Fluxos Energia'!AM7*'Energia Demanda Final'!AM$4</f>
        <v>1.1343574604681277</v>
      </c>
      <c r="AN9" s="25">
        <f>'Fluxos Energia'!AN7*'Energia Demanda Final'!AN$4</f>
        <v>2.3487761981874207</v>
      </c>
      <c r="AO9" s="25">
        <f>'Fluxos Energia'!AO7*'Energia Demanda Final'!AO$4</f>
        <v>0.74867071285931053</v>
      </c>
      <c r="AP9" s="25">
        <f>'Fluxos Energia'!AP7*'Energia Demanda Final'!AP$4</f>
        <v>1171.7517107479614</v>
      </c>
      <c r="AQ9" s="25">
        <f>'Fluxos Energia'!AQ7*'Energia Demanda Final'!AQ$4</f>
        <v>116.72257304379889</v>
      </c>
      <c r="AR9" s="25">
        <f>'Fluxos Energia'!AR7*'Energia Demanda Final'!AR$4</f>
        <v>1.1956192663074345</v>
      </c>
      <c r="AS9" s="25">
        <f>'Fluxos Energia'!AS7*'Energia Demanda Final'!AS$4</f>
        <v>13.281769799959513</v>
      </c>
      <c r="AT9" s="25">
        <f>'Fluxos Energia'!AT7*'Energia Demanda Final'!AT$4</f>
        <v>30.316770825421298</v>
      </c>
      <c r="AU9" s="25">
        <f>'Fluxos Energia'!AU7*'Energia Demanda Final'!AU$4</f>
        <v>63.078017853749159</v>
      </c>
      <c r="AV9" s="25">
        <f>'Fluxos Energia'!AV7*'Energia Demanda Final'!AV$4</f>
        <v>7.9068271397246122</v>
      </c>
      <c r="AW9" s="25">
        <f>'Fluxos Energia'!AW7*'Energia Demanda Final'!AW$4</f>
        <v>108.06554658566235</v>
      </c>
      <c r="AX9" s="40">
        <f>'Fluxos Energia'!AX7*'Energia Demanda Final'!AX$4</f>
        <v>18933.677234005128</v>
      </c>
      <c r="AY9" s="25">
        <f>'Fluxos Energia'!AY7*'Energia Demanda Final'!AY$4</f>
        <v>444.83922356656905</v>
      </c>
      <c r="AZ9" s="25">
        <f>'Fluxos Energia'!AZ7*'Energia Demanda Final'!AZ$4</f>
        <v>1388.5411814264155</v>
      </c>
      <c r="BA9" s="25">
        <f>'Fluxos Energia'!BA7*'Energia Demanda Final'!BA$4</f>
        <v>7.5577458060651583</v>
      </c>
      <c r="BB9" s="25">
        <f>'Fluxos Energia'!BB7*'Energia Demanda Final'!BB$4</f>
        <v>0.47550212644879342</v>
      </c>
      <c r="BC9" s="25">
        <f>'Fluxos Energia'!BC7*'Energia Demanda Final'!BC$4</f>
        <v>23.253974789725724</v>
      </c>
      <c r="BD9" s="25">
        <f>'Fluxos Energia'!BD7*'Energia Demanda Final'!BD$4</f>
        <v>0.13957544235778283</v>
      </c>
      <c r="BE9" s="25">
        <f>'Fluxos Energia'!BE7*'Energia Demanda Final'!BE$4</f>
        <v>4.0598720252905528E-2</v>
      </c>
      <c r="BF9" s="25">
        <f>'Fluxos Energia'!BF7*'Energia Demanda Final'!BF$4</f>
        <v>0.65240333876043455</v>
      </c>
      <c r="BG9" s="25">
        <f>'Fluxos Energia'!BG7*'Energia Demanda Final'!BG$4</f>
        <v>1.03461869316711</v>
      </c>
      <c r="BH9" s="25">
        <f>'Fluxos Energia'!BH7*'Energia Demanda Final'!BH$4</f>
        <v>3.3324958431605056</v>
      </c>
      <c r="BI9" s="25">
        <f>'Fluxos Energia'!BI7*'Energia Demanda Final'!BI$4</f>
        <v>1.045338775635404</v>
      </c>
      <c r="BJ9" s="25">
        <f>'Fluxos Energia'!BJ7*'Energia Demanda Final'!BJ$4</f>
        <v>0.96432817177123431</v>
      </c>
      <c r="BK9" s="25">
        <f>'Fluxos Energia'!BK7*'Energia Demanda Final'!BK$4</f>
        <v>2.3052265280928261</v>
      </c>
      <c r="BL9" s="25">
        <f>'Fluxos Energia'!BL7*'Energia Demanda Final'!BL$4</f>
        <v>7.6668143216409745E-2</v>
      </c>
      <c r="BM9" s="25">
        <f>'Fluxos Energia'!BM7*'Energia Demanda Final'!BM$4</f>
        <v>1.5721915834800109</v>
      </c>
      <c r="BN9" s="25">
        <f>'Fluxos Energia'!BN7*'Energia Demanda Final'!BN$4</f>
        <v>1.5265983598601791</v>
      </c>
      <c r="BO9" s="25">
        <f>'Fluxos Energia'!BO7*'Energia Demanda Final'!BO$4</f>
        <v>6.1933801539104175E-2</v>
      </c>
      <c r="BP9" s="25">
        <f>'Fluxos Energia'!BP7*'Energia Demanda Final'!BP$4</f>
        <v>155.85234259656559</v>
      </c>
      <c r="BQ9" s="25">
        <f>'Fluxos Energia'!BQ7*'Energia Demanda Final'!BQ$4</f>
        <v>22.980424717554996</v>
      </c>
      <c r="BR9" s="25">
        <f>'Fluxos Energia'!BR7*'Energia Demanda Final'!BR$4</f>
        <v>1.3729287131741772</v>
      </c>
      <c r="BS9" s="25">
        <f>'Fluxos Energia'!BS7*'Energia Demanda Final'!BS$4</f>
        <v>5.5307624916943707</v>
      </c>
      <c r="BT9" s="25">
        <f>'Fluxos Energia'!BT7*'Energia Demanda Final'!BT$4</f>
        <v>3.6751288860304676</v>
      </c>
      <c r="BU9" s="25">
        <f>'Fluxos Energia'!BU7*'Energia Demanda Final'!BU$4</f>
        <v>1.4022185462255075</v>
      </c>
      <c r="BV9" s="25">
        <f>'Fluxos Energia'!BV7*'Energia Demanda Final'!BV$4</f>
        <v>7.1016588625976231</v>
      </c>
      <c r="BW9" s="25">
        <f>'Fluxos Energia'!BW7*'Energia Demanda Final'!BW$4</f>
        <v>0</v>
      </c>
    </row>
    <row r="10" spans="1:75" x14ac:dyDescent="0.3">
      <c r="A10" s="1" t="s">
        <v>2</v>
      </c>
      <c r="B10" s="1" t="s">
        <v>4</v>
      </c>
      <c r="C10" s="25">
        <f>'Fluxos Energia'!C8*'Energia Demanda Final'!C$4</f>
        <v>246.13151934401108</v>
      </c>
      <c r="D10" s="25">
        <f>'Fluxos Energia'!D8*'Energia Demanda Final'!D$4</f>
        <v>42.437741648372516</v>
      </c>
      <c r="E10" s="25">
        <f>'Fluxos Energia'!E8*'Energia Demanda Final'!E$4</f>
        <v>13.957176267883197</v>
      </c>
      <c r="F10" s="25">
        <f>'Fluxos Energia'!F8*'Energia Demanda Final'!F$4</f>
        <v>0.28340818461609268</v>
      </c>
      <c r="G10" s="25">
        <f>'Fluxos Energia'!G8*'Energia Demanda Final'!G$4</f>
        <v>0.92975885203154562</v>
      </c>
      <c r="H10" s="25">
        <f>'Fluxos Energia'!H8*'Energia Demanda Final'!H$4</f>
        <v>21.403912779515338</v>
      </c>
      <c r="I10" s="25">
        <f>'Fluxos Energia'!I8*'Energia Demanda Final'!I$4</f>
        <v>1.4036710548365758</v>
      </c>
      <c r="J10" s="25">
        <f>'Fluxos Energia'!J8*'Energia Demanda Final'!J$4</f>
        <v>4.8114931095561415</v>
      </c>
      <c r="K10" s="25">
        <f>'Fluxos Energia'!K8*'Energia Demanda Final'!K$4</f>
        <v>1.6754264036469895</v>
      </c>
      <c r="L10" s="25">
        <f>'Fluxos Energia'!L8*'Energia Demanda Final'!L$4</f>
        <v>5.7555582636939198</v>
      </c>
      <c r="M10" s="25">
        <f>'Fluxos Energia'!M8*'Energia Demanda Final'!M$4</f>
        <v>0.76635764941355633</v>
      </c>
      <c r="N10" s="25">
        <f>'Fluxos Energia'!N8*'Energia Demanda Final'!N$4</f>
        <v>4.64206374743137E-2</v>
      </c>
      <c r="O10" s="25">
        <f>'Fluxos Energia'!O8*'Energia Demanda Final'!O$4</f>
        <v>0</v>
      </c>
      <c r="P10" s="25">
        <f>'Fluxos Energia'!P8*'Energia Demanda Final'!P$4</f>
        <v>0</v>
      </c>
      <c r="Q10" s="25">
        <f>'Fluxos Energia'!Q8*'Energia Demanda Final'!Q$4</f>
        <v>0</v>
      </c>
      <c r="R10" s="25">
        <f>'Fluxos Energia'!R8*'Energia Demanda Final'!R$4</f>
        <v>0</v>
      </c>
      <c r="S10" s="25">
        <f>'Fluxos Energia'!S8*'Energia Demanda Final'!S$4</f>
        <v>8.1800703910483747</v>
      </c>
      <c r="T10" s="25">
        <f>'Fluxos Energia'!T8*'Energia Demanda Final'!T$4</f>
        <v>3.9542936536010841E-2</v>
      </c>
      <c r="U10" s="25">
        <f>'Fluxos Energia'!U8*'Energia Demanda Final'!U$4</f>
        <v>2.907428337499829E-3</v>
      </c>
      <c r="V10" s="25">
        <f>'Fluxos Energia'!V8*'Energia Demanda Final'!V$4</f>
        <v>1.0555659755746479E-5</v>
      </c>
      <c r="W10" s="25">
        <f>'Fluxos Energia'!W8*'Energia Demanda Final'!W$4</f>
        <v>3.8042164801252207E-6</v>
      </c>
      <c r="X10" s="25">
        <f>'Fluxos Energia'!X8*'Energia Demanda Final'!X$4</f>
        <v>0.87397755202090655</v>
      </c>
      <c r="Y10" s="25">
        <f>'Fluxos Energia'!Y8*'Energia Demanda Final'!Y$4</f>
        <v>2.2353153187572916E-2</v>
      </c>
      <c r="Z10" s="25">
        <f>'Fluxos Energia'!Z8*'Energia Demanda Final'!Z$4</f>
        <v>8.7211237282994927E-3</v>
      </c>
      <c r="AA10" s="25">
        <f>'Fluxos Energia'!AA8*'Energia Demanda Final'!AA$4</f>
        <v>3.3291214866110752E-2</v>
      </c>
      <c r="AB10" s="25">
        <f>'Fluxos Energia'!AB8*'Energia Demanda Final'!AB$4</f>
        <v>2.1038630582785864E-2</v>
      </c>
      <c r="AC10" s="25">
        <f>'Fluxos Energia'!AC8*'Energia Demanda Final'!AC$4</f>
        <v>2.4932728401114865E-2</v>
      </c>
      <c r="AD10" s="25">
        <f>'Fluxos Energia'!AD8*'Energia Demanda Final'!AD$4</f>
        <v>0.79912797229738297</v>
      </c>
      <c r="AE10" s="25">
        <f>'Fluxos Energia'!AE8*'Energia Demanda Final'!AE$4</f>
        <v>1.1594787657351842</v>
      </c>
      <c r="AF10" s="25">
        <f>'Fluxos Energia'!AF8*'Energia Demanda Final'!AF$4</f>
        <v>0.15161577110904131</v>
      </c>
      <c r="AG10" s="25">
        <f>'Fluxos Energia'!AG8*'Energia Demanda Final'!AG$4</f>
        <v>0.14868262256008777</v>
      </c>
      <c r="AH10" s="25">
        <f>'Fluxos Energia'!AH8*'Energia Demanda Final'!AH$4</f>
        <v>1.4404879351464282E-2</v>
      </c>
      <c r="AI10" s="25">
        <f>'Fluxos Energia'!AI8*'Energia Demanda Final'!AI$4</f>
        <v>1.1286597316256763E-2</v>
      </c>
      <c r="AJ10" s="25">
        <f>'Fluxos Energia'!AJ8*'Energia Demanda Final'!AJ$4</f>
        <v>1.7887458751980216E-2</v>
      </c>
      <c r="AK10" s="25">
        <f>'Fluxos Energia'!AK8*'Energia Demanda Final'!AK$4</f>
        <v>8.8031122663935715E-2</v>
      </c>
      <c r="AL10" s="25">
        <f>'Fluxos Energia'!AL8*'Energia Demanda Final'!AL$4</f>
        <v>3.8428253155919599E-3</v>
      </c>
      <c r="AM10" s="25">
        <f>'Fluxos Energia'!AM8*'Energia Demanda Final'!AM$4</f>
        <v>8.3354244375065546E-3</v>
      </c>
      <c r="AN10" s="25">
        <f>'Fluxos Energia'!AN8*'Energia Demanda Final'!AN$4</f>
        <v>1.6655369213294236E-2</v>
      </c>
      <c r="AO10" s="25">
        <f>'Fluxos Energia'!AO8*'Energia Demanda Final'!AO$4</f>
        <v>4.0671660782297782E-3</v>
      </c>
      <c r="AP10" s="25">
        <f>'Fluxos Energia'!AP8*'Energia Demanda Final'!AP$4</f>
        <v>0</v>
      </c>
      <c r="AQ10" s="25">
        <f>'Fluxos Energia'!AQ8*'Energia Demanda Final'!AQ$4</f>
        <v>0</v>
      </c>
      <c r="AR10" s="25">
        <f>'Fluxos Energia'!AR8*'Energia Demanda Final'!AR$4</f>
        <v>0</v>
      </c>
      <c r="AS10" s="25">
        <f>'Fluxos Energia'!AS8*'Energia Demanda Final'!AS$4</f>
        <v>0</v>
      </c>
      <c r="AT10" s="25">
        <f>'Fluxos Energia'!AT8*'Energia Demanda Final'!AT$4</f>
        <v>0</v>
      </c>
      <c r="AU10" s="25">
        <f>'Fluxos Energia'!AU8*'Energia Demanda Final'!AU$4</f>
        <v>0.3532848342437202</v>
      </c>
      <c r="AV10" s="25">
        <f>'Fluxos Energia'!AV8*'Energia Demanda Final'!AV$4</f>
        <v>1.4231298926367833E-2</v>
      </c>
      <c r="AW10" s="25">
        <f>'Fluxos Energia'!AW8*'Energia Demanda Final'!AW$4</f>
        <v>0.60432719585283179</v>
      </c>
      <c r="AX10" s="40">
        <f>'Fluxos Energia'!AX8*'Energia Demanda Final'!AX$4</f>
        <v>1171.0436856678207</v>
      </c>
      <c r="AY10" s="25">
        <f>'Fluxos Energia'!AY8*'Energia Demanda Final'!AY$4</f>
        <v>0</v>
      </c>
      <c r="AZ10" s="25">
        <f>'Fluxos Energia'!AZ8*'Energia Demanda Final'!AZ$4</f>
        <v>0</v>
      </c>
      <c r="BA10" s="25">
        <f>'Fluxos Energia'!BA8*'Energia Demanda Final'!BA$4</f>
        <v>4.5163617745247929E-2</v>
      </c>
      <c r="BB10" s="25">
        <f>'Fluxos Energia'!BB8*'Energia Demanda Final'!BB$4</f>
        <v>1.049388907925057E-3</v>
      </c>
      <c r="BC10" s="25">
        <f>'Fluxos Energia'!BC8*'Energia Demanda Final'!BC$4</f>
        <v>1.3345163201736222E-3</v>
      </c>
      <c r="BD10" s="25">
        <f>'Fluxos Energia'!BD8*'Energia Demanda Final'!BD$4</f>
        <v>1.5220105228749018E-4</v>
      </c>
      <c r="BE10" s="25">
        <f>'Fluxos Energia'!BE8*'Energia Demanda Final'!BE$4</f>
        <v>6.0799206618806508E-5</v>
      </c>
      <c r="BF10" s="25">
        <f>'Fluxos Energia'!BF8*'Energia Demanda Final'!BF$4</f>
        <v>4.4418225438580669E-4</v>
      </c>
      <c r="BG10" s="25">
        <f>'Fluxos Energia'!BG8*'Energia Demanda Final'!BG$4</f>
        <v>5.5038790327901132E-4</v>
      </c>
      <c r="BH10" s="25">
        <f>'Fluxos Energia'!BH8*'Energia Demanda Final'!BH$4</f>
        <v>1.7703451161174375E-3</v>
      </c>
      <c r="BI10" s="25">
        <f>'Fluxos Energia'!BI8*'Energia Demanda Final'!BI$4</f>
        <v>6.828987005107317E-4</v>
      </c>
      <c r="BJ10" s="25">
        <f>'Fluxos Energia'!BJ8*'Energia Demanda Final'!BJ$4</f>
        <v>5.1239979667469125E-4</v>
      </c>
      <c r="BK10" s="25">
        <f>'Fluxos Energia'!BK8*'Energia Demanda Final'!BK$4</f>
        <v>1.4261303404459302E-3</v>
      </c>
      <c r="BL10" s="25">
        <f>'Fluxos Energia'!BL8*'Energia Demanda Final'!BL$4</f>
        <v>3.8057309118391039E-5</v>
      </c>
      <c r="BM10" s="25">
        <f>'Fluxos Energia'!BM8*'Energia Demanda Final'!BM$4</f>
        <v>2.1084265216992633E-3</v>
      </c>
      <c r="BN10" s="25">
        <f>'Fluxos Energia'!BN8*'Energia Demanda Final'!BN$4</f>
        <v>8.0868249576180338E-4</v>
      </c>
      <c r="BO10" s="25">
        <f>'Fluxos Energia'!BO8*'Energia Demanda Final'!BO$4</f>
        <v>4.0942819696240888E-4</v>
      </c>
      <c r="BP10" s="25">
        <f>'Fluxos Energia'!BP8*'Energia Demanda Final'!BP$4</f>
        <v>0</v>
      </c>
      <c r="BQ10" s="25">
        <f>'Fluxos Energia'!BQ8*'Energia Demanda Final'!BQ$4</f>
        <v>0</v>
      </c>
      <c r="BR10" s="25">
        <f>'Fluxos Energia'!BR8*'Energia Demanda Final'!BR$4</f>
        <v>8.6826269086527508E-3</v>
      </c>
      <c r="BS10" s="25">
        <f>'Fluxos Energia'!BS8*'Energia Demanda Final'!BS$4</f>
        <v>0</v>
      </c>
      <c r="BT10" s="25">
        <f>'Fluxos Energia'!BT8*'Energia Demanda Final'!BT$4</f>
        <v>6.0325049404051333E-3</v>
      </c>
      <c r="BU10" s="25">
        <f>'Fluxos Energia'!BU8*'Energia Demanda Final'!BU$4</f>
        <v>4.5901646732959397E-3</v>
      </c>
      <c r="BV10" s="25">
        <f>'Fluxos Energia'!BV8*'Energia Demanda Final'!BV$4</f>
        <v>1.9491221186611878E-2</v>
      </c>
      <c r="BW10" s="25">
        <f>'Fluxos Energia'!BW8*'Energia Demanda Final'!BW$4</f>
        <v>0</v>
      </c>
    </row>
    <row r="11" spans="1:75" x14ac:dyDescent="0.3">
      <c r="A11" s="1" t="s">
        <v>2</v>
      </c>
      <c r="B11" s="1" t="s">
        <v>5</v>
      </c>
      <c r="C11" s="25">
        <f>'Fluxos Energia'!C9*'Energia Demanda Final'!C$4</f>
        <v>0</v>
      </c>
      <c r="D11" s="25">
        <f>'Fluxos Energia'!D9*'Energia Demanda Final'!D$4</f>
        <v>0</v>
      </c>
      <c r="E11" s="25">
        <f>'Fluxos Energia'!E9*'Energia Demanda Final'!E$4</f>
        <v>0</v>
      </c>
      <c r="F11" s="25">
        <f>'Fluxos Energia'!F9*'Energia Demanda Final'!F$4</f>
        <v>0</v>
      </c>
      <c r="G11" s="25">
        <f>'Fluxos Energia'!G9*'Energia Demanda Final'!G$4</f>
        <v>0</v>
      </c>
      <c r="H11" s="25">
        <f>'Fluxos Energia'!H9*'Energia Demanda Final'!H$4</f>
        <v>0</v>
      </c>
      <c r="I11" s="25">
        <f>'Fluxos Energia'!I9*'Energia Demanda Final'!I$4</f>
        <v>0</v>
      </c>
      <c r="J11" s="25">
        <f>'Fluxos Energia'!J9*'Energia Demanda Final'!J$4</f>
        <v>0</v>
      </c>
      <c r="K11" s="25">
        <f>'Fluxos Energia'!K9*'Energia Demanda Final'!K$4</f>
        <v>0</v>
      </c>
      <c r="L11" s="25">
        <f>'Fluxos Energia'!L9*'Energia Demanda Final'!L$4</f>
        <v>0</v>
      </c>
      <c r="M11" s="25">
        <f>'Fluxos Energia'!M9*'Energia Demanda Final'!M$4</f>
        <v>0</v>
      </c>
      <c r="N11" s="25">
        <f>'Fluxos Energia'!N9*'Energia Demanda Final'!N$4</f>
        <v>0</v>
      </c>
      <c r="O11" s="25">
        <f>'Fluxos Energia'!O9*'Energia Demanda Final'!O$4</f>
        <v>0</v>
      </c>
      <c r="P11" s="25">
        <f>'Fluxos Energia'!P9*'Energia Demanda Final'!P$4</f>
        <v>0</v>
      </c>
      <c r="Q11" s="25">
        <f>'Fluxos Energia'!Q9*'Energia Demanda Final'!Q$4</f>
        <v>0</v>
      </c>
      <c r="R11" s="25">
        <f>'Fluxos Energia'!R9*'Energia Demanda Final'!R$4</f>
        <v>0</v>
      </c>
      <c r="S11" s="25">
        <f>'Fluxos Energia'!S9*'Energia Demanda Final'!S$4</f>
        <v>0</v>
      </c>
      <c r="T11" s="25">
        <f>'Fluxos Energia'!T9*'Energia Demanda Final'!T$4</f>
        <v>0</v>
      </c>
      <c r="U11" s="25">
        <f>'Fluxos Energia'!U9*'Energia Demanda Final'!U$4</f>
        <v>0</v>
      </c>
      <c r="V11" s="25">
        <f>'Fluxos Energia'!V9*'Energia Demanda Final'!V$4</f>
        <v>0</v>
      </c>
      <c r="W11" s="25">
        <f>'Fluxos Energia'!W9*'Energia Demanda Final'!W$4</f>
        <v>0</v>
      </c>
      <c r="X11" s="25">
        <f>'Fluxos Energia'!X9*'Energia Demanda Final'!X$4</f>
        <v>0</v>
      </c>
      <c r="Y11" s="25">
        <f>'Fluxos Energia'!Y9*'Energia Demanda Final'!Y$4</f>
        <v>0</v>
      </c>
      <c r="Z11" s="25">
        <f>'Fluxos Energia'!Z9*'Energia Demanda Final'!Z$4</f>
        <v>0</v>
      </c>
      <c r="AA11" s="25">
        <f>'Fluxos Energia'!AA9*'Energia Demanda Final'!AA$4</f>
        <v>0</v>
      </c>
      <c r="AB11" s="25">
        <f>'Fluxos Energia'!AB9*'Energia Demanda Final'!AB$4</f>
        <v>0</v>
      </c>
      <c r="AC11" s="25">
        <f>'Fluxos Energia'!AC9*'Energia Demanda Final'!AC$4</f>
        <v>0</v>
      </c>
      <c r="AD11" s="25">
        <f>'Fluxos Energia'!AD9*'Energia Demanda Final'!AD$4</f>
        <v>0</v>
      </c>
      <c r="AE11" s="25">
        <f>'Fluxos Energia'!AE9*'Energia Demanda Final'!AE$4</f>
        <v>0</v>
      </c>
      <c r="AF11" s="25">
        <f>'Fluxos Energia'!AF9*'Energia Demanda Final'!AF$4</f>
        <v>0</v>
      </c>
      <c r="AG11" s="25">
        <f>'Fluxos Energia'!AG9*'Energia Demanda Final'!AG$4</f>
        <v>0</v>
      </c>
      <c r="AH11" s="25">
        <f>'Fluxos Energia'!AH9*'Energia Demanda Final'!AH$4</f>
        <v>0</v>
      </c>
      <c r="AI11" s="25">
        <f>'Fluxos Energia'!AI9*'Energia Demanda Final'!AI$4</f>
        <v>0</v>
      </c>
      <c r="AJ11" s="25">
        <f>'Fluxos Energia'!AJ9*'Energia Demanda Final'!AJ$4</f>
        <v>0</v>
      </c>
      <c r="AK11" s="25">
        <f>'Fluxos Energia'!AK9*'Energia Demanda Final'!AK$4</f>
        <v>0</v>
      </c>
      <c r="AL11" s="25">
        <f>'Fluxos Energia'!AL9*'Energia Demanda Final'!AL$4</f>
        <v>0</v>
      </c>
      <c r="AM11" s="25">
        <f>'Fluxos Energia'!AM9*'Energia Demanda Final'!AM$4</f>
        <v>0</v>
      </c>
      <c r="AN11" s="25">
        <f>'Fluxos Energia'!AN9*'Energia Demanda Final'!AN$4</f>
        <v>0</v>
      </c>
      <c r="AO11" s="25">
        <f>'Fluxos Energia'!AO9*'Energia Demanda Final'!AO$4</f>
        <v>0</v>
      </c>
      <c r="AP11" s="25">
        <f>'Fluxos Energia'!AP9*'Energia Demanda Final'!AP$4</f>
        <v>0</v>
      </c>
      <c r="AQ11" s="25">
        <f>'Fluxos Energia'!AQ9*'Energia Demanda Final'!AQ$4</f>
        <v>0</v>
      </c>
      <c r="AR11" s="25">
        <f>'Fluxos Energia'!AR9*'Energia Demanda Final'!AR$4</f>
        <v>0</v>
      </c>
      <c r="AS11" s="25">
        <f>'Fluxos Energia'!AS9*'Energia Demanda Final'!AS$4</f>
        <v>0</v>
      </c>
      <c r="AT11" s="25">
        <f>'Fluxos Energia'!AT9*'Energia Demanda Final'!AT$4</f>
        <v>0</v>
      </c>
      <c r="AU11" s="25">
        <f>'Fluxos Energia'!AU9*'Energia Demanda Final'!AU$4</f>
        <v>0</v>
      </c>
      <c r="AV11" s="25">
        <f>'Fluxos Energia'!AV9*'Energia Demanda Final'!AV$4</f>
        <v>0</v>
      </c>
      <c r="AW11" s="25">
        <f>'Fluxos Energia'!AW9*'Energia Demanda Final'!AW$4</f>
        <v>0</v>
      </c>
      <c r="AX11" s="40">
        <f>'Fluxos Energia'!AX9*'Energia Demanda Final'!AX$4</f>
        <v>5298.1950924881567</v>
      </c>
      <c r="AY11" s="25">
        <f>'Fluxos Energia'!AY9*'Energia Demanda Final'!AY$4</f>
        <v>0</v>
      </c>
      <c r="AZ11" s="25">
        <f>'Fluxos Energia'!AZ9*'Energia Demanda Final'!AZ$4</f>
        <v>0</v>
      </c>
      <c r="BA11" s="25">
        <f>'Fluxos Energia'!BA9*'Energia Demanda Final'!BA$4</f>
        <v>0</v>
      </c>
      <c r="BB11" s="25">
        <f>'Fluxos Energia'!BB9*'Energia Demanda Final'!BB$4</f>
        <v>0</v>
      </c>
      <c r="BC11" s="25">
        <f>'Fluxos Energia'!BC9*'Energia Demanda Final'!BC$4</f>
        <v>0</v>
      </c>
      <c r="BD11" s="25">
        <f>'Fluxos Energia'!BD9*'Energia Demanda Final'!BD$4</f>
        <v>0</v>
      </c>
      <c r="BE11" s="25">
        <f>'Fluxos Energia'!BE9*'Energia Demanda Final'!BE$4</f>
        <v>0</v>
      </c>
      <c r="BF11" s="25">
        <f>'Fluxos Energia'!BF9*'Energia Demanda Final'!BF$4</f>
        <v>0</v>
      </c>
      <c r="BG11" s="25">
        <f>'Fluxos Energia'!BG9*'Energia Demanda Final'!BG$4</f>
        <v>0</v>
      </c>
      <c r="BH11" s="25">
        <f>'Fluxos Energia'!BH9*'Energia Demanda Final'!BH$4</f>
        <v>0</v>
      </c>
      <c r="BI11" s="25">
        <f>'Fluxos Energia'!BI9*'Energia Demanda Final'!BI$4</f>
        <v>0</v>
      </c>
      <c r="BJ11" s="25">
        <f>'Fluxos Energia'!BJ9*'Energia Demanda Final'!BJ$4</f>
        <v>0</v>
      </c>
      <c r="BK11" s="25">
        <f>'Fluxos Energia'!BK9*'Energia Demanda Final'!BK$4</f>
        <v>0</v>
      </c>
      <c r="BL11" s="25">
        <f>'Fluxos Energia'!BL9*'Energia Demanda Final'!BL$4</f>
        <v>0</v>
      </c>
      <c r="BM11" s="25">
        <f>'Fluxos Energia'!BM9*'Energia Demanda Final'!BM$4</f>
        <v>0</v>
      </c>
      <c r="BN11" s="25">
        <f>'Fluxos Energia'!BN9*'Energia Demanda Final'!BN$4</f>
        <v>0</v>
      </c>
      <c r="BO11" s="25">
        <f>'Fluxos Energia'!BO9*'Energia Demanda Final'!BO$4</f>
        <v>0</v>
      </c>
      <c r="BP11" s="25">
        <f>'Fluxos Energia'!BP9*'Energia Demanda Final'!BP$4</f>
        <v>0</v>
      </c>
      <c r="BQ11" s="25">
        <f>'Fluxos Energia'!BQ9*'Energia Demanda Final'!BQ$4</f>
        <v>0</v>
      </c>
      <c r="BR11" s="25">
        <f>'Fluxos Energia'!BR9*'Energia Demanda Final'!BR$4</f>
        <v>0</v>
      </c>
      <c r="BS11" s="25">
        <f>'Fluxos Energia'!BS9*'Energia Demanda Final'!BS$4</f>
        <v>0</v>
      </c>
      <c r="BT11" s="25">
        <f>'Fluxos Energia'!BT9*'Energia Demanda Final'!BT$4</f>
        <v>0</v>
      </c>
      <c r="BU11" s="25">
        <f>'Fluxos Energia'!BU9*'Energia Demanda Final'!BU$4</f>
        <v>0</v>
      </c>
      <c r="BV11" s="25">
        <f>'Fluxos Energia'!BV9*'Energia Demanda Final'!BV$4</f>
        <v>0</v>
      </c>
      <c r="BW11" s="25">
        <f>'Fluxos Energia'!BW9*'Energia Demanda Final'!BW$4</f>
        <v>0</v>
      </c>
    </row>
    <row r="12" spans="1:75" x14ac:dyDescent="0.3">
      <c r="A12" s="1" t="s">
        <v>2</v>
      </c>
      <c r="B12" s="1" t="s">
        <v>6</v>
      </c>
      <c r="C12" s="25">
        <f>'Fluxos Energia'!C10*'Energia Demanda Final'!C$4</f>
        <v>720.60079131503562</v>
      </c>
      <c r="D12" s="25">
        <f>'Fluxos Energia'!D10*'Energia Demanda Final'!D$4</f>
        <v>250.08248335514585</v>
      </c>
      <c r="E12" s="25">
        <f>'Fluxos Energia'!E10*'Energia Demanda Final'!E$4</f>
        <v>38.624208298927677</v>
      </c>
      <c r="F12" s="25">
        <f>'Fluxos Energia'!F10*'Energia Demanda Final'!F$4</f>
        <v>23.416506216935375</v>
      </c>
      <c r="G12" s="25">
        <f>'Fluxos Energia'!G10*'Energia Demanda Final'!G$4</f>
        <v>74.188000274405056</v>
      </c>
      <c r="H12" s="25">
        <f>'Fluxos Energia'!H10*'Energia Demanda Final'!H$4</f>
        <v>468.50065294266125</v>
      </c>
      <c r="I12" s="25">
        <f>'Fluxos Energia'!I10*'Energia Demanda Final'!I$4</f>
        <v>82.42444984550184</v>
      </c>
      <c r="J12" s="25">
        <f>'Fluxos Energia'!J10*'Energia Demanda Final'!J$4</f>
        <v>396.75990485644138</v>
      </c>
      <c r="K12" s="25">
        <f>'Fluxos Energia'!K10*'Energia Demanda Final'!K$4</f>
        <v>19.94868875782435</v>
      </c>
      <c r="L12" s="25">
        <f>'Fluxos Energia'!L10*'Energia Demanda Final'!L$4</f>
        <v>661.9109195675926</v>
      </c>
      <c r="M12" s="25">
        <f>'Fluxos Energia'!M10*'Energia Demanda Final'!M$4</f>
        <v>106.49136572499729</v>
      </c>
      <c r="N12" s="25">
        <f>'Fluxos Energia'!N10*'Energia Demanda Final'!N$4</f>
        <v>14.745690979404612</v>
      </c>
      <c r="O12" s="25">
        <f>'Fluxos Energia'!O10*'Energia Demanda Final'!O$4</f>
        <v>89.541145117791075</v>
      </c>
      <c r="P12" s="25">
        <f>'Fluxos Energia'!P10*'Energia Demanda Final'!P$4</f>
        <v>32.07570304207529</v>
      </c>
      <c r="Q12" s="25">
        <f>'Fluxos Energia'!Q10*'Energia Demanda Final'!Q$4</f>
        <v>39.465542936458149</v>
      </c>
      <c r="R12" s="25">
        <f>'Fluxos Energia'!R10*'Energia Demanda Final'!R$4</f>
        <v>52.96126875485821</v>
      </c>
      <c r="S12" s="25">
        <f>'Fluxos Energia'!S10*'Energia Demanda Final'!S$4</f>
        <v>713.69087868249846</v>
      </c>
      <c r="T12" s="25">
        <f>'Fluxos Energia'!T10*'Energia Demanda Final'!T$4</f>
        <v>5.491389068118715</v>
      </c>
      <c r="U12" s="25">
        <f>'Fluxos Energia'!U10*'Energia Demanda Final'!U$4</f>
        <v>3.2577275491623348</v>
      </c>
      <c r="V12" s="25">
        <f>'Fluxos Energia'!V10*'Energia Demanda Final'!V$4</f>
        <v>9.8842241333506799E-3</v>
      </c>
      <c r="W12" s="25">
        <f>'Fluxos Energia'!W10*'Energia Demanda Final'!W$4</f>
        <v>9.9774878840339217E-4</v>
      </c>
      <c r="X12" s="25">
        <f>'Fluxos Energia'!X10*'Energia Demanda Final'!X$4</f>
        <v>17.810133296696048</v>
      </c>
      <c r="Y12" s="25">
        <f>'Fluxos Energia'!Y10*'Energia Demanda Final'!Y$4</f>
        <v>128.41495587284194</v>
      </c>
      <c r="Z12" s="25">
        <f>'Fluxos Energia'!Z10*'Energia Demanda Final'!Z$4</f>
        <v>25.61419636563469</v>
      </c>
      <c r="AA12" s="25">
        <f>'Fluxos Energia'!AA10*'Energia Demanda Final'!AA$4</f>
        <v>37.379576816535732</v>
      </c>
      <c r="AB12" s="25">
        <f>'Fluxos Energia'!AB10*'Energia Demanda Final'!AB$4</f>
        <v>49.332863347904997</v>
      </c>
      <c r="AC12" s="25">
        <f>'Fluxos Energia'!AC10*'Energia Demanda Final'!AC$4</f>
        <v>109.47784805214997</v>
      </c>
      <c r="AD12" s="25">
        <f>'Fluxos Energia'!AD10*'Energia Demanda Final'!AD$4</f>
        <v>99.745726729358253</v>
      </c>
      <c r="AE12" s="25">
        <f>'Fluxos Energia'!AE10*'Energia Demanda Final'!AE$4</f>
        <v>766.23523862521768</v>
      </c>
      <c r="AF12" s="25">
        <f>'Fluxos Energia'!AF10*'Energia Demanda Final'!AF$4</f>
        <v>508.59867919346181</v>
      </c>
      <c r="AG12" s="25">
        <f>'Fluxos Energia'!AG10*'Energia Demanda Final'!AG$4</f>
        <v>152.50760570745248</v>
      </c>
      <c r="AH12" s="25">
        <f>'Fluxos Energia'!AH10*'Energia Demanda Final'!AH$4</f>
        <v>11.423541452114671</v>
      </c>
      <c r="AI12" s="25">
        <f>'Fluxos Energia'!AI10*'Energia Demanda Final'!AI$4</f>
        <v>27.754223416505575</v>
      </c>
      <c r="AJ12" s="25">
        <f>'Fluxos Energia'!AJ10*'Energia Demanda Final'!AJ$4</f>
        <v>41.346798085244934</v>
      </c>
      <c r="AK12" s="25">
        <f>'Fluxos Energia'!AK10*'Energia Demanda Final'!AK$4</f>
        <v>55.149726932356295</v>
      </c>
      <c r="AL12" s="25">
        <f>'Fluxos Energia'!AL10*'Energia Demanda Final'!AL$4</f>
        <v>22.791875512541846</v>
      </c>
      <c r="AM12" s="25">
        <f>'Fluxos Energia'!AM10*'Energia Demanda Final'!AM$4</f>
        <v>23.253824788548634</v>
      </c>
      <c r="AN12" s="25">
        <f>'Fluxos Energia'!AN10*'Energia Demanda Final'!AN$4</f>
        <v>27.780457928893583</v>
      </c>
      <c r="AO12" s="25">
        <f>'Fluxos Energia'!AO10*'Energia Demanda Final'!AO$4</f>
        <v>5.5766040396046996</v>
      </c>
      <c r="AP12" s="25">
        <f>'Fluxos Energia'!AP10*'Energia Demanda Final'!AP$4</f>
        <v>751.38891527425596</v>
      </c>
      <c r="AQ12" s="25">
        <f>'Fluxos Energia'!AQ10*'Energia Demanda Final'!AQ$4</f>
        <v>18.389614746149263</v>
      </c>
      <c r="AR12" s="25">
        <f>'Fluxos Energia'!AR10*'Energia Demanda Final'!AR$4</f>
        <v>2.7748346284907973E-4</v>
      </c>
      <c r="AS12" s="25">
        <f>'Fluxos Energia'!AS10*'Energia Demanda Final'!AS$4</f>
        <v>29.931455440891273</v>
      </c>
      <c r="AT12" s="25">
        <f>'Fluxos Energia'!AT10*'Energia Demanda Final'!AT$4</f>
        <v>500.94377507117844</v>
      </c>
      <c r="AU12" s="25">
        <f>'Fluxos Energia'!AU10*'Energia Demanda Final'!AU$4</f>
        <v>53.102522302456244</v>
      </c>
      <c r="AV12" s="25">
        <f>'Fluxos Energia'!AV10*'Energia Demanda Final'!AV$4</f>
        <v>128.1215060559353</v>
      </c>
      <c r="AW12" s="25">
        <f>'Fluxos Energia'!AW10*'Energia Demanda Final'!AW$4</f>
        <v>1408.6708538060677</v>
      </c>
      <c r="AX12" s="40">
        <f>'Fluxos Energia'!AX10*'Energia Demanda Final'!AX$4</f>
        <v>54.992925773004096</v>
      </c>
      <c r="AY12" s="25">
        <f>'Fluxos Energia'!AY10*'Energia Demanda Final'!AY$4</f>
        <v>0</v>
      </c>
      <c r="AZ12" s="25">
        <f>'Fluxos Energia'!AZ10*'Energia Demanda Final'!AZ$4</f>
        <v>0</v>
      </c>
      <c r="BA12" s="25">
        <f>'Fluxos Energia'!BA10*'Energia Demanda Final'!BA$4</f>
        <v>51.915559882557076</v>
      </c>
      <c r="BB12" s="25">
        <f>'Fluxos Energia'!BB10*'Energia Demanda Final'!BB$4</f>
        <v>77.740197364528427</v>
      </c>
      <c r="BC12" s="25">
        <f>'Fluxos Energia'!BC10*'Energia Demanda Final'!BC$4</f>
        <v>202.79132277906461</v>
      </c>
      <c r="BD12" s="25">
        <f>'Fluxos Energia'!BD10*'Energia Demanda Final'!BD$4</f>
        <v>6.9823835364176379</v>
      </c>
      <c r="BE12" s="25">
        <f>'Fluxos Energia'!BE10*'Energia Demanda Final'!BE$4</f>
        <v>2.7046028607409132</v>
      </c>
      <c r="BF12" s="25">
        <f>'Fluxos Energia'!BF10*'Energia Demanda Final'!BF$4</f>
        <v>130.31199639351979</v>
      </c>
      <c r="BG12" s="25">
        <f>'Fluxos Energia'!BG10*'Energia Demanda Final'!BG$4</f>
        <v>41.787590436376092</v>
      </c>
      <c r="BH12" s="25">
        <f>'Fluxos Energia'!BH10*'Energia Demanda Final'!BH$4</f>
        <v>129.98188442819816</v>
      </c>
      <c r="BI12" s="25">
        <f>'Fluxos Energia'!BI10*'Energia Demanda Final'!BI$4</f>
        <v>74.207110092121226</v>
      </c>
      <c r="BJ12" s="25">
        <f>'Fluxos Energia'!BJ10*'Energia Demanda Final'!BJ$4</f>
        <v>21.611171932473177</v>
      </c>
      <c r="BK12" s="25">
        <f>'Fluxos Energia'!BK10*'Energia Demanda Final'!BK$4</f>
        <v>17.704830830067056</v>
      </c>
      <c r="BL12" s="25">
        <f>'Fluxos Energia'!BL10*'Energia Demanda Final'!BL$4</f>
        <v>1.3742507150535503</v>
      </c>
      <c r="BM12" s="25">
        <f>'Fluxos Energia'!BM10*'Energia Demanda Final'!BM$4</f>
        <v>4.2469124451204099</v>
      </c>
      <c r="BN12" s="25">
        <f>'Fluxos Energia'!BN10*'Energia Demanda Final'!BN$4</f>
        <v>197.88892737747275</v>
      </c>
      <c r="BO12" s="25">
        <f>'Fluxos Energia'!BO10*'Energia Demanda Final'!BO$4</f>
        <v>0.15101424095411947</v>
      </c>
      <c r="BP12" s="25">
        <f>'Fluxos Energia'!BP10*'Energia Demanda Final'!BP$4</f>
        <v>1493.6425186437891</v>
      </c>
      <c r="BQ12" s="25">
        <f>'Fluxos Energia'!BQ10*'Energia Demanda Final'!BQ$4</f>
        <v>497.29087506166377</v>
      </c>
      <c r="BR12" s="25">
        <f>'Fluxos Energia'!BR10*'Energia Demanda Final'!BR$4</f>
        <v>244.13759851417308</v>
      </c>
      <c r="BS12" s="25">
        <f>'Fluxos Energia'!BS10*'Energia Demanda Final'!BS$4</f>
        <v>329.77061526921483</v>
      </c>
      <c r="BT12" s="25">
        <f>'Fluxos Energia'!BT10*'Energia Demanda Final'!BT$4</f>
        <v>189.36431146634359</v>
      </c>
      <c r="BU12" s="25">
        <f>'Fluxos Energia'!BU10*'Energia Demanda Final'!BU$4</f>
        <v>104.76489935201542</v>
      </c>
      <c r="BV12" s="25">
        <f>'Fluxos Energia'!BV10*'Energia Demanda Final'!BV$4</f>
        <v>290.92566875039114</v>
      </c>
      <c r="BW12" s="25">
        <f>'Fluxos Energia'!BW10*'Energia Demanda Final'!BW$4</f>
        <v>0</v>
      </c>
    </row>
    <row r="13" spans="1:75" x14ac:dyDescent="0.3">
      <c r="A13" s="1" t="s">
        <v>2</v>
      </c>
      <c r="B13" s="1" t="s">
        <v>7</v>
      </c>
      <c r="C13" s="25">
        <f>'Fluxos Energia'!C11*'Energia Demanda Final'!C$4</f>
        <v>157.74958333485597</v>
      </c>
      <c r="D13" s="25">
        <f>'Fluxos Energia'!D11*'Energia Demanda Final'!D$4</f>
        <v>54.745998458779873</v>
      </c>
      <c r="E13" s="25">
        <f>'Fluxos Energia'!E11*'Energia Demanda Final'!E$4</f>
        <v>8.4520727699800933</v>
      </c>
      <c r="F13" s="25">
        <f>'Fluxos Energia'!F11*'Energia Demanda Final'!F$4</f>
        <v>1.1570115634307425</v>
      </c>
      <c r="G13" s="25">
        <f>'Fluxos Energia'!G11*'Energia Demanda Final'!G$4</f>
        <v>3.6329190524570332</v>
      </c>
      <c r="H13" s="25">
        <f>'Fluxos Energia'!H11*'Energia Demanda Final'!H$4</f>
        <v>23.140012361638011</v>
      </c>
      <c r="I13" s="25">
        <f>'Fluxos Energia'!I11*'Energia Demanda Final'!I$4</f>
        <v>4.0722478207593014</v>
      </c>
      <c r="J13" s="25">
        <f>'Fluxos Energia'!J11*'Energia Demanda Final'!J$4</f>
        <v>85.668873926206956</v>
      </c>
      <c r="K13" s="25">
        <f>'Fluxos Energia'!K11*'Energia Demanda Final'!K$4</f>
        <v>4.1934001104581515</v>
      </c>
      <c r="L13" s="25">
        <f>'Fluxos Energia'!L11*'Energia Demanda Final'!L$4</f>
        <v>144.14697239171133</v>
      </c>
      <c r="M13" s="25">
        <f>'Fluxos Energia'!M11*'Energia Demanda Final'!M$4</f>
        <v>23.210059897464578</v>
      </c>
      <c r="N13" s="25">
        <f>'Fluxos Energia'!N11*'Energia Demanda Final'!N$4</f>
        <v>3.1786837980149736</v>
      </c>
      <c r="O13" s="25">
        <f>'Fluxos Energia'!O11*'Energia Demanda Final'!O$4</f>
        <v>19.461663559610027</v>
      </c>
      <c r="P13" s="25">
        <f>'Fluxos Energia'!P11*'Energia Demanda Final'!P$4</f>
        <v>6.6397910777348752</v>
      </c>
      <c r="Q13" s="25">
        <f>'Fluxos Energia'!Q11*'Energia Demanda Final'!Q$4</f>
        <v>8.5384522616053964</v>
      </c>
      <c r="R13" s="25">
        <f>'Fluxos Energia'!R11*'Energia Demanda Final'!R$4</f>
        <v>11.576977016537167</v>
      </c>
      <c r="S13" s="25">
        <f>'Fluxos Energia'!S11*'Energia Demanda Final'!S$4</f>
        <v>155.80447183554992</v>
      </c>
      <c r="T13" s="25">
        <f>'Fluxos Energia'!T11*'Energia Demanda Final'!T$4</f>
        <v>0.54929064055574384</v>
      </c>
      <c r="U13" s="25">
        <f>'Fluxos Energia'!U11*'Energia Demanda Final'!U$4</f>
        <v>0.28544435628237114</v>
      </c>
      <c r="V13" s="25">
        <f>'Fluxos Energia'!V11*'Energia Demanda Final'!V$4</f>
        <v>8.4099792951919676E-4</v>
      </c>
      <c r="W13" s="25">
        <f>'Fluxos Energia'!W11*'Energia Demanda Final'!W$4</f>
        <v>9.8587065097088889E-5</v>
      </c>
      <c r="X13" s="25">
        <f>'Fluxos Energia'!X11*'Energia Demanda Final'!X$4</f>
        <v>1.7092651627885191</v>
      </c>
      <c r="Y13" s="25">
        <f>'Fluxos Energia'!Y11*'Energia Demanda Final'!Y$4</f>
        <v>12.931707093510839</v>
      </c>
      <c r="Z13" s="25">
        <f>'Fluxos Energia'!Z11*'Energia Demanda Final'!Z$4</f>
        <v>2.5688262460191531</v>
      </c>
      <c r="AA13" s="25">
        <f>'Fluxos Energia'!AA11*'Energia Demanda Final'!AA$4</f>
        <v>3.6556723501117667</v>
      </c>
      <c r="AB13" s="25">
        <f>'Fluxos Energia'!AB11*'Energia Demanda Final'!AB$4</f>
        <v>4.7917446549142868</v>
      </c>
      <c r="AC13" s="25">
        <f>'Fluxos Energia'!AC11*'Energia Demanda Final'!AC$4</f>
        <v>10.967914281457977</v>
      </c>
      <c r="AD13" s="25">
        <f>'Fluxos Energia'!AD11*'Energia Demanda Final'!AD$4</f>
        <v>10.052604502950725</v>
      </c>
      <c r="AE13" s="25">
        <f>'Fluxos Energia'!AE11*'Energia Demanda Final'!AE$4</f>
        <v>77.121665396398797</v>
      </c>
      <c r="AF13" s="25">
        <f>'Fluxos Energia'!AF11*'Energia Demanda Final'!AF$4</f>
        <v>51.284813152511667</v>
      </c>
      <c r="AG13" s="25">
        <f>'Fluxos Energia'!AG11*'Energia Demanda Final'!AG$4</f>
        <v>15.322721709938369</v>
      </c>
      <c r="AH13" s="25">
        <f>'Fluxos Energia'!AH11*'Energia Demanda Final'!AH$4</f>
        <v>1.126407015793639</v>
      </c>
      <c r="AI13" s="25">
        <f>'Fluxos Energia'!AI11*'Energia Demanda Final'!AI$4</f>
        <v>2.7858502101781459</v>
      </c>
      <c r="AJ13" s="25">
        <f>'Fluxos Energia'!AJ11*'Energia Demanda Final'!AJ$4</f>
        <v>4.1329130558171849</v>
      </c>
      <c r="AK13" s="25">
        <f>'Fluxos Energia'!AK11*'Energia Demanda Final'!AK$4</f>
        <v>5.5287094747023762</v>
      </c>
      <c r="AL13" s="25">
        <f>'Fluxos Energia'!AL11*'Energia Demanda Final'!AL$4</f>
        <v>2.2902101408604691</v>
      </c>
      <c r="AM13" s="25">
        <f>'Fluxos Energia'!AM11*'Energia Demanda Final'!AM$4</f>
        <v>2.333392815780909</v>
      </c>
      <c r="AN13" s="25">
        <f>'Fluxos Energia'!AN11*'Energia Demanda Final'!AN$4</f>
        <v>2.7687665636442218</v>
      </c>
      <c r="AO13" s="25">
        <f>'Fluxos Energia'!AO11*'Energia Demanda Final'!AO$4</f>
        <v>0.27518172754027204</v>
      </c>
      <c r="AP13" s="25">
        <f>'Fluxos Energia'!AP11*'Energia Demanda Final'!AP$4</f>
        <v>31.231447183578638</v>
      </c>
      <c r="AQ13" s="25">
        <f>'Fluxos Energia'!AQ11*'Energia Demanda Final'!AQ$4</f>
        <v>72.682184299355796</v>
      </c>
      <c r="AR13" s="25">
        <f>'Fluxos Energia'!AR11*'Energia Demanda Final'!AR$4</f>
        <v>1.039192635646174E-5</v>
      </c>
      <c r="AS13" s="25">
        <f>'Fluxos Energia'!AS11*'Energia Demanda Final'!AS$4</f>
        <v>6.5502327837145131</v>
      </c>
      <c r="AT13" s="25">
        <f>'Fluxos Energia'!AT11*'Energia Demanda Final'!AT$4</f>
        <v>24.747488902719127</v>
      </c>
      <c r="AU13" s="25">
        <f>'Fluxos Energia'!AU11*'Energia Demanda Final'!AU$4</f>
        <v>11.162727405052712</v>
      </c>
      <c r="AV13" s="25">
        <f>'Fluxos Energia'!AV11*'Energia Demanda Final'!AV$4</f>
        <v>26.724595203971202</v>
      </c>
      <c r="AW13" s="25">
        <f>'Fluxos Energia'!AW11*'Energia Demanda Final'!AW$4</f>
        <v>296.25311211685556</v>
      </c>
      <c r="AX13" s="40">
        <f>'Fluxos Energia'!AX11*'Energia Demanda Final'!AX$4</f>
        <v>2.0655002642956952</v>
      </c>
      <c r="AY13" s="25">
        <f>'Fluxos Energia'!AY11*'Energia Demanda Final'!AY$4</f>
        <v>0</v>
      </c>
      <c r="AZ13" s="25">
        <f>'Fluxos Energia'!AZ11*'Energia Demanda Final'!AZ$4</f>
        <v>0</v>
      </c>
      <c r="BA13" s="25">
        <f>'Fluxos Energia'!BA11*'Energia Demanda Final'!BA$4</f>
        <v>5.070021133615624</v>
      </c>
      <c r="BB13" s="25">
        <f>'Fluxos Energia'!BB11*'Energia Demanda Final'!BB$4</f>
        <v>16.716231652524677</v>
      </c>
      <c r="BC13" s="25">
        <f>'Fluxos Energia'!BC11*'Energia Demanda Final'!BC$4</f>
        <v>41.849487436695476</v>
      </c>
      <c r="BD13" s="25">
        <f>'Fluxos Energia'!BD11*'Energia Demanda Final'!BD$4</f>
        <v>1.481049229991418</v>
      </c>
      <c r="BE13" s="25">
        <f>'Fluxos Energia'!BE11*'Energia Demanda Final'!BE$4</f>
        <v>0.57803894221693697</v>
      </c>
      <c r="BF13" s="25">
        <f>'Fluxos Energia'!BF11*'Energia Demanda Final'!BF$4</f>
        <v>27.816822193985658</v>
      </c>
      <c r="BG13" s="25">
        <f>'Fluxos Energia'!BG11*'Energia Demanda Final'!BG$4</f>
        <v>8.6578590808354772</v>
      </c>
      <c r="BH13" s="25">
        <f>'Fluxos Energia'!BH11*'Energia Demanda Final'!BH$4</f>
        <v>27.178443419945971</v>
      </c>
      <c r="BI13" s="25">
        <f>'Fluxos Energia'!BI11*'Energia Demanda Final'!BI$4</f>
        <v>15.265308990060189</v>
      </c>
      <c r="BJ13" s="25">
        <f>'Fluxos Energia'!BJ11*'Energia Demanda Final'!BJ$4</f>
        <v>4.3495584738453035</v>
      </c>
      <c r="BK13" s="25">
        <f>'Fluxos Energia'!BK11*'Energia Demanda Final'!BK$4</f>
        <v>3.6231493545034499</v>
      </c>
      <c r="BL13" s="25">
        <f>'Fluxos Energia'!BL11*'Energia Demanda Final'!BL$4</f>
        <v>0.27316935515256391</v>
      </c>
      <c r="BM13" s="25">
        <f>'Fluxos Energia'!BM11*'Energia Demanda Final'!BM$4</f>
        <v>0.82204415303040557</v>
      </c>
      <c r="BN13" s="25">
        <f>'Fluxos Energia'!BN11*'Energia Demanda Final'!BN$4</f>
        <v>42.906426344115459</v>
      </c>
      <c r="BO13" s="25">
        <f>'Fluxos Energia'!BO11*'Energia Demanda Final'!BO$4</f>
        <v>3.14107023013128E-2</v>
      </c>
      <c r="BP13" s="25">
        <f>'Fluxos Energia'!BP11*'Energia Demanda Final'!BP$4</f>
        <v>165.9602798493099</v>
      </c>
      <c r="BQ13" s="25">
        <f>'Fluxos Energia'!BQ11*'Energia Demanda Final'!BQ$4</f>
        <v>55.254541673518204</v>
      </c>
      <c r="BR13" s="25">
        <f>'Fluxos Energia'!BR11*'Energia Demanda Final'!BR$4</f>
        <v>51.21440008196474</v>
      </c>
      <c r="BS13" s="25">
        <f>'Fluxos Energia'!BS11*'Energia Demanda Final'!BS$4</f>
        <v>36.641179474357209</v>
      </c>
      <c r="BT13" s="25">
        <f>'Fluxos Energia'!BT11*'Energia Demanda Final'!BT$4</f>
        <v>40.271241994071637</v>
      </c>
      <c r="BU13" s="25">
        <f>'Fluxos Energia'!BU11*'Energia Demanda Final'!BU$4</f>
        <v>21.337582380330335</v>
      </c>
      <c r="BV13" s="25">
        <f>'Fluxos Energia'!BV11*'Energia Demanda Final'!BV$4</f>
        <v>62.093627819635827</v>
      </c>
      <c r="BW13" s="25">
        <f>'Fluxos Energia'!BW11*'Energia Demanda Final'!BW$4</f>
        <v>0</v>
      </c>
    </row>
    <row r="14" spans="1:75" x14ac:dyDescent="0.3">
      <c r="A14" s="1" t="s">
        <v>2</v>
      </c>
      <c r="B14" s="1" t="s">
        <v>8</v>
      </c>
      <c r="C14" s="25">
        <f>'Fluxos Energia'!C12*'Energia Demanda Final'!C$4</f>
        <v>0</v>
      </c>
      <c r="D14" s="25">
        <f>'Fluxos Energia'!D12*'Energia Demanda Final'!D$4</f>
        <v>0</v>
      </c>
      <c r="E14" s="25">
        <f>'Fluxos Energia'!E12*'Energia Demanda Final'!E$4</f>
        <v>0</v>
      </c>
      <c r="F14" s="25">
        <f>'Fluxos Energia'!F12*'Energia Demanda Final'!F$4</f>
        <v>9.4594412506093111</v>
      </c>
      <c r="G14" s="25">
        <f>'Fluxos Energia'!G12*'Energia Demanda Final'!G$4</f>
        <v>28.926962341815461</v>
      </c>
      <c r="H14" s="25">
        <f>'Fluxos Energia'!H12*'Energia Demanda Final'!H$4</f>
        <v>189.01895159968444</v>
      </c>
      <c r="I14" s="25">
        <f>'Fluxos Energia'!I12*'Energia Demanda Final'!I$4</f>
        <v>34.733769919386681</v>
      </c>
      <c r="J14" s="25">
        <f>'Fluxos Energia'!J12*'Energia Demanda Final'!J$4</f>
        <v>190.14141663249961</v>
      </c>
      <c r="K14" s="25">
        <f>'Fluxos Energia'!K12*'Energia Demanda Final'!K$4</f>
        <v>9.2764794933277663</v>
      </c>
      <c r="L14" s="25">
        <f>'Fluxos Energia'!L12*'Energia Demanda Final'!L$4</f>
        <v>320.25916739271395</v>
      </c>
      <c r="M14" s="25">
        <f>'Fluxos Energia'!M12*'Energia Demanda Final'!M$4</f>
        <v>51.574854700765279</v>
      </c>
      <c r="N14" s="25">
        <f>'Fluxos Energia'!N12*'Energia Demanda Final'!N$4</f>
        <v>7.0545402463384912</v>
      </c>
      <c r="O14" s="25">
        <f>'Fluxos Energia'!O12*'Energia Demanda Final'!O$4</f>
        <v>45.84699272805377</v>
      </c>
      <c r="P14" s="25">
        <f>'Fluxos Energia'!P12*'Energia Demanda Final'!P$4</f>
        <v>15.54422855021347</v>
      </c>
      <c r="Q14" s="25">
        <f>'Fluxos Energia'!Q12*'Energia Demanda Final'!Q$4</f>
        <v>20.103723026885707</v>
      </c>
      <c r="R14" s="25">
        <f>'Fluxos Energia'!R12*'Energia Demanda Final'!R$4</f>
        <v>27.292173896251398</v>
      </c>
      <c r="S14" s="25">
        <f>'Fluxos Energia'!S12*'Energia Demanda Final'!S$4</f>
        <v>409.22438999381251</v>
      </c>
      <c r="T14" s="25">
        <f>'Fluxos Energia'!T12*'Energia Demanda Final'!T$4</f>
        <v>2.8821871515810336</v>
      </c>
      <c r="U14" s="25">
        <f>'Fluxos Energia'!U12*'Energia Demanda Final'!U$4</f>
        <v>3.5882745022997669</v>
      </c>
      <c r="V14" s="25">
        <f>'Fluxos Energia'!V12*'Energia Demanda Final'!V$4</f>
        <v>1.0354803175362753E-2</v>
      </c>
      <c r="W14" s="25">
        <f>'Fluxos Energia'!W12*'Energia Demanda Final'!W$4</f>
        <v>1.3360811775888002E-3</v>
      </c>
      <c r="X14" s="25">
        <f>'Fluxos Energia'!X12*'Energia Demanda Final'!X$4</f>
        <v>22.775982220690135</v>
      </c>
      <c r="Y14" s="25">
        <f>'Fluxos Energia'!Y12*'Energia Demanda Final'!Y$4</f>
        <v>177.12730629175047</v>
      </c>
      <c r="Z14" s="25">
        <f>'Fluxos Energia'!Z12*'Energia Demanda Final'!Z$4</f>
        <v>35.106443994520127</v>
      </c>
      <c r="AA14" s="25">
        <f>'Fluxos Energia'!AA12*'Energia Demanda Final'!AA$4</f>
        <v>49.27062116961784</v>
      </c>
      <c r="AB14" s="25">
        <f>'Fluxos Energia'!AB12*'Energia Demanda Final'!AB$4</f>
        <v>64.364215197325748</v>
      </c>
      <c r="AC14" s="25">
        <f>'Fluxos Energia'!AC12*'Energia Demanda Final'!AC$4</f>
        <v>149.79965002401701</v>
      </c>
      <c r="AD14" s="25">
        <f>'Fluxos Energia'!AD12*'Energia Demanda Final'!AD$4</f>
        <v>165.98187802460393</v>
      </c>
      <c r="AE14" s="25">
        <f>'Fluxos Energia'!AE12*'Energia Demanda Final'!AE$4</f>
        <v>453.44666231487048</v>
      </c>
      <c r="AF14" s="25">
        <f>'Fluxos Energia'!AF12*'Energia Demanda Final'!AF$4</f>
        <v>108.99296168507443</v>
      </c>
      <c r="AG14" s="25">
        <f>'Fluxos Energia'!AG12*'Energia Demanda Final'!AG$4</f>
        <v>32.519465814301689</v>
      </c>
      <c r="AH14" s="25">
        <f>'Fluxos Energia'!AH12*'Energia Demanda Final'!AH$4</f>
        <v>0.54382694375215923</v>
      </c>
      <c r="AI14" s="25">
        <f>'Fluxos Energia'!AI12*'Energia Demanda Final'!AI$4</f>
        <v>1.3541169778523854</v>
      </c>
      <c r="AJ14" s="25">
        <f>'Fluxos Energia'!AJ12*'Energia Demanda Final'!AJ$4</f>
        <v>2.0053445391838709</v>
      </c>
      <c r="AK14" s="25">
        <f>'Fluxos Energia'!AK12*'Energia Demanda Final'!AK$4</f>
        <v>2.6864514352893942</v>
      </c>
      <c r="AL14" s="25">
        <f>'Fluxos Energia'!AL12*'Energia Demanda Final'!AL$4</f>
        <v>1.1135528596747628</v>
      </c>
      <c r="AM14" s="25">
        <f>'Fluxos Energia'!AM12*'Energia Demanda Final'!AM$4</f>
        <v>1.1339318196150985</v>
      </c>
      <c r="AN14" s="25">
        <f>'Fluxos Energia'!AN12*'Energia Demanda Final'!AN$4</f>
        <v>1.3420160980761446</v>
      </c>
      <c r="AO14" s="25">
        <f>'Fluxos Energia'!AO12*'Energia Demanda Final'!AO$4</f>
        <v>0.26396692623711293</v>
      </c>
      <c r="AP14" s="25">
        <f>'Fluxos Energia'!AP12*'Energia Demanda Final'!AP$4</f>
        <v>2298.9306321205431</v>
      </c>
      <c r="AQ14" s="25">
        <f>'Fluxos Energia'!AQ12*'Energia Demanda Final'!AQ$4</f>
        <v>84.582963160852572</v>
      </c>
      <c r="AR14" s="25">
        <f>'Fluxos Energia'!AR12*'Energia Demanda Final'!AR$4</f>
        <v>2.5063730070759343E-4</v>
      </c>
      <c r="AS14" s="25">
        <f>'Fluxos Energia'!AS12*'Energia Demanda Final'!AS$4</f>
        <v>135.01968995621675</v>
      </c>
      <c r="AT14" s="25">
        <f>'Fluxos Energia'!AT12*'Energia Demanda Final'!AT$4</f>
        <v>5.5249376871431144</v>
      </c>
      <c r="AU14" s="25">
        <f>'Fluxos Energia'!AU12*'Energia Demanda Final'!AU$4</f>
        <v>0.81110489274442388</v>
      </c>
      <c r="AV14" s="25">
        <f>'Fluxos Energia'!AV12*'Energia Demanda Final'!AV$4</f>
        <v>1.9463955257956813</v>
      </c>
      <c r="AW14" s="25">
        <f>'Fluxos Energia'!AW12*'Energia Demanda Final'!AW$4</f>
        <v>21.520049741280118</v>
      </c>
      <c r="AX14" s="40">
        <f>'Fluxos Energia'!AX12*'Energia Demanda Final'!AX$4</f>
        <v>656.08053520487897</v>
      </c>
      <c r="AY14" s="25">
        <f>'Fluxos Energia'!AY12*'Energia Demanda Final'!AY$4</f>
        <v>0</v>
      </c>
      <c r="AZ14" s="25">
        <f>'Fluxos Energia'!AZ12*'Energia Demanda Final'!AZ$4</f>
        <v>0</v>
      </c>
      <c r="BA14" s="25">
        <f>'Fluxos Energia'!BA12*'Energia Demanda Final'!BA$4</f>
        <v>0.79391608493797206</v>
      </c>
      <c r="BB14" s="25">
        <f>'Fluxos Energia'!BB12*'Energia Demanda Final'!BB$4</f>
        <v>1.2057594560368707</v>
      </c>
      <c r="BC14" s="25">
        <f>'Fluxos Energia'!BC12*'Energia Demanda Final'!BC$4</f>
        <v>3.0584859586126316</v>
      </c>
      <c r="BD14" s="25">
        <f>'Fluxos Energia'!BD12*'Energia Demanda Final'!BD$4</f>
        <v>0.10729296475607263</v>
      </c>
      <c r="BE14" s="25">
        <f>'Fluxos Energia'!BE12*'Energia Demanda Final'!BE$4</f>
        <v>4.1774486801444285E-2</v>
      </c>
      <c r="BF14" s="25">
        <f>'Fluxos Energia'!BF12*'Energia Demanda Final'!BF$4</f>
        <v>2.0111437298883907</v>
      </c>
      <c r="BG14" s="25">
        <f>'Fluxos Energia'!BG12*'Energia Demanda Final'!BG$4</f>
        <v>0.63201259011628663</v>
      </c>
      <c r="BH14" s="25">
        <f>'Fluxos Energia'!BH12*'Energia Demanda Final'!BH$4</f>
        <v>1.9779093114936439</v>
      </c>
      <c r="BI14" s="25">
        <f>'Fluxos Energia'!BI12*'Energia Demanda Final'!BI$4</f>
        <v>1.1167835158633563</v>
      </c>
      <c r="BJ14" s="25">
        <f>'Fluxos Energia'!BJ12*'Energia Demanda Final'!BJ$4</f>
        <v>0.32048552781130119</v>
      </c>
      <c r="BK14" s="25">
        <f>'Fluxos Energia'!BK12*'Energia Demanda Final'!BK$4</f>
        <v>0.26607833807700909</v>
      </c>
      <c r="BL14" s="25">
        <f>'Fluxos Energia'!BL12*'Energia Demanda Final'!BL$4</f>
        <v>2.0210602678502911E-2</v>
      </c>
      <c r="BM14" s="25">
        <f>'Fluxos Energia'!BM12*'Energia Demanda Final'!BM$4</f>
        <v>6.1371628964158181E-2</v>
      </c>
      <c r="BN14" s="25">
        <f>'Fluxos Energia'!BN12*'Energia Demanda Final'!BN$4</f>
        <v>3.0868476697116249</v>
      </c>
      <c r="BO14" s="25">
        <f>'Fluxos Energia'!BO12*'Energia Demanda Final'!BO$4</f>
        <v>2.2897660774622254E-3</v>
      </c>
      <c r="BP14" s="25">
        <f>'Fluxos Energia'!BP12*'Energia Demanda Final'!BP$4</f>
        <v>16.484838655891028</v>
      </c>
      <c r="BQ14" s="25">
        <f>'Fluxos Energia'!BQ12*'Energia Demanda Final'!BQ$4</f>
        <v>5.4986439763179806</v>
      </c>
      <c r="BR14" s="25">
        <f>'Fluxos Energia'!BR12*'Energia Demanda Final'!BR$4</f>
        <v>3.7232273553583455</v>
      </c>
      <c r="BS14" s="25">
        <f>'Fluxos Energia'!BS12*'Energia Demanda Final'!BS$4</f>
        <v>3.6451163282835122</v>
      </c>
      <c r="BT14" s="25">
        <f>'Fluxos Energia'!BT12*'Energia Demanda Final'!BT$4</f>
        <v>2.91496878749233</v>
      </c>
      <c r="BU14" s="25">
        <f>'Fluxos Energia'!BU12*'Energia Demanda Final'!BU$4</f>
        <v>1.5660912811902186</v>
      </c>
      <c r="BV14" s="25">
        <f>'Fluxos Energia'!BV12*'Energia Demanda Final'!BV$4</f>
        <v>4.4893869307857033</v>
      </c>
      <c r="BW14" s="25">
        <f>'Fluxos Energia'!BW12*'Energia Demanda Final'!BW$4</f>
        <v>0</v>
      </c>
    </row>
    <row r="15" spans="1:75" x14ac:dyDescent="0.3">
      <c r="A15" s="24" t="s">
        <v>2</v>
      </c>
      <c r="B15" s="24" t="s">
        <v>219</v>
      </c>
      <c r="C15" s="30">
        <f>SUM(C9:C14)</f>
        <v>3456.0463763966645</v>
      </c>
      <c r="D15" s="30">
        <f t="shared" ref="D15:BO15" si="0">SUM(D9:D14)</f>
        <v>857.35684121828569</v>
      </c>
      <c r="E15" s="30">
        <f t="shared" si="0"/>
        <v>197.47380024479693</v>
      </c>
      <c r="F15" s="30">
        <f t="shared" si="0"/>
        <v>41.472825180639894</v>
      </c>
      <c r="G15" s="30">
        <f t="shared" si="0"/>
        <v>227.08292866063377</v>
      </c>
      <c r="H15" s="30">
        <f t="shared" si="0"/>
        <v>1038.2950862001171</v>
      </c>
      <c r="I15" s="30">
        <f t="shared" si="0"/>
        <v>602.99948480587682</v>
      </c>
      <c r="J15" s="30">
        <f t="shared" si="0"/>
        <v>2461.5577555106056</v>
      </c>
      <c r="K15" s="30">
        <f t="shared" si="0"/>
        <v>448.9853007449284</v>
      </c>
      <c r="L15" s="30">
        <f t="shared" si="0"/>
        <v>2961.8122978158863</v>
      </c>
      <c r="M15" s="30">
        <f t="shared" si="0"/>
        <v>467.68821406997779</v>
      </c>
      <c r="N15" s="30">
        <f t="shared" si="0"/>
        <v>38.736861423984884</v>
      </c>
      <c r="O15" s="30">
        <f t="shared" si="0"/>
        <v>159.60502351767761</v>
      </c>
      <c r="P15" s="30">
        <f t="shared" si="0"/>
        <v>58.62716377508076</v>
      </c>
      <c r="Q15" s="30">
        <f t="shared" si="0"/>
        <v>76.102167841261263</v>
      </c>
      <c r="R15" s="30">
        <f t="shared" si="0"/>
        <v>96.110513870404645</v>
      </c>
      <c r="S15" s="30">
        <f t="shared" si="0"/>
        <v>1513.6084644761552</v>
      </c>
      <c r="T15" s="30">
        <f t="shared" si="0"/>
        <v>9.2380703035624077</v>
      </c>
      <c r="U15" s="30">
        <f t="shared" si="0"/>
        <v>2232.0909835802931</v>
      </c>
      <c r="V15" s="30">
        <f t="shared" si="0"/>
        <v>8.0931631109648325</v>
      </c>
      <c r="W15" s="30">
        <f t="shared" si="0"/>
        <v>5.3259777774322092</v>
      </c>
      <c r="X15" s="30">
        <f t="shared" si="0"/>
        <v>56.559274251456813</v>
      </c>
      <c r="Y15" s="30">
        <f t="shared" si="0"/>
        <v>412.7527545707552</v>
      </c>
      <c r="Z15" s="30">
        <f t="shared" si="0"/>
        <v>74.14423013368355</v>
      </c>
      <c r="AA15" s="30">
        <f t="shared" si="0"/>
        <v>114.42053837136007</v>
      </c>
      <c r="AB15" s="30">
        <f t="shared" si="0"/>
        <v>127.3551294266791</v>
      </c>
      <c r="AC15" s="30">
        <f t="shared" si="0"/>
        <v>294.2091748253132</v>
      </c>
      <c r="AD15" s="30">
        <f t="shared" si="0"/>
        <v>676.63839318932628</v>
      </c>
      <c r="AE15" s="30">
        <f t="shared" si="0"/>
        <v>1418.9270646379061</v>
      </c>
      <c r="AF15" s="30">
        <f t="shared" si="0"/>
        <v>1021.354763927739</v>
      </c>
      <c r="AG15" s="30">
        <f t="shared" si="0"/>
        <v>239.12034171705648</v>
      </c>
      <c r="AH15" s="30">
        <f t="shared" si="0"/>
        <v>14.751721897073267</v>
      </c>
      <c r="AI15" s="30">
        <f t="shared" si="0"/>
        <v>35.086651038113999</v>
      </c>
      <c r="AJ15" s="30">
        <f t="shared" si="0"/>
        <v>51.104213034455377</v>
      </c>
      <c r="AK15" s="30">
        <f t="shared" si="0"/>
        <v>74.808478460732331</v>
      </c>
      <c r="AL15" s="30">
        <f t="shared" si="0"/>
        <v>26.995610287039327</v>
      </c>
      <c r="AM15" s="30">
        <f t="shared" si="0"/>
        <v>27.863842308850277</v>
      </c>
      <c r="AN15" s="30">
        <f t="shared" si="0"/>
        <v>34.256672158014666</v>
      </c>
      <c r="AO15" s="30">
        <f t="shared" si="0"/>
        <v>6.868490572319625</v>
      </c>
      <c r="AP15" s="30">
        <f t="shared" si="0"/>
        <v>4253.3027053263395</v>
      </c>
      <c r="AQ15" s="30">
        <f t="shared" si="0"/>
        <v>292.37733525015653</v>
      </c>
      <c r="AR15" s="30">
        <f t="shared" si="0"/>
        <v>1.1961577789973479</v>
      </c>
      <c r="AS15" s="30">
        <f t="shared" si="0"/>
        <v>184.78314798078205</v>
      </c>
      <c r="AT15" s="30">
        <f t="shared" si="0"/>
        <v>561.53297248646209</v>
      </c>
      <c r="AU15" s="30">
        <f t="shared" si="0"/>
        <v>128.50765728824624</v>
      </c>
      <c r="AV15" s="30">
        <f t="shared" si="0"/>
        <v>164.71355522435317</v>
      </c>
      <c r="AW15" s="30">
        <f t="shared" si="0"/>
        <v>1835.1138894457188</v>
      </c>
      <c r="AX15" s="41">
        <f t="shared" si="0"/>
        <v>26116.054973403283</v>
      </c>
      <c r="AY15" s="30">
        <f t="shared" si="0"/>
        <v>444.83922356656905</v>
      </c>
      <c r="AZ15" s="30">
        <f t="shared" si="0"/>
        <v>1388.5411814264155</v>
      </c>
      <c r="BA15" s="30">
        <f t="shared" si="0"/>
        <v>65.38240652492108</v>
      </c>
      <c r="BB15" s="30">
        <f t="shared" si="0"/>
        <v>96.138739988446702</v>
      </c>
      <c r="BC15" s="30">
        <f t="shared" si="0"/>
        <v>270.95460548041859</v>
      </c>
      <c r="BD15" s="30">
        <f t="shared" si="0"/>
        <v>8.7104533745752004</v>
      </c>
      <c r="BE15" s="30">
        <f t="shared" si="0"/>
        <v>3.3650758092188187</v>
      </c>
      <c r="BF15" s="30">
        <f t="shared" si="0"/>
        <v>160.79280983840866</v>
      </c>
      <c r="BG15" s="30">
        <f t="shared" si="0"/>
        <v>52.112631188398247</v>
      </c>
      <c r="BH15" s="30">
        <f t="shared" si="0"/>
        <v>162.4725033479144</v>
      </c>
      <c r="BI15" s="30">
        <f t="shared" si="0"/>
        <v>91.635224272380697</v>
      </c>
      <c r="BJ15" s="30">
        <f t="shared" si="0"/>
        <v>27.246056505697688</v>
      </c>
      <c r="BK15" s="30">
        <f t="shared" si="0"/>
        <v>23.900711181080787</v>
      </c>
      <c r="BL15" s="30">
        <f t="shared" si="0"/>
        <v>1.7443368734101454</v>
      </c>
      <c r="BM15" s="30">
        <f t="shared" si="0"/>
        <v>6.7046282371166841</v>
      </c>
      <c r="BN15" s="30">
        <f t="shared" si="0"/>
        <v>245.40960843365579</v>
      </c>
      <c r="BO15" s="30">
        <f t="shared" si="0"/>
        <v>0.24705793906896109</v>
      </c>
      <c r="BP15" s="30">
        <f t="shared" ref="BP15:BW15" si="1">SUM(BP9:BP14)</f>
        <v>1831.9399797455558</v>
      </c>
      <c r="BQ15" s="30">
        <f t="shared" si="1"/>
        <v>581.02448542905506</v>
      </c>
      <c r="BR15" s="30">
        <f t="shared" si="1"/>
        <v>300.45683729157901</v>
      </c>
      <c r="BS15" s="30">
        <f t="shared" si="1"/>
        <v>375.58767356354991</v>
      </c>
      <c r="BT15" s="30">
        <f t="shared" si="1"/>
        <v>236.23168363887845</v>
      </c>
      <c r="BU15" s="30">
        <f t="shared" si="1"/>
        <v>129.07538172443478</v>
      </c>
      <c r="BV15" s="30">
        <f t="shared" si="1"/>
        <v>364.62983358459689</v>
      </c>
      <c r="BW15" s="30">
        <f t="shared" si="1"/>
        <v>0</v>
      </c>
    </row>
    <row r="16" spans="1:75" x14ac:dyDescent="0.3"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</row>
    <row r="17" spans="1:75" ht="25.8" customHeight="1" x14ac:dyDescent="0.3">
      <c r="I17" s="5"/>
      <c r="J17" s="61"/>
      <c r="K17" s="61"/>
      <c r="L17" s="61"/>
      <c r="M17" s="52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</row>
    <row r="18" spans="1:75" ht="33.6" customHeight="1" x14ac:dyDescent="0.3">
      <c r="I18" s="5"/>
      <c r="J18" s="53"/>
      <c r="K18" s="54"/>
      <c r="L18" s="54"/>
      <c r="M18" s="52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BA18" s="2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</row>
    <row r="19" spans="1:75" x14ac:dyDescent="0.3">
      <c r="A19" s="45"/>
      <c r="B19" s="1"/>
      <c r="I19" s="5"/>
      <c r="J19" s="55"/>
      <c r="K19" s="56"/>
      <c r="L19" s="55"/>
      <c r="M19" s="52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BA19" s="5"/>
      <c r="BB19" s="5" t="e">
        <f>VLOOKUP(A19,'Fluxos Monetários'!$A$6:$BX$78,51,TRUE)</f>
        <v>#N/A</v>
      </c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</row>
    <row r="20" spans="1:75" x14ac:dyDescent="0.3">
      <c r="A20" s="45"/>
      <c r="B20" s="1"/>
      <c r="I20" s="5"/>
      <c r="J20" s="55"/>
      <c r="K20" s="56"/>
      <c r="L20" s="55"/>
      <c r="M20" s="52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</row>
    <row r="21" spans="1:75" x14ac:dyDescent="0.3">
      <c r="A21" s="45"/>
      <c r="B21" s="1"/>
      <c r="J21" s="55"/>
      <c r="K21" s="56"/>
      <c r="L21" s="55"/>
      <c r="O21" s="5"/>
    </row>
    <row r="22" spans="1:75" x14ac:dyDescent="0.3">
      <c r="A22" s="35"/>
      <c r="B22" s="1"/>
      <c r="J22" s="55"/>
      <c r="K22" s="56"/>
      <c r="L22" s="55"/>
      <c r="O22" s="5"/>
    </row>
    <row r="23" spans="1:75" x14ac:dyDescent="0.3">
      <c r="A23" s="35"/>
      <c r="B23" s="1"/>
      <c r="J23" s="55"/>
      <c r="K23" s="56"/>
      <c r="L23" s="55"/>
      <c r="O23" s="5"/>
    </row>
    <row r="24" spans="1:75" x14ac:dyDescent="0.3">
      <c r="A24" s="45"/>
      <c r="B24" s="1"/>
      <c r="J24" s="55"/>
      <c r="K24" s="56"/>
      <c r="L24" s="55"/>
      <c r="O24" s="5"/>
    </row>
    <row r="25" spans="1:75" x14ac:dyDescent="0.3">
      <c r="B25" s="24"/>
      <c r="J25" s="57"/>
      <c r="K25" s="57"/>
      <c r="L25" s="57"/>
    </row>
    <row r="27" spans="1:75" x14ac:dyDescent="0.3">
      <c r="L27" s="58"/>
      <c r="M27" s="29"/>
    </row>
    <row r="28" spans="1:75" x14ac:dyDescent="0.3">
      <c r="L28" s="58"/>
      <c r="M28" s="29"/>
    </row>
    <row r="29" spans="1:75" x14ac:dyDescent="0.3">
      <c r="L29" s="59"/>
      <c r="M29" s="29"/>
    </row>
    <row r="30" spans="1:75" x14ac:dyDescent="0.3">
      <c r="L30" s="60"/>
      <c r="M30" s="29"/>
    </row>
    <row r="31" spans="1:75" x14ac:dyDescent="0.3">
      <c r="L31" s="60"/>
      <c r="M31" s="29"/>
    </row>
    <row r="32" spans="1:75" x14ac:dyDescent="0.3">
      <c r="L32" s="60"/>
      <c r="M32" s="29"/>
    </row>
  </sheetData>
  <mergeCells count="3">
    <mergeCell ref="A3:B3"/>
    <mergeCell ref="A4:B4"/>
    <mergeCell ref="A6:B7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FF29-9592-410F-86B4-14B41643DA4E}">
  <sheetPr codeName="Planilha7"/>
  <dimension ref="A1:CJ15"/>
  <sheetViews>
    <sheetView showGridLines="0" workbookViewId="0">
      <pane xSplit="2" topLeftCell="C1" activePane="topRight" state="frozen"/>
      <selection pane="topRight" activeCell="A17" sqref="A17"/>
    </sheetView>
  </sheetViews>
  <sheetFormatPr defaultRowHeight="14.4" x14ac:dyDescent="0.3"/>
  <cols>
    <col min="1" max="1" width="20.44140625" customWidth="1"/>
    <col min="2" max="2" width="12" customWidth="1"/>
    <col min="3" max="4" width="12.33203125" bestFit="1" customWidth="1"/>
    <col min="5" max="6" width="10.77734375" bestFit="1" customWidth="1"/>
    <col min="7" max="9" width="9.77734375" bestFit="1" customWidth="1"/>
    <col min="10" max="11" width="10.77734375" bestFit="1" customWidth="1"/>
    <col min="12" max="12" width="12.33203125" bestFit="1" customWidth="1"/>
    <col min="13" max="13" width="10.77734375" bestFit="1" customWidth="1"/>
    <col min="14" max="14" width="9.77734375" bestFit="1" customWidth="1"/>
    <col min="15" max="15" width="10.77734375" bestFit="1" customWidth="1"/>
    <col min="16" max="16" width="12.33203125" bestFit="1" customWidth="1"/>
    <col min="17" max="20" width="10.77734375" bestFit="1" customWidth="1"/>
    <col min="21" max="21" width="9.77734375" bestFit="1" customWidth="1"/>
    <col min="22" max="23" width="9" bestFit="1" customWidth="1"/>
    <col min="24" max="26" width="9.77734375" bestFit="1" customWidth="1"/>
    <col min="27" max="31" width="10.77734375" bestFit="1" customWidth="1"/>
    <col min="32" max="32" width="9.77734375" bestFit="1" customWidth="1"/>
    <col min="33" max="38" width="10.77734375" bestFit="1" customWidth="1"/>
    <col min="39" max="39" width="9.77734375" bestFit="1" customWidth="1"/>
    <col min="40" max="41" width="10.77734375" bestFit="1" customWidth="1"/>
    <col min="42" max="45" width="9.77734375" bestFit="1" customWidth="1"/>
    <col min="46" max="46" width="10.77734375" bestFit="1" customWidth="1"/>
    <col min="47" max="48" width="12.33203125" bestFit="1" customWidth="1"/>
    <col min="49" max="49" width="13.44140625" bestFit="1" customWidth="1"/>
    <col min="50" max="50" width="12.33203125" bestFit="1" customWidth="1"/>
    <col min="51" max="52" width="9.77734375" bestFit="1" customWidth="1"/>
    <col min="53" max="54" width="10.77734375" bestFit="1" customWidth="1"/>
    <col min="55" max="55" width="12.33203125" bestFit="1" customWidth="1"/>
    <col min="56" max="59" width="10.77734375" bestFit="1" customWidth="1"/>
    <col min="60" max="60" width="12.33203125" bestFit="1" customWidth="1"/>
    <col min="61" max="61" width="10.77734375" bestFit="1" customWidth="1"/>
    <col min="62" max="62" width="12.33203125" bestFit="1" customWidth="1"/>
    <col min="63" max="65" width="10.77734375" bestFit="1" customWidth="1"/>
    <col min="66" max="66" width="12.33203125" bestFit="1" customWidth="1"/>
    <col min="67" max="67" width="10.77734375" bestFit="1" customWidth="1"/>
    <col min="68" max="72" width="12.33203125" bestFit="1" customWidth="1"/>
    <col min="73" max="73" width="10.77734375" bestFit="1" customWidth="1"/>
    <col min="74" max="75" width="12.33203125" bestFit="1" customWidth="1"/>
  </cols>
  <sheetData>
    <row r="1" spans="1:88" x14ac:dyDescent="0.3">
      <c r="A1" t="s">
        <v>201</v>
      </c>
    </row>
    <row r="5" spans="1:88" s="5" customFormat="1" x14ac:dyDescent="0.3">
      <c r="A5" s="3"/>
      <c r="B5" s="4"/>
      <c r="C5" s="28" t="s">
        <v>10</v>
      </c>
      <c r="D5" s="28" t="s">
        <v>11</v>
      </c>
      <c r="E5" s="28" t="s">
        <v>12</v>
      </c>
      <c r="F5" s="28" t="s">
        <v>13</v>
      </c>
      <c r="G5" s="28" t="s">
        <v>14</v>
      </c>
      <c r="H5" s="28" t="s">
        <v>15</v>
      </c>
      <c r="I5" s="28" t="s">
        <v>16</v>
      </c>
      <c r="J5" s="28" t="s">
        <v>17</v>
      </c>
      <c r="K5" s="28" t="s">
        <v>18</v>
      </c>
      <c r="L5" s="28" t="s">
        <v>19</v>
      </c>
      <c r="M5" s="28" t="s">
        <v>20</v>
      </c>
      <c r="N5" s="28" t="s">
        <v>21</v>
      </c>
      <c r="O5" s="28" t="s">
        <v>22</v>
      </c>
      <c r="P5" s="28" t="s">
        <v>23</v>
      </c>
      <c r="Q5" s="28" t="s">
        <v>24</v>
      </c>
      <c r="R5" s="28" t="s">
        <v>25</v>
      </c>
      <c r="S5" s="28" t="s">
        <v>26</v>
      </c>
      <c r="T5" s="28" t="s">
        <v>27</v>
      </c>
      <c r="U5" s="28" t="s">
        <v>28</v>
      </c>
      <c r="V5" s="28" t="s">
        <v>29</v>
      </c>
      <c r="W5" s="28" t="s">
        <v>30</v>
      </c>
      <c r="X5" s="28" t="s">
        <v>31</v>
      </c>
      <c r="Y5" s="28" t="s">
        <v>32</v>
      </c>
      <c r="Z5" s="28" t="s">
        <v>33</v>
      </c>
      <c r="AA5" s="28" t="s">
        <v>34</v>
      </c>
      <c r="AB5" s="28" t="s">
        <v>35</v>
      </c>
      <c r="AC5" s="28" t="s">
        <v>36</v>
      </c>
      <c r="AD5" s="28" t="s">
        <v>37</v>
      </c>
      <c r="AE5" s="28" t="s">
        <v>38</v>
      </c>
      <c r="AF5" s="28" t="s">
        <v>39</v>
      </c>
      <c r="AG5" s="28" t="s">
        <v>40</v>
      </c>
      <c r="AH5" s="28" t="s">
        <v>41</v>
      </c>
      <c r="AI5" s="28" t="s">
        <v>42</v>
      </c>
      <c r="AJ5" s="28" t="s">
        <v>43</v>
      </c>
      <c r="AK5" s="28" t="s">
        <v>44</v>
      </c>
      <c r="AL5" s="28" t="s">
        <v>45</v>
      </c>
      <c r="AM5" s="28" t="s">
        <v>46</v>
      </c>
      <c r="AN5" s="28" t="s">
        <v>47</v>
      </c>
      <c r="AO5" s="28" t="s">
        <v>48</v>
      </c>
      <c r="AP5" s="28" t="s">
        <v>49</v>
      </c>
      <c r="AQ5" s="28" t="s">
        <v>50</v>
      </c>
      <c r="AR5" s="28" t="s">
        <v>51</v>
      </c>
      <c r="AS5" s="28" t="s">
        <v>52</v>
      </c>
      <c r="AT5" s="28" t="s">
        <v>53</v>
      </c>
      <c r="AU5" s="28" t="s">
        <v>54</v>
      </c>
      <c r="AV5" s="28" t="s">
        <v>55</v>
      </c>
      <c r="AW5" s="28" t="s">
        <v>56</v>
      </c>
      <c r="AX5" s="34" t="s">
        <v>57</v>
      </c>
      <c r="AY5" s="28" t="s">
        <v>58</v>
      </c>
      <c r="AZ5" s="28" t="s">
        <v>59</v>
      </c>
      <c r="BA5" s="28" t="s">
        <v>60</v>
      </c>
      <c r="BB5" s="28" t="s">
        <v>61</v>
      </c>
      <c r="BC5" s="28" t="s">
        <v>62</v>
      </c>
      <c r="BD5" s="28" t="s">
        <v>63</v>
      </c>
      <c r="BE5" s="28" t="s">
        <v>64</v>
      </c>
      <c r="BF5" s="28" t="s">
        <v>65</v>
      </c>
      <c r="BG5" s="28" t="s">
        <v>66</v>
      </c>
      <c r="BH5" s="28" t="s">
        <v>67</v>
      </c>
      <c r="BI5" s="28" t="s">
        <v>68</v>
      </c>
      <c r="BJ5" s="28" t="s">
        <v>69</v>
      </c>
      <c r="BK5" s="28" t="s">
        <v>70</v>
      </c>
      <c r="BL5" s="28" t="s">
        <v>71</v>
      </c>
      <c r="BM5" s="28" t="s">
        <v>72</v>
      </c>
      <c r="BN5" s="28" t="s">
        <v>73</v>
      </c>
      <c r="BO5" s="28" t="s">
        <v>74</v>
      </c>
      <c r="BP5" s="28" t="s">
        <v>75</v>
      </c>
      <c r="BQ5" s="28" t="s">
        <v>76</v>
      </c>
      <c r="BR5" s="28" t="s">
        <v>77</v>
      </c>
      <c r="BS5" s="28" t="s">
        <v>78</v>
      </c>
      <c r="BT5" s="28" t="s">
        <v>79</v>
      </c>
      <c r="BU5" s="28" t="s">
        <v>80</v>
      </c>
      <c r="BV5" s="28" t="s">
        <v>81</v>
      </c>
      <c r="BW5" s="28" t="s">
        <v>82</v>
      </c>
      <c r="BX5"/>
      <c r="BY5"/>
      <c r="BZ5"/>
      <c r="CA5"/>
      <c r="CB5"/>
      <c r="CC5"/>
      <c r="CD5"/>
      <c r="CE5"/>
      <c r="CF5"/>
      <c r="CG5"/>
      <c r="CH5"/>
    </row>
    <row r="6" spans="1:88" s="5" customFormat="1" ht="36.75" customHeight="1" x14ac:dyDescent="0.3">
      <c r="A6" s="9" t="s">
        <v>214</v>
      </c>
      <c r="B6" s="4"/>
      <c r="C6" s="10" t="s">
        <v>84</v>
      </c>
      <c r="D6" s="10" t="s">
        <v>85</v>
      </c>
      <c r="E6" s="10" t="s">
        <v>86</v>
      </c>
      <c r="F6" s="10" t="s">
        <v>87</v>
      </c>
      <c r="G6" s="21" t="s">
        <v>88</v>
      </c>
      <c r="H6" s="10" t="s">
        <v>89</v>
      </c>
      <c r="I6" s="10" t="s">
        <v>90</v>
      </c>
      <c r="J6" s="10" t="s">
        <v>91</v>
      </c>
      <c r="K6" s="10" t="s">
        <v>92</v>
      </c>
      <c r="L6" s="10" t="s">
        <v>93</v>
      </c>
      <c r="M6" s="10" t="s">
        <v>94</v>
      </c>
      <c r="N6" s="10" t="s">
        <v>95</v>
      </c>
      <c r="O6" s="10" t="s">
        <v>96</v>
      </c>
      <c r="P6" s="10" t="s">
        <v>97</v>
      </c>
      <c r="Q6" s="10" t="s">
        <v>98</v>
      </c>
      <c r="R6" s="10" t="s">
        <v>99</v>
      </c>
      <c r="S6" s="10" t="s">
        <v>100</v>
      </c>
      <c r="T6" s="10" t="s">
        <v>101</v>
      </c>
      <c r="U6" s="21" t="s">
        <v>102</v>
      </c>
      <c r="V6" s="21" t="s">
        <v>103</v>
      </c>
      <c r="W6" s="10" t="s">
        <v>104</v>
      </c>
      <c r="X6" s="21" t="s">
        <v>105</v>
      </c>
      <c r="Y6" s="10" t="s">
        <v>106</v>
      </c>
      <c r="Z6" s="10" t="s">
        <v>107</v>
      </c>
      <c r="AA6" s="10" t="s">
        <v>108</v>
      </c>
      <c r="AB6" s="10" t="s">
        <v>109</v>
      </c>
      <c r="AC6" s="10" t="s">
        <v>110</v>
      </c>
      <c r="AD6" s="10" t="s">
        <v>111</v>
      </c>
      <c r="AE6" s="10" t="s">
        <v>112</v>
      </c>
      <c r="AF6" s="10" t="s">
        <v>113</v>
      </c>
      <c r="AG6" s="10" t="s">
        <v>114</v>
      </c>
      <c r="AH6" s="10" t="s">
        <v>115</v>
      </c>
      <c r="AI6" s="10" t="s">
        <v>116</v>
      </c>
      <c r="AJ6" s="10" t="s">
        <v>117</v>
      </c>
      <c r="AK6" s="10" t="s">
        <v>118</v>
      </c>
      <c r="AL6" s="10" t="s">
        <v>119</v>
      </c>
      <c r="AM6" s="10" t="s">
        <v>120</v>
      </c>
      <c r="AN6" s="10" t="s">
        <v>121</v>
      </c>
      <c r="AO6" s="10" t="s">
        <v>122</v>
      </c>
      <c r="AP6" s="21" t="s">
        <v>123</v>
      </c>
      <c r="AQ6" s="21" t="s">
        <v>124</v>
      </c>
      <c r="AR6" s="21" t="s">
        <v>125</v>
      </c>
      <c r="AS6" s="21" t="s">
        <v>126</v>
      </c>
      <c r="AT6" s="10" t="s">
        <v>127</v>
      </c>
      <c r="AU6" s="10" t="s">
        <v>128</v>
      </c>
      <c r="AV6" s="10" t="s">
        <v>129</v>
      </c>
      <c r="AW6" s="10" t="s">
        <v>130</v>
      </c>
      <c r="AX6" s="32" t="s">
        <v>131</v>
      </c>
      <c r="AY6" s="10" t="s">
        <v>132</v>
      </c>
      <c r="AZ6" s="10" t="s">
        <v>133</v>
      </c>
      <c r="BA6" s="10" t="s">
        <v>134</v>
      </c>
      <c r="BB6" s="10" t="s">
        <v>135</v>
      </c>
      <c r="BC6" s="10" t="s">
        <v>136</v>
      </c>
      <c r="BD6" s="10" t="s">
        <v>137</v>
      </c>
      <c r="BE6" s="10" t="s">
        <v>138</v>
      </c>
      <c r="BF6" s="10" t="s">
        <v>139</v>
      </c>
      <c r="BG6" s="10" t="s">
        <v>140</v>
      </c>
      <c r="BH6" s="10" t="s">
        <v>141</v>
      </c>
      <c r="BI6" s="10" t="s">
        <v>142</v>
      </c>
      <c r="BJ6" s="10" t="s">
        <v>143</v>
      </c>
      <c r="BK6" s="10" t="s">
        <v>144</v>
      </c>
      <c r="BL6" s="10" t="s">
        <v>145</v>
      </c>
      <c r="BM6" s="10" t="s">
        <v>146</v>
      </c>
      <c r="BN6" s="10" t="s">
        <v>147</v>
      </c>
      <c r="BO6" s="10" t="s">
        <v>148</v>
      </c>
      <c r="BP6" s="10" t="s">
        <v>149</v>
      </c>
      <c r="BQ6" s="10" t="s">
        <v>150</v>
      </c>
      <c r="BR6" s="10" t="s">
        <v>151</v>
      </c>
      <c r="BS6" s="10" t="s">
        <v>152</v>
      </c>
      <c r="BT6" s="10" t="s">
        <v>153</v>
      </c>
      <c r="BU6" s="10" t="s">
        <v>154</v>
      </c>
      <c r="BV6" s="10" t="s">
        <v>155</v>
      </c>
      <c r="BW6" s="10" t="s">
        <v>156</v>
      </c>
      <c r="BX6"/>
      <c r="BY6"/>
      <c r="BZ6"/>
      <c r="CA6"/>
      <c r="CB6"/>
      <c r="CC6"/>
      <c r="CD6"/>
      <c r="CE6"/>
      <c r="CF6"/>
      <c r="CG6"/>
      <c r="CH6"/>
    </row>
    <row r="7" spans="1:88" s="5" customFormat="1" x14ac:dyDescent="0.3">
      <c r="C7" s="25">
        <v>1</v>
      </c>
      <c r="D7" s="25">
        <v>2</v>
      </c>
      <c r="E7" s="25">
        <v>3</v>
      </c>
      <c r="F7" s="25">
        <v>4</v>
      </c>
      <c r="G7" s="25">
        <v>5</v>
      </c>
      <c r="H7" s="25">
        <v>6</v>
      </c>
      <c r="I7" s="25">
        <v>7</v>
      </c>
      <c r="J7" s="25">
        <v>8</v>
      </c>
      <c r="K7" s="25">
        <v>9</v>
      </c>
      <c r="L7" s="25">
        <v>10</v>
      </c>
      <c r="M7" s="25">
        <v>11</v>
      </c>
      <c r="N7" s="25">
        <v>12</v>
      </c>
      <c r="O7" s="25">
        <v>13</v>
      </c>
      <c r="P7" s="25">
        <v>14</v>
      </c>
      <c r="Q7" s="25">
        <v>15</v>
      </c>
      <c r="R7" s="25">
        <v>16</v>
      </c>
      <c r="S7" s="25">
        <v>17</v>
      </c>
      <c r="T7" s="25">
        <v>18</v>
      </c>
      <c r="U7" s="25">
        <v>19</v>
      </c>
      <c r="V7" s="25">
        <v>20</v>
      </c>
      <c r="W7" s="25">
        <v>21</v>
      </c>
      <c r="X7" s="25">
        <v>22</v>
      </c>
      <c r="Y7" s="25">
        <v>23</v>
      </c>
      <c r="Z7" s="25">
        <v>24</v>
      </c>
      <c r="AA7" s="25">
        <v>25</v>
      </c>
      <c r="AB7" s="25">
        <v>26</v>
      </c>
      <c r="AC7" s="25">
        <v>27</v>
      </c>
      <c r="AD7" s="25">
        <v>28</v>
      </c>
      <c r="AE7" s="25">
        <v>29</v>
      </c>
      <c r="AF7" s="25">
        <v>30</v>
      </c>
      <c r="AG7" s="25">
        <v>31</v>
      </c>
      <c r="AH7" s="25">
        <v>32</v>
      </c>
      <c r="AI7" s="25">
        <v>33</v>
      </c>
      <c r="AJ7" s="25">
        <v>34</v>
      </c>
      <c r="AK7" s="25">
        <v>35</v>
      </c>
      <c r="AL7" s="25">
        <v>36</v>
      </c>
      <c r="AM7" s="25">
        <v>37</v>
      </c>
      <c r="AN7" s="25">
        <v>38</v>
      </c>
      <c r="AO7" s="25">
        <v>39</v>
      </c>
      <c r="AP7" s="25">
        <v>40</v>
      </c>
      <c r="AQ7" s="25">
        <v>41</v>
      </c>
      <c r="AR7" s="25">
        <v>42</v>
      </c>
      <c r="AS7" s="25">
        <v>43</v>
      </c>
      <c r="AT7" s="25">
        <v>44</v>
      </c>
      <c r="AU7" s="25">
        <v>45</v>
      </c>
      <c r="AV7" s="25">
        <v>46</v>
      </c>
      <c r="AW7" s="25">
        <v>47</v>
      </c>
      <c r="AX7" s="40">
        <v>48</v>
      </c>
      <c r="AY7" s="25">
        <v>49</v>
      </c>
      <c r="AZ7" s="25">
        <v>50</v>
      </c>
      <c r="BA7" s="25">
        <v>51</v>
      </c>
      <c r="BB7" s="25">
        <v>52</v>
      </c>
      <c r="BC7" s="25">
        <v>53</v>
      </c>
      <c r="BD7" s="25">
        <v>54</v>
      </c>
      <c r="BE7" s="25">
        <v>55</v>
      </c>
      <c r="BF7" s="25">
        <v>56</v>
      </c>
      <c r="BG7" s="25">
        <v>57</v>
      </c>
      <c r="BH7" s="25">
        <v>58</v>
      </c>
      <c r="BI7" s="25">
        <v>59</v>
      </c>
      <c r="BJ7" s="25">
        <v>60</v>
      </c>
      <c r="BK7" s="25">
        <v>61</v>
      </c>
      <c r="BL7" s="25">
        <v>62</v>
      </c>
      <c r="BM7" s="25">
        <v>63</v>
      </c>
      <c r="BN7" s="25">
        <v>64</v>
      </c>
      <c r="BO7" s="25">
        <v>65</v>
      </c>
      <c r="BP7" s="25">
        <v>66</v>
      </c>
      <c r="BQ7" s="25">
        <v>67</v>
      </c>
      <c r="BR7" s="25">
        <v>68</v>
      </c>
      <c r="BS7" s="25">
        <v>69</v>
      </c>
      <c r="BT7" s="25">
        <v>70</v>
      </c>
      <c r="BU7" s="25">
        <v>71</v>
      </c>
      <c r="BV7" s="25">
        <v>72</v>
      </c>
      <c r="BW7" s="25">
        <v>73</v>
      </c>
      <c r="BX7"/>
      <c r="BY7"/>
      <c r="BZ7"/>
      <c r="CA7"/>
      <c r="CB7"/>
      <c r="CC7"/>
      <c r="CD7"/>
      <c r="CE7"/>
      <c r="CF7"/>
      <c r="CG7"/>
      <c r="CH7"/>
    </row>
    <row r="8" spans="1:88" s="1" customFormat="1" x14ac:dyDescent="0.3">
      <c r="A8" s="1" t="s">
        <v>202</v>
      </c>
      <c r="B8" s="20" t="s">
        <v>203</v>
      </c>
      <c r="C8" s="26">
        <v>4819730.9376112465</v>
      </c>
      <c r="D8" s="26">
        <v>4201684.574000095</v>
      </c>
      <c r="E8" s="26">
        <v>535573.00773491431</v>
      </c>
      <c r="F8" s="26">
        <v>28367.366666966376</v>
      </c>
      <c r="G8" s="26">
        <v>1230.3817094315868</v>
      </c>
      <c r="H8" s="26">
        <v>523.67681695203373</v>
      </c>
      <c r="I8" s="26">
        <v>13390.57013545165</v>
      </c>
      <c r="J8" s="26">
        <v>100067.16687916103</v>
      </c>
      <c r="K8" s="26">
        <v>4978.5594377991483</v>
      </c>
      <c r="L8" s="26">
        <v>271166.55160194496</v>
      </c>
      <c r="M8" s="26">
        <v>14892.19055850451</v>
      </c>
      <c r="N8" s="26">
        <v>979.44992935436665</v>
      </c>
      <c r="O8" s="26">
        <v>248505.81134527811</v>
      </c>
      <c r="P8" s="26">
        <v>767757.60934639117</v>
      </c>
      <c r="Q8" s="26">
        <v>72800.933471459008</v>
      </c>
      <c r="R8" s="26">
        <v>141744.50274566963</v>
      </c>
      <c r="S8" s="26">
        <v>18359.925335136526</v>
      </c>
      <c r="T8" s="26">
        <v>35117.506289199664</v>
      </c>
      <c r="U8" s="26">
        <v>592.85293736396784</v>
      </c>
      <c r="V8" s="26">
        <v>82.3501774666952</v>
      </c>
      <c r="W8" s="26">
        <v>8.2008475485505627</v>
      </c>
      <c r="X8" s="26">
        <v>1271.1615707657759</v>
      </c>
      <c r="Y8" s="26">
        <v>6123.1643086861122</v>
      </c>
      <c r="Z8" s="26">
        <v>6525.6694745627155</v>
      </c>
      <c r="AA8" s="26">
        <v>13267.474990484572</v>
      </c>
      <c r="AB8" s="26">
        <v>2512.797080758578</v>
      </c>
      <c r="AC8" s="26">
        <v>29041.406073690283</v>
      </c>
      <c r="AD8" s="26">
        <v>124638.7819923928</v>
      </c>
      <c r="AE8" s="26">
        <v>2724.0185043313027</v>
      </c>
      <c r="AF8" s="26">
        <v>9524.6049412645261</v>
      </c>
      <c r="AG8" s="26">
        <v>145694.59649110024</v>
      </c>
      <c r="AH8" s="26">
        <v>3975.9219471133833</v>
      </c>
      <c r="AI8" s="26">
        <v>4079.5749613822163</v>
      </c>
      <c r="AJ8" s="26">
        <v>24461.295464051051</v>
      </c>
      <c r="AK8" s="26">
        <v>3412.621796847021</v>
      </c>
      <c r="AL8" s="26">
        <v>11148.246801457428</v>
      </c>
      <c r="AM8" s="26">
        <v>5196.3799744637599</v>
      </c>
      <c r="AN8" s="26">
        <v>210998.27604952743</v>
      </c>
      <c r="AO8" s="26">
        <v>105970.00140818594</v>
      </c>
      <c r="AP8" s="26">
        <v>5761.3389419114919</v>
      </c>
      <c r="AQ8" s="26">
        <v>914.60733423054944</v>
      </c>
      <c r="AR8" s="26">
        <v>700.78994058949615</v>
      </c>
      <c r="AS8" s="26">
        <v>1526.7022961907624</v>
      </c>
      <c r="AT8" s="26">
        <v>154863.8982223428</v>
      </c>
      <c r="AU8" s="26">
        <v>4477219.297262894</v>
      </c>
      <c r="AV8" s="26">
        <v>969171.12137996824</v>
      </c>
      <c r="AW8" s="26">
        <v>5319010.797695783</v>
      </c>
      <c r="AX8" s="51">
        <v>1195108.5820810429</v>
      </c>
      <c r="AY8" s="26">
        <v>10118.554333247395</v>
      </c>
      <c r="AZ8" s="26">
        <v>3978.8755079823186</v>
      </c>
      <c r="BA8" s="26">
        <v>169268.14961775122</v>
      </c>
      <c r="BB8" s="26">
        <v>71581.108687230051</v>
      </c>
      <c r="BC8" s="26">
        <v>2725275.4748019022</v>
      </c>
      <c r="BD8" s="26">
        <v>23683.132422412353</v>
      </c>
      <c r="BE8" s="26">
        <v>31086.991931136501</v>
      </c>
      <c r="BF8" s="26">
        <v>19217.124906673082</v>
      </c>
      <c r="BG8" s="26">
        <v>128444.15780833531</v>
      </c>
      <c r="BH8" s="26">
        <v>103213.61666204875</v>
      </c>
      <c r="BI8" s="26">
        <v>155662.31920782686</v>
      </c>
      <c r="BJ8" s="26">
        <v>410674.42205667007</v>
      </c>
      <c r="BK8" s="26">
        <v>132961.70090559308</v>
      </c>
      <c r="BL8" s="26">
        <v>204704.12143473988</v>
      </c>
      <c r="BM8" s="26">
        <v>77034.320424898149</v>
      </c>
      <c r="BN8" s="26">
        <v>508233.44596843625</v>
      </c>
      <c r="BO8" s="26">
        <v>77669.055416393967</v>
      </c>
      <c r="BP8" s="26">
        <v>0</v>
      </c>
      <c r="BQ8" s="26">
        <v>243134.40482903412</v>
      </c>
      <c r="BR8" s="26">
        <v>537381.87079493143</v>
      </c>
      <c r="BS8" s="26">
        <v>92213.428004052854</v>
      </c>
      <c r="BT8" s="26">
        <v>487852.09553160286</v>
      </c>
      <c r="BU8" s="26">
        <v>530092.77616968378</v>
      </c>
      <c r="BV8" s="26">
        <v>2467093.3314037151</v>
      </c>
      <c r="BW8" s="26">
        <v>3972770.9437564551</v>
      </c>
      <c r="BX8"/>
      <c r="BY8"/>
      <c r="BZ8"/>
      <c r="CA8"/>
      <c r="CB8"/>
      <c r="CC8"/>
      <c r="CD8"/>
      <c r="CE8"/>
      <c r="CF8"/>
      <c r="CG8"/>
      <c r="CH8"/>
      <c r="CI8" s="2"/>
      <c r="CJ8" s="2"/>
    </row>
    <row r="9" spans="1:88" s="1" customFormat="1" x14ac:dyDescent="0.3">
      <c r="B9" s="20" t="s">
        <v>204</v>
      </c>
      <c r="C9" s="26">
        <v>1867868.0623887535</v>
      </c>
      <c r="D9" s="26">
        <v>1689641.425999905</v>
      </c>
      <c r="E9" s="26">
        <v>265522.99226508569</v>
      </c>
      <c r="F9" s="26">
        <v>89908.63333303362</v>
      </c>
      <c r="G9" s="26">
        <v>48913.618290568411</v>
      </c>
      <c r="H9" s="26">
        <v>34916.323183047964</v>
      </c>
      <c r="I9" s="26">
        <v>15558.429864548354</v>
      </c>
      <c r="J9" s="26">
        <v>665134.83312083897</v>
      </c>
      <c r="K9" s="26">
        <v>151463.44056220085</v>
      </c>
      <c r="L9" s="26">
        <v>1013967.4483980548</v>
      </c>
      <c r="M9" s="26">
        <v>176063.80944149551</v>
      </c>
      <c r="N9" s="26">
        <v>16804.550070645633</v>
      </c>
      <c r="O9" s="26">
        <v>383651.18865472183</v>
      </c>
      <c r="P9" s="26">
        <v>908828.39065360872</v>
      </c>
      <c r="Q9" s="26">
        <v>395734.06652854098</v>
      </c>
      <c r="R9" s="26">
        <v>234652.49725433037</v>
      </c>
      <c r="S9" s="26">
        <v>183417.0746648635</v>
      </c>
      <c r="T9" s="26">
        <v>145475.49371080034</v>
      </c>
      <c r="U9" s="26">
        <v>18250.114562636034</v>
      </c>
      <c r="V9" s="26">
        <v>2535.0303225333037</v>
      </c>
      <c r="W9" s="26">
        <v>252.45115245144945</v>
      </c>
      <c r="X9" s="26">
        <v>96983.838429234238</v>
      </c>
      <c r="Y9" s="26">
        <v>86161.835691313885</v>
      </c>
      <c r="Z9" s="26">
        <v>78785.330525437283</v>
      </c>
      <c r="AA9" s="26">
        <v>124186.52500951542</v>
      </c>
      <c r="AB9" s="26">
        <v>101601.20291924142</v>
      </c>
      <c r="AC9" s="26">
        <v>415585.59392630972</v>
      </c>
      <c r="AD9" s="26">
        <v>438906.21800760721</v>
      </c>
      <c r="AE9" s="26">
        <v>120085.9814956687</v>
      </c>
      <c r="AF9" s="26">
        <v>90683.395058735478</v>
      </c>
      <c r="AG9" s="26">
        <v>523788.40350889979</v>
      </c>
      <c r="AH9" s="26">
        <v>123257.0780528866</v>
      </c>
      <c r="AI9" s="26">
        <v>194252.42503861777</v>
      </c>
      <c r="AJ9" s="26">
        <v>353917.70453594893</v>
      </c>
      <c r="AK9" s="26">
        <v>157210.37820315297</v>
      </c>
      <c r="AL9" s="26">
        <v>293871.75319854257</v>
      </c>
      <c r="AM9" s="26">
        <v>76141.620025536235</v>
      </c>
      <c r="AN9" s="26">
        <v>533312.72395047254</v>
      </c>
      <c r="AO9" s="26">
        <v>426630.99859181407</v>
      </c>
      <c r="AP9" s="26">
        <v>96736.652637003412</v>
      </c>
      <c r="AQ9" s="26">
        <v>15356.855911928318</v>
      </c>
      <c r="AR9" s="26">
        <v>11766.721891876814</v>
      </c>
      <c r="AS9" s="26">
        <v>25634.331046269159</v>
      </c>
      <c r="AT9" s="26">
        <v>409041.10177765723</v>
      </c>
      <c r="AU9" s="26">
        <v>3140655.7027371065</v>
      </c>
      <c r="AV9" s="26">
        <v>1999677.8786200315</v>
      </c>
      <c r="AW9" s="26">
        <v>10974644.202304216</v>
      </c>
      <c r="AX9" s="51">
        <v>2881516.4179189568</v>
      </c>
      <c r="AY9" s="26">
        <v>42614.445666752603</v>
      </c>
      <c r="AZ9" s="26">
        <v>56550.124492017683</v>
      </c>
      <c r="BA9" s="26">
        <v>639207.85038224875</v>
      </c>
      <c r="BB9" s="26">
        <v>367029.89131276996</v>
      </c>
      <c r="BC9" s="26">
        <v>2896932.5251980983</v>
      </c>
      <c r="BD9" s="26">
        <v>112428.86757758765</v>
      </c>
      <c r="BE9" s="26">
        <v>135518.00806886351</v>
      </c>
      <c r="BF9" s="26">
        <v>232888.87509332693</v>
      </c>
      <c r="BG9" s="26">
        <v>623572.84219166473</v>
      </c>
      <c r="BH9" s="26">
        <v>1137929.3833379515</v>
      </c>
      <c r="BI9" s="26">
        <v>310746.68079217314</v>
      </c>
      <c r="BJ9" s="26">
        <v>1477068.5779433297</v>
      </c>
      <c r="BK9" s="26">
        <v>497590.29909440695</v>
      </c>
      <c r="BL9" s="26">
        <v>408304.87856526015</v>
      </c>
      <c r="BM9" s="26">
        <v>221420.67957510185</v>
      </c>
      <c r="BN9" s="26">
        <v>3670467.5540315639</v>
      </c>
      <c r="BO9" s="26">
        <v>704243.94458360609</v>
      </c>
      <c r="BP9" s="26">
        <v>4825230</v>
      </c>
      <c r="BQ9" s="26">
        <v>3958904.5951709659</v>
      </c>
      <c r="BR9" s="26">
        <v>2341285.1292050686</v>
      </c>
      <c r="BS9" s="26">
        <v>2126358.571995947</v>
      </c>
      <c r="BT9" s="26">
        <v>2940149.9044683971</v>
      </c>
      <c r="BU9" s="26">
        <v>592756.22383031622</v>
      </c>
      <c r="BV9" s="26">
        <v>2035714.6685962849</v>
      </c>
      <c r="BW9" s="26">
        <v>2590665.0562435444</v>
      </c>
      <c r="BX9"/>
      <c r="BY9"/>
      <c r="BZ9"/>
      <c r="CA9"/>
      <c r="CB9"/>
      <c r="CC9"/>
      <c r="CD9"/>
      <c r="CE9"/>
      <c r="CF9"/>
      <c r="CG9"/>
      <c r="CH9"/>
      <c r="CI9" s="2"/>
      <c r="CJ9" s="2"/>
    </row>
    <row r="10" spans="1:88" s="1" customFormat="1" x14ac:dyDescent="0.3">
      <c r="A10" s="1" t="s">
        <v>205</v>
      </c>
      <c r="B10" s="20" t="s">
        <v>206</v>
      </c>
      <c r="C10" s="26">
        <v>4260537.8836659603</v>
      </c>
      <c r="D10" s="26">
        <v>3638090.2637961912</v>
      </c>
      <c r="E10" s="26">
        <v>618614.5981234496</v>
      </c>
      <c r="F10" s="26">
        <v>63512.752352606105</v>
      </c>
      <c r="G10" s="26">
        <v>20343.230529267432</v>
      </c>
      <c r="H10" s="26">
        <v>22490.92082194837</v>
      </c>
      <c r="I10" s="26">
        <v>20380.025647112292</v>
      </c>
      <c r="J10" s="26">
        <v>401870.9426938711</v>
      </c>
      <c r="K10" s="26">
        <v>93020.131452623347</v>
      </c>
      <c r="L10" s="26">
        <v>652691.0497603626</v>
      </c>
      <c r="M10" s="26">
        <v>108929.53888297475</v>
      </c>
      <c r="N10" s="26">
        <v>3306.4803593793972</v>
      </c>
      <c r="O10" s="26">
        <v>297598.66996251361</v>
      </c>
      <c r="P10" s="26">
        <v>815466.21041849628</v>
      </c>
      <c r="Q10" s="26">
        <v>204141.65017485016</v>
      </c>
      <c r="R10" s="26">
        <v>179261.34423441271</v>
      </c>
      <c r="S10" s="26">
        <v>73331.547406325437</v>
      </c>
      <c r="T10" s="26">
        <v>80444.311655809855</v>
      </c>
      <c r="U10" s="26">
        <v>8393.5122075069157</v>
      </c>
      <c r="V10" s="26">
        <v>1165.8999665758881</v>
      </c>
      <c r="W10" s="26">
        <v>116.10622073784782</v>
      </c>
      <c r="X10" s="26">
        <v>56113.316779284236</v>
      </c>
      <c r="Y10" s="26">
        <v>38313.9903235327</v>
      </c>
      <c r="Z10" s="26">
        <v>38519.050334952095</v>
      </c>
      <c r="AA10" s="26">
        <v>56733.168323362188</v>
      </c>
      <c r="AB10" s="26">
        <v>32978.346641173601</v>
      </c>
      <c r="AC10" s="26">
        <v>192770.8408359976</v>
      </c>
      <c r="AD10" s="26">
        <v>299928.94019124465</v>
      </c>
      <c r="AE10" s="26">
        <v>63206.724287861354</v>
      </c>
      <c r="AF10" s="26">
        <v>42587.279854375956</v>
      </c>
      <c r="AG10" s="26">
        <v>303181.33131290914</v>
      </c>
      <c r="AH10" s="26">
        <v>48169.449029298004</v>
      </c>
      <c r="AI10" s="26">
        <v>74915.286412590678</v>
      </c>
      <c r="AJ10" s="26">
        <v>109574.68748990455</v>
      </c>
      <c r="AK10" s="26">
        <v>54447.413150623433</v>
      </c>
      <c r="AL10" s="26">
        <v>118903.71920986161</v>
      </c>
      <c r="AM10" s="26">
        <v>37504.770510111681</v>
      </c>
      <c r="AN10" s="26">
        <v>326683.13975467335</v>
      </c>
      <c r="AO10" s="26">
        <v>262544.59825303411</v>
      </c>
      <c r="AP10" s="26">
        <v>52368.752206878489</v>
      </c>
      <c r="AQ10" s="26">
        <v>8313.491939257814</v>
      </c>
      <c r="AR10" s="26">
        <v>6369.9593302574031</v>
      </c>
      <c r="AS10" s="26">
        <v>13877.241913554248</v>
      </c>
      <c r="AT10" s="26">
        <v>321254.64437017275</v>
      </c>
      <c r="AU10" s="26">
        <v>5084554.0396912396</v>
      </c>
      <c r="AV10" s="26">
        <v>1485352.1175326491</v>
      </c>
      <c r="AW10" s="26">
        <v>8151918.4561412307</v>
      </c>
      <c r="AX10" s="51">
        <v>2041337.869995075</v>
      </c>
      <c r="AY10" s="26">
        <v>36364.612681252198</v>
      </c>
      <c r="AZ10" s="26">
        <v>16776.135590703056</v>
      </c>
      <c r="BA10" s="26">
        <v>422933.0678045908</v>
      </c>
      <c r="BB10" s="26">
        <v>245015.18029786713</v>
      </c>
      <c r="BC10" s="26">
        <v>3269908.422827092</v>
      </c>
      <c r="BD10" s="26">
        <v>38540.11044709733</v>
      </c>
      <c r="BE10" s="26">
        <v>68287.662498719365</v>
      </c>
      <c r="BF10" s="26">
        <v>114997.89526338792</v>
      </c>
      <c r="BG10" s="26">
        <v>200090.79210390855</v>
      </c>
      <c r="BH10" s="26">
        <v>371884.24876323697</v>
      </c>
      <c r="BI10" s="26">
        <v>187559.20664127593</v>
      </c>
      <c r="BJ10" s="26">
        <v>627776.27622076799</v>
      </c>
      <c r="BK10" s="26">
        <v>257203.26075950306</v>
      </c>
      <c r="BL10" s="26">
        <v>198872.39878904246</v>
      </c>
      <c r="BM10" s="26">
        <v>135746.5826495644</v>
      </c>
      <c r="BN10" s="26">
        <v>2444464.6837042123</v>
      </c>
      <c r="BO10" s="26">
        <v>490403.04314180586</v>
      </c>
      <c r="BP10" s="26">
        <v>2556155.3628712716</v>
      </c>
      <c r="BQ10" s="26">
        <v>1993239.5984417321</v>
      </c>
      <c r="BR10" s="26">
        <v>1225779.4164746194</v>
      </c>
      <c r="BS10" s="26">
        <v>927938.15445988229</v>
      </c>
      <c r="BT10" s="26">
        <v>1382121.9750553602</v>
      </c>
      <c r="BU10" s="26">
        <v>550288.31343148451</v>
      </c>
      <c r="BV10" s="26">
        <v>2453856.2029507034</v>
      </c>
      <c r="BW10" s="26">
        <v>4322352.674855859</v>
      </c>
      <c r="BX10"/>
      <c r="BY10"/>
      <c r="BZ10"/>
      <c r="CA10"/>
      <c r="CB10"/>
      <c r="CC10"/>
      <c r="CD10"/>
      <c r="CE10"/>
      <c r="CF10"/>
      <c r="CG10"/>
      <c r="CH10"/>
      <c r="CI10" s="2"/>
      <c r="CJ10" s="2"/>
    </row>
    <row r="11" spans="1:88" s="1" customFormat="1" x14ac:dyDescent="0.3">
      <c r="B11" s="20" t="s">
        <v>207</v>
      </c>
      <c r="C11" s="26">
        <v>2427061.1163340397</v>
      </c>
      <c r="D11" s="26">
        <v>2253235.7362038093</v>
      </c>
      <c r="E11" s="26">
        <v>182481.40187655046</v>
      </c>
      <c r="F11" s="26">
        <v>54763.24764739388</v>
      </c>
      <c r="G11" s="26">
        <v>29800.769470732572</v>
      </c>
      <c r="H11" s="26">
        <v>12949.079178051634</v>
      </c>
      <c r="I11" s="26">
        <v>8568.9743528877098</v>
      </c>
      <c r="J11" s="26">
        <v>363331.05730612896</v>
      </c>
      <c r="K11" s="26">
        <v>63421.868547376653</v>
      </c>
      <c r="L11" s="26">
        <v>632442.9502396374</v>
      </c>
      <c r="M11" s="26">
        <v>82026.461117025261</v>
      </c>
      <c r="N11" s="26">
        <v>14477.519640620603</v>
      </c>
      <c r="O11" s="26">
        <v>334558.33003748645</v>
      </c>
      <c r="P11" s="26">
        <v>861119.7895815036</v>
      </c>
      <c r="Q11" s="26">
        <v>264393.34982514987</v>
      </c>
      <c r="R11" s="26">
        <v>197135.65576558732</v>
      </c>
      <c r="S11" s="26">
        <v>128445.45259367456</v>
      </c>
      <c r="T11" s="26">
        <v>100148.68834419014</v>
      </c>
      <c r="U11" s="26">
        <v>10449.455292493087</v>
      </c>
      <c r="V11" s="26">
        <v>1451.4805334241109</v>
      </c>
      <c r="W11" s="26">
        <v>144.54577926215219</v>
      </c>
      <c r="X11" s="26">
        <v>42141.683220715771</v>
      </c>
      <c r="Y11" s="26">
        <v>53971.0096764673</v>
      </c>
      <c r="Z11" s="26">
        <v>46791.949665047905</v>
      </c>
      <c r="AA11" s="26">
        <v>80720.831676637798</v>
      </c>
      <c r="AB11" s="26">
        <v>71135.653358826399</v>
      </c>
      <c r="AC11" s="26">
        <v>251856.1591640024</v>
      </c>
      <c r="AD11" s="26">
        <v>263616.05980875529</v>
      </c>
      <c r="AE11" s="26">
        <v>59603.275712138653</v>
      </c>
      <c r="AF11" s="26">
        <v>57620.720145624036</v>
      </c>
      <c r="AG11" s="26">
        <v>366301.66868709086</v>
      </c>
      <c r="AH11" s="26">
        <v>79063.550970701996</v>
      </c>
      <c r="AI11" s="26">
        <v>123416.71358740932</v>
      </c>
      <c r="AJ11" s="26">
        <v>268804.31251009548</v>
      </c>
      <c r="AK11" s="26">
        <v>106175.58684937657</v>
      </c>
      <c r="AL11" s="26">
        <v>186116.28079013841</v>
      </c>
      <c r="AM11" s="26">
        <v>43833.229489888319</v>
      </c>
      <c r="AN11" s="26">
        <v>417627.86024532671</v>
      </c>
      <c r="AO11" s="26">
        <v>270056.40174696589</v>
      </c>
      <c r="AP11" s="26">
        <v>50129.23937203642</v>
      </c>
      <c r="AQ11" s="26">
        <v>7957.9713069010531</v>
      </c>
      <c r="AR11" s="26">
        <v>6097.5525022089068</v>
      </c>
      <c r="AS11" s="26">
        <v>13283.791428905675</v>
      </c>
      <c r="AT11" s="26">
        <v>242650.35562982725</v>
      </c>
      <c r="AU11" s="26">
        <v>2533320.9603087604</v>
      </c>
      <c r="AV11" s="26">
        <v>1483496.8824673512</v>
      </c>
      <c r="AW11" s="26">
        <v>8141736.5438587703</v>
      </c>
      <c r="AX11" s="51">
        <v>2035287.1300049252</v>
      </c>
      <c r="AY11" s="26">
        <v>16368.387318747802</v>
      </c>
      <c r="AZ11" s="26">
        <v>43752.864409296941</v>
      </c>
      <c r="BA11" s="26">
        <v>385542.93219540908</v>
      </c>
      <c r="BB11" s="26">
        <v>193595.81970213287</v>
      </c>
      <c r="BC11" s="26">
        <v>2352299.5771729085</v>
      </c>
      <c r="BD11" s="26">
        <v>97571.889552902663</v>
      </c>
      <c r="BE11" s="26">
        <v>98317.337501280621</v>
      </c>
      <c r="BF11" s="26">
        <v>137108.10473661206</v>
      </c>
      <c r="BG11" s="26">
        <v>551926.20789609139</v>
      </c>
      <c r="BH11" s="26">
        <v>869258.75123676308</v>
      </c>
      <c r="BI11" s="26">
        <v>278849.7933587241</v>
      </c>
      <c r="BJ11" s="26">
        <v>1259966.7237792318</v>
      </c>
      <c r="BK11" s="26">
        <v>373348.73924049689</v>
      </c>
      <c r="BL11" s="26">
        <v>414136.60121095757</v>
      </c>
      <c r="BM11" s="26">
        <v>162708.41735043557</v>
      </c>
      <c r="BN11" s="26">
        <v>1734236.3162957875</v>
      </c>
      <c r="BO11" s="26">
        <v>291509.95685819414</v>
      </c>
      <c r="BP11" s="26">
        <v>2269074.637128728</v>
      </c>
      <c r="BQ11" s="26">
        <v>2208799.4015582679</v>
      </c>
      <c r="BR11" s="26">
        <v>1652887.5835253804</v>
      </c>
      <c r="BS11" s="26">
        <v>1290633.8455401177</v>
      </c>
      <c r="BT11" s="26">
        <v>2045880.0249446395</v>
      </c>
      <c r="BU11" s="26">
        <v>572560.68656851549</v>
      </c>
      <c r="BV11" s="26">
        <v>2048951.7970492961</v>
      </c>
      <c r="BW11" s="26">
        <v>2241083.3251441405</v>
      </c>
      <c r="BX11"/>
      <c r="BY11"/>
      <c r="BZ11"/>
      <c r="CA11"/>
      <c r="CB11"/>
      <c r="CC11"/>
      <c r="CD11"/>
      <c r="CE11"/>
      <c r="CF11"/>
      <c r="CG11"/>
      <c r="CH11"/>
      <c r="CI11" s="2"/>
      <c r="CJ11" s="2"/>
    </row>
    <row r="12" spans="1:88" s="1" customFormat="1" x14ac:dyDescent="0.3">
      <c r="A12" s="1" t="s">
        <v>208</v>
      </c>
      <c r="B12" s="20" t="s">
        <v>209</v>
      </c>
      <c r="C12" s="26">
        <v>5225173.9090617765</v>
      </c>
      <c r="D12" s="26">
        <v>4881843.7329506846</v>
      </c>
      <c r="E12" s="26">
        <v>629302.15356152283</v>
      </c>
      <c r="F12" s="26">
        <v>110490.07103584445</v>
      </c>
      <c r="G12" s="26">
        <v>39893.131379171013</v>
      </c>
      <c r="H12" s="26">
        <v>30326.399823208099</v>
      </c>
      <c r="I12" s="26">
        <v>28155.337687912397</v>
      </c>
      <c r="J12" s="26">
        <v>493848.50519341254</v>
      </c>
      <c r="K12" s="26">
        <v>143212.98643928627</v>
      </c>
      <c r="L12" s="26">
        <v>794611.37410744152</v>
      </c>
      <c r="M12" s="26">
        <v>164437.67873636144</v>
      </c>
      <c r="N12" s="26">
        <v>11435.573879551404</v>
      </c>
      <c r="O12" s="26">
        <v>242781.04010687189</v>
      </c>
      <c r="P12" s="26">
        <v>336503.07320593699</v>
      </c>
      <c r="Q12" s="26">
        <v>249950.70272940423</v>
      </c>
      <c r="R12" s="26">
        <v>291177.92195804848</v>
      </c>
      <c r="S12" s="26">
        <v>141817.0782740865</v>
      </c>
      <c r="T12" s="26">
        <v>133948.94602451721</v>
      </c>
      <c r="U12" s="26">
        <v>17315.855788417517</v>
      </c>
      <c r="V12" s="26">
        <v>2405.2572017340744</v>
      </c>
      <c r="W12" s="26">
        <v>239.52768813949299</v>
      </c>
      <c r="X12" s="26">
        <v>86619.624521170132</v>
      </c>
      <c r="Y12" s="26">
        <v>69633.26573733156</v>
      </c>
      <c r="Z12" s="26">
        <v>62327.073486177491</v>
      </c>
      <c r="AA12" s="26">
        <v>81927.88545463809</v>
      </c>
      <c r="AB12" s="26">
        <v>49831.571924657605</v>
      </c>
      <c r="AC12" s="26">
        <v>320819.83689123596</v>
      </c>
      <c r="AD12" s="26">
        <v>474933.88709130185</v>
      </c>
      <c r="AE12" s="26">
        <v>113428.17024005186</v>
      </c>
      <c r="AF12" s="26">
        <v>86819.501152817058</v>
      </c>
      <c r="AG12" s="26">
        <v>586017.03951866541</v>
      </c>
      <c r="AH12" s="26">
        <v>73577.54919852734</v>
      </c>
      <c r="AI12" s="26">
        <v>134347.98853837</v>
      </c>
      <c r="AJ12" s="26">
        <v>318607.68712020281</v>
      </c>
      <c r="AK12" s="26">
        <v>142828.63526323059</v>
      </c>
      <c r="AL12" s="26">
        <v>234080.28610797302</v>
      </c>
      <c r="AM12" s="26">
        <v>71492.319400340639</v>
      </c>
      <c r="AN12" s="26">
        <v>573329.10147490061</v>
      </c>
      <c r="AO12" s="26">
        <v>492681.63571760932</v>
      </c>
      <c r="AP12" s="26">
        <v>84266.891872890541</v>
      </c>
      <c r="AQ12" s="26">
        <v>13377.292694775526</v>
      </c>
      <c r="AR12" s="26">
        <v>10249.942026440087</v>
      </c>
      <c r="AS12" s="26">
        <v>22329.958124719724</v>
      </c>
      <c r="AT12" s="26">
        <v>435792.93063845264</v>
      </c>
      <c r="AU12" s="26">
        <v>7353781.365480572</v>
      </c>
      <c r="AV12" s="26">
        <v>1699440.8450355784</v>
      </c>
      <c r="AW12" s="26">
        <v>9326881.5025345441</v>
      </c>
      <c r="AX12" s="51">
        <v>3638673.109871625</v>
      </c>
      <c r="AY12" s="26">
        <v>44888.123474031701</v>
      </c>
      <c r="AZ12" s="26">
        <v>44979.508107342139</v>
      </c>
      <c r="BA12" s="26">
        <v>665738.20845625468</v>
      </c>
      <c r="BB12" s="26">
        <v>179445.39321244651</v>
      </c>
      <c r="BC12" s="26">
        <v>2432013.0596414451</v>
      </c>
      <c r="BD12" s="26">
        <v>72846.16661464241</v>
      </c>
      <c r="BE12" s="26">
        <v>113962.45306304688</v>
      </c>
      <c r="BF12" s="26">
        <v>169169.90141798291</v>
      </c>
      <c r="BG12" s="26">
        <v>591830.51306093624</v>
      </c>
      <c r="BH12" s="26">
        <v>614900.65497280483</v>
      </c>
      <c r="BI12" s="26">
        <v>285368.08207514085</v>
      </c>
      <c r="BJ12" s="26">
        <v>913933.74204046116</v>
      </c>
      <c r="BK12" s="26">
        <v>471300.90852496232</v>
      </c>
      <c r="BL12" s="26">
        <v>324672.21680159622</v>
      </c>
      <c r="BM12" s="26">
        <v>188715.47069093862</v>
      </c>
      <c r="BN12" s="26">
        <v>2113466.7726793522</v>
      </c>
      <c r="BO12" s="26">
        <v>698335.94362402172</v>
      </c>
      <c r="BP12" s="26">
        <v>2873802.2058312073</v>
      </c>
      <c r="BQ12" s="26">
        <v>910455.71979586012</v>
      </c>
      <c r="BR12" s="26">
        <v>880283.14721434168</v>
      </c>
      <c r="BS12" s="26">
        <v>570473.27095096197</v>
      </c>
      <c r="BT12" s="26">
        <v>830995.5075111019</v>
      </c>
      <c r="BU12" s="26">
        <v>704890.52428974595</v>
      </c>
      <c r="BV12" s="26">
        <v>1637156.9886173785</v>
      </c>
      <c r="BW12" s="26">
        <v>456561.48112262244</v>
      </c>
      <c r="BX12"/>
      <c r="BY12"/>
      <c r="BZ12"/>
      <c r="CA12"/>
      <c r="CB12"/>
      <c r="CC12"/>
      <c r="CD12"/>
      <c r="CE12"/>
      <c r="CF12"/>
      <c r="CG12"/>
      <c r="CH12"/>
      <c r="CI12" s="2"/>
      <c r="CJ12" s="2"/>
    </row>
    <row r="13" spans="1:88" s="1" customFormat="1" x14ac:dyDescent="0.3">
      <c r="B13" s="20" t="s">
        <v>210</v>
      </c>
      <c r="C13" s="26">
        <v>1462425.0909382235</v>
      </c>
      <c r="D13" s="26">
        <v>1009482.2670493155</v>
      </c>
      <c r="E13" s="26">
        <v>171793.84643847714</v>
      </c>
      <c r="F13" s="26">
        <v>7785.9289641555579</v>
      </c>
      <c r="G13" s="26">
        <v>10250.868620828984</v>
      </c>
      <c r="H13" s="26">
        <v>5113.6001767918951</v>
      </c>
      <c r="I13" s="26">
        <v>793.66231208760439</v>
      </c>
      <c r="J13" s="26">
        <v>271353.49480658746</v>
      </c>
      <c r="K13" s="26">
        <v>13229.013560713747</v>
      </c>
      <c r="L13" s="26">
        <v>490522.62589255837</v>
      </c>
      <c r="M13" s="26">
        <v>26518.321263638572</v>
      </c>
      <c r="N13" s="26">
        <v>6348.4261204485965</v>
      </c>
      <c r="O13" s="26">
        <v>389375.95989312819</v>
      </c>
      <c r="P13" s="26">
        <v>1340082.9267940631</v>
      </c>
      <c r="Q13" s="26">
        <v>218584.29727059577</v>
      </c>
      <c r="R13" s="26">
        <v>85219.078041951521</v>
      </c>
      <c r="S13" s="26">
        <v>59959.921725913511</v>
      </c>
      <c r="T13" s="26">
        <v>46644.053975482813</v>
      </c>
      <c r="U13" s="26">
        <v>1527.1117115824866</v>
      </c>
      <c r="V13" s="26">
        <v>212.12329826592452</v>
      </c>
      <c r="W13" s="26">
        <v>21.124311860507014</v>
      </c>
      <c r="X13" s="26">
        <v>11635.375478829879</v>
      </c>
      <c r="Y13" s="26">
        <v>22651.734262668433</v>
      </c>
      <c r="Z13" s="26">
        <v>22983.926513822502</v>
      </c>
      <c r="AA13" s="26">
        <v>55526.114545361925</v>
      </c>
      <c r="AB13" s="26">
        <v>54282.428075342395</v>
      </c>
      <c r="AC13" s="26">
        <v>123807.163108764</v>
      </c>
      <c r="AD13" s="26">
        <v>88611.112908698138</v>
      </c>
      <c r="AE13" s="26">
        <v>9381.8297599481539</v>
      </c>
      <c r="AF13" s="26">
        <v>13388.498847182938</v>
      </c>
      <c r="AG13" s="26">
        <v>83465.960481334536</v>
      </c>
      <c r="AH13" s="26">
        <v>53655.450801472667</v>
      </c>
      <c r="AI13" s="26">
        <v>63984.011461630005</v>
      </c>
      <c r="AJ13" s="26">
        <v>59771.312879797209</v>
      </c>
      <c r="AK13" s="26">
        <v>17794.364736769403</v>
      </c>
      <c r="AL13" s="26">
        <v>70939.713892026979</v>
      </c>
      <c r="AM13" s="26">
        <v>9845.6805996593612</v>
      </c>
      <c r="AN13" s="26">
        <v>170981.89852509936</v>
      </c>
      <c r="AO13" s="26">
        <v>39919.36428239067</v>
      </c>
      <c r="AP13" s="26">
        <v>18231.099706024357</v>
      </c>
      <c r="AQ13" s="26">
        <v>2894.1705513833394</v>
      </c>
      <c r="AR13" s="26">
        <v>2217.5698060262225</v>
      </c>
      <c r="AS13" s="26">
        <v>4831.0752177401928</v>
      </c>
      <c r="AT13" s="26">
        <v>128112.06936154739</v>
      </c>
      <c r="AU13" s="26">
        <v>264093.63451942714</v>
      </c>
      <c r="AV13" s="26">
        <v>1269408.1549644216</v>
      </c>
      <c r="AW13" s="26">
        <v>6966773.4974654568</v>
      </c>
      <c r="AX13" s="51">
        <v>437951.8901283748</v>
      </c>
      <c r="AY13" s="26">
        <v>7844.8765259682987</v>
      </c>
      <c r="AZ13" s="26">
        <v>15549.491892657859</v>
      </c>
      <c r="BA13" s="26">
        <v>142737.79154374535</v>
      </c>
      <c r="BB13" s="26">
        <v>259165.60678755349</v>
      </c>
      <c r="BC13" s="26">
        <v>3190194.9403585559</v>
      </c>
      <c r="BD13" s="26">
        <v>63265.833385357582</v>
      </c>
      <c r="BE13" s="26">
        <v>52642.546936953113</v>
      </c>
      <c r="BF13" s="26">
        <v>82936.098582017075</v>
      </c>
      <c r="BG13" s="26">
        <v>160186.4869390637</v>
      </c>
      <c r="BH13" s="26">
        <v>626242.34502719517</v>
      </c>
      <c r="BI13" s="26">
        <v>181040.91792485912</v>
      </c>
      <c r="BJ13" s="26">
        <v>973809.25795953884</v>
      </c>
      <c r="BK13" s="26">
        <v>159251.09147503763</v>
      </c>
      <c r="BL13" s="26">
        <v>288336.78319840383</v>
      </c>
      <c r="BM13" s="26">
        <v>109739.5293090614</v>
      </c>
      <c r="BN13" s="26">
        <v>2065234.2273206478</v>
      </c>
      <c r="BO13" s="26">
        <v>83577.056375978296</v>
      </c>
      <c r="BP13" s="26">
        <v>1951427.7941687922</v>
      </c>
      <c r="BQ13" s="26">
        <v>3291583.2802041396</v>
      </c>
      <c r="BR13" s="26">
        <v>1998383.8527856586</v>
      </c>
      <c r="BS13" s="26">
        <v>1648098.7290490381</v>
      </c>
      <c r="BT13" s="26">
        <v>2597006.4924888979</v>
      </c>
      <c r="BU13" s="26">
        <v>417958.47571025405</v>
      </c>
      <c r="BV13" s="26">
        <v>2865651.0113826217</v>
      </c>
      <c r="BW13" s="26">
        <v>6106874.5188773768</v>
      </c>
      <c r="BX13"/>
      <c r="BY13"/>
      <c r="BZ13"/>
      <c r="CA13"/>
      <c r="CB13"/>
      <c r="CC13"/>
      <c r="CD13"/>
      <c r="CE13"/>
      <c r="CF13"/>
      <c r="CG13"/>
      <c r="CH13"/>
      <c r="CI13" s="2"/>
      <c r="CJ13" s="2"/>
    </row>
    <row r="14" spans="1:88" s="1" customFormat="1" x14ac:dyDescent="0.3">
      <c r="A14" s="1" t="s">
        <v>211</v>
      </c>
      <c r="B14" s="20" t="s">
        <v>212</v>
      </c>
      <c r="C14" s="26">
        <v>6580516.4917478813</v>
      </c>
      <c r="D14" s="26">
        <v>5763771.693477395</v>
      </c>
      <c r="E14" s="26">
        <v>793277.86467511987</v>
      </c>
      <c r="F14" s="26">
        <v>107471.75543790041</v>
      </c>
      <c r="G14" s="26">
        <v>26048.992176666143</v>
      </c>
      <c r="H14" s="26">
        <v>27698.831795160066</v>
      </c>
      <c r="I14" s="26">
        <v>25968.207222747988</v>
      </c>
      <c r="J14" s="26">
        <v>719951.4305503167</v>
      </c>
      <c r="K14" s="26">
        <v>146951.32949982857</v>
      </c>
      <c r="L14" s="26">
        <v>1139971.550715717</v>
      </c>
      <c r="M14" s="26">
        <v>164667.02746432004</v>
      </c>
      <c r="N14" s="26">
        <v>11375.430053048512</v>
      </c>
      <c r="O14" s="26">
        <v>578344.60795245506</v>
      </c>
      <c r="P14" s="26">
        <v>1595689.8897298463</v>
      </c>
      <c r="Q14" s="26">
        <v>450182.04197727435</v>
      </c>
      <c r="R14" s="26">
        <v>352989.68314324535</v>
      </c>
      <c r="S14" s="26">
        <v>180014.58949672632</v>
      </c>
      <c r="T14" s="26">
        <v>154484.46751648915</v>
      </c>
      <c r="U14" s="26">
        <v>12999.332755296247</v>
      </c>
      <c r="V14" s="26">
        <v>1805.6710052025326</v>
      </c>
      <c r="W14" s="26">
        <v>179.81785943925641</v>
      </c>
      <c r="X14" s="26">
        <v>91333.091528469726</v>
      </c>
      <c r="Y14" s="26">
        <v>67672.449789457605</v>
      </c>
      <c r="Z14" s="26">
        <v>71640.41192342565</v>
      </c>
      <c r="AA14" s="26">
        <v>99077.863852496288</v>
      </c>
      <c r="AB14" s="26">
        <v>53189.313126836576</v>
      </c>
      <c r="AC14" s="26">
        <v>393825.92122746486</v>
      </c>
      <c r="AD14" s="26">
        <v>527889.19572627638</v>
      </c>
      <c r="AE14" s="26">
        <v>102236.24782143357</v>
      </c>
      <c r="AF14" s="26">
        <v>80955.243904997929</v>
      </c>
      <c r="AG14" s="26">
        <v>610677.9858457162</v>
      </c>
      <c r="AH14" s="26">
        <v>92063.060451947676</v>
      </c>
      <c r="AI14" s="26">
        <v>164253.47057841191</v>
      </c>
      <c r="AJ14" s="26">
        <v>313260.95084637625</v>
      </c>
      <c r="AK14" s="26">
        <v>115029.86984188831</v>
      </c>
      <c r="AL14" s="26">
        <v>260832.00286548553</v>
      </c>
      <c r="AM14" s="26">
        <v>67823.62976174611</v>
      </c>
      <c r="AN14" s="26">
        <v>687261.83527609729</v>
      </c>
      <c r="AO14" s="26">
        <v>490028.36982137227</v>
      </c>
      <c r="AP14" s="26">
        <v>73260.633347426672</v>
      </c>
      <c r="AQ14" s="26">
        <v>11630.059131306869</v>
      </c>
      <c r="AR14" s="26">
        <v>8911.1776635134684</v>
      </c>
      <c r="AS14" s="26">
        <v>19413.399954351113</v>
      </c>
      <c r="AT14" s="26">
        <v>513127.7116670651</v>
      </c>
      <c r="AU14" s="26">
        <v>7346265.0770060588</v>
      </c>
      <c r="AV14" s="26">
        <v>2692947.1066698385</v>
      </c>
      <c r="AW14" s="26">
        <v>14779448.563846309</v>
      </c>
      <c r="AX14" s="51">
        <v>3885442.320433463</v>
      </c>
      <c r="AY14" s="26">
        <v>45086.843822401628</v>
      </c>
      <c r="AZ14" s="26">
        <v>37928.305317579216</v>
      </c>
      <c r="BA14" s="26">
        <v>686857.520760271</v>
      </c>
      <c r="BB14" s="26">
        <v>404893.04923764977</v>
      </c>
      <c r="BC14" s="26">
        <v>5347292.9423883995</v>
      </c>
      <c r="BD14" s="26">
        <v>73939.123099027827</v>
      </c>
      <c r="BE14" s="26">
        <v>109559.46549068645</v>
      </c>
      <c r="BF14" s="26">
        <v>191648.34483263353</v>
      </c>
      <c r="BG14" s="26">
        <v>317779.97989126085</v>
      </c>
      <c r="BH14" s="26">
        <v>559386.71197531593</v>
      </c>
      <c r="BI14" s="26">
        <v>345178.60135147435</v>
      </c>
      <c r="BJ14" s="26">
        <v>787059.55728970631</v>
      </c>
      <c r="BK14" s="26">
        <v>358464.18085266469</v>
      </c>
      <c r="BL14" s="26">
        <v>334658.15758262499</v>
      </c>
      <c r="BM14" s="26">
        <v>247393.65832087974</v>
      </c>
      <c r="BN14" s="26">
        <v>3807119.0940968813</v>
      </c>
      <c r="BO14" s="26">
        <v>748794.49006135168</v>
      </c>
      <c r="BP14" s="26">
        <v>3080169.7414881992</v>
      </c>
      <c r="BQ14" s="26">
        <v>1448799.3710618368</v>
      </c>
      <c r="BR14" s="26">
        <v>1473627.0570462928</v>
      </c>
      <c r="BS14" s="26">
        <v>1329992.1017457068</v>
      </c>
      <c r="BT14" s="26">
        <v>2115016.0410282905</v>
      </c>
      <c r="BU14" s="26">
        <v>845510.71315330686</v>
      </c>
      <c r="BV14" s="26">
        <v>4094226.0544836223</v>
      </c>
      <c r="BW14" s="26">
        <v>6527579.2268099608</v>
      </c>
      <c r="BX14"/>
      <c r="BY14"/>
      <c r="BZ14"/>
      <c r="CA14"/>
      <c r="CB14"/>
      <c r="CC14"/>
      <c r="CD14"/>
      <c r="CE14"/>
      <c r="CF14"/>
      <c r="CG14"/>
      <c r="CH14"/>
      <c r="CI14" s="2"/>
      <c r="CJ14" s="2"/>
    </row>
    <row r="15" spans="1:88" s="1" customFormat="1" x14ac:dyDescent="0.3">
      <c r="B15" s="20" t="s">
        <v>213</v>
      </c>
      <c r="C15" s="26">
        <v>107082.5082521187</v>
      </c>
      <c r="D15" s="26">
        <v>127554.3065226044</v>
      </c>
      <c r="E15" s="26">
        <v>7818.1353248801133</v>
      </c>
      <c r="F15" s="26">
        <v>10804.244562099604</v>
      </c>
      <c r="G15" s="26">
        <v>24095.007823333854</v>
      </c>
      <c r="H15" s="26">
        <v>7741.168204839938</v>
      </c>
      <c r="I15" s="26">
        <v>2980.792777252012</v>
      </c>
      <c r="J15" s="26">
        <v>45250.569449683215</v>
      </c>
      <c r="K15" s="26">
        <v>9490.670500171429</v>
      </c>
      <c r="L15" s="26">
        <v>145162.44928428286</v>
      </c>
      <c r="M15" s="26">
        <v>26288.972535679939</v>
      </c>
      <c r="N15" s="26">
        <v>6408.5699469514857</v>
      </c>
      <c r="O15" s="26">
        <v>53812.392047544919</v>
      </c>
      <c r="P15" s="26">
        <v>80896.110270153615</v>
      </c>
      <c r="Q15" s="26">
        <v>18352.958022725652</v>
      </c>
      <c r="R15" s="26">
        <v>23407.31685675466</v>
      </c>
      <c r="S15" s="26">
        <v>21762.410503273684</v>
      </c>
      <c r="T15" s="26">
        <v>26108.532483510848</v>
      </c>
      <c r="U15" s="26">
        <v>5843.6347447037551</v>
      </c>
      <c r="V15" s="26">
        <v>811.70949479746639</v>
      </c>
      <c r="W15" s="26">
        <v>80.834140560743577</v>
      </c>
      <c r="X15" s="26">
        <v>6921.9084715302743</v>
      </c>
      <c r="Y15" s="26">
        <v>24612.550210542391</v>
      </c>
      <c r="Z15" s="26">
        <v>13670.588076574348</v>
      </c>
      <c r="AA15" s="26">
        <v>38376.136147503719</v>
      </c>
      <c r="AB15" s="26">
        <v>50924.686873163424</v>
      </c>
      <c r="AC15" s="26">
        <v>50801.078772535126</v>
      </c>
      <c r="AD15" s="26">
        <v>35655.804273723617</v>
      </c>
      <c r="AE15" s="26">
        <v>20573.752178566432</v>
      </c>
      <c r="AF15" s="26">
        <v>19252.756095002071</v>
      </c>
      <c r="AG15" s="26">
        <v>58805.01415428389</v>
      </c>
      <c r="AH15" s="26">
        <v>35169.939548052331</v>
      </c>
      <c r="AI15" s="26">
        <v>34078.529421588093</v>
      </c>
      <c r="AJ15" s="26">
        <v>65118.049153623724</v>
      </c>
      <c r="AK15" s="26">
        <v>45593.130158111679</v>
      </c>
      <c r="AL15" s="26">
        <v>44187.997134514473</v>
      </c>
      <c r="AM15" s="26">
        <v>13514.370238253889</v>
      </c>
      <c r="AN15" s="26">
        <v>57049.164723902635</v>
      </c>
      <c r="AO15" s="26">
        <v>42572.630178627733</v>
      </c>
      <c r="AP15" s="26">
        <v>29237.358231488215</v>
      </c>
      <c r="AQ15" s="26">
        <v>4641.4041148519964</v>
      </c>
      <c r="AR15" s="26">
        <v>3556.3341689528406</v>
      </c>
      <c r="AS15" s="26">
        <v>7747.6333881088067</v>
      </c>
      <c r="AT15" s="26">
        <v>50777.288332934855</v>
      </c>
      <c r="AU15" s="26">
        <v>271609.92299394112</v>
      </c>
      <c r="AV15" s="26">
        <v>275901.89333016094</v>
      </c>
      <c r="AW15" s="26">
        <v>1514206.4361536889</v>
      </c>
      <c r="AX15" s="51">
        <v>191182.67956653686</v>
      </c>
      <c r="AY15" s="26">
        <v>7646.1561775983682</v>
      </c>
      <c r="AZ15" s="26">
        <v>22600.694682420792</v>
      </c>
      <c r="BA15" s="26">
        <v>121618.479239729</v>
      </c>
      <c r="BB15" s="26">
        <v>33717.95076235025</v>
      </c>
      <c r="BC15" s="26">
        <v>274915.05761160015</v>
      </c>
      <c r="BD15" s="26">
        <v>62172.876900972173</v>
      </c>
      <c r="BE15" s="26">
        <v>57045.53450931354</v>
      </c>
      <c r="BF15" s="26">
        <v>60457.655167366443</v>
      </c>
      <c r="BG15" s="26">
        <v>434237.02010873915</v>
      </c>
      <c r="BH15" s="26">
        <v>681756.28802468395</v>
      </c>
      <c r="BI15" s="26">
        <v>121230.39864852569</v>
      </c>
      <c r="BJ15" s="26">
        <v>1100683.4427102937</v>
      </c>
      <c r="BK15" s="26">
        <v>272087.81914733525</v>
      </c>
      <c r="BL15" s="26">
        <v>278350.84241737495</v>
      </c>
      <c r="BM15" s="26">
        <v>51061.341679120291</v>
      </c>
      <c r="BN15" s="26">
        <v>371581.9059031186</v>
      </c>
      <c r="BO15" s="26">
        <v>33118.509938648342</v>
      </c>
      <c r="BP15" s="26">
        <v>1745060.2585118006</v>
      </c>
      <c r="BQ15" s="26">
        <v>2753239.6289381632</v>
      </c>
      <c r="BR15" s="26">
        <v>1405039.9429537067</v>
      </c>
      <c r="BS15" s="26">
        <v>888579.89825429337</v>
      </c>
      <c r="BT15" s="26">
        <v>1312985.9589717097</v>
      </c>
      <c r="BU15" s="26">
        <v>277338.28684669296</v>
      </c>
      <c r="BV15" s="26">
        <v>408581.94551637798</v>
      </c>
      <c r="BW15" s="26">
        <v>35856.773190038723</v>
      </c>
      <c r="BX15"/>
      <c r="BY15"/>
      <c r="BZ15"/>
      <c r="CA15"/>
      <c r="CB15"/>
      <c r="CC15"/>
      <c r="CD15"/>
      <c r="CE15"/>
      <c r="CF15"/>
      <c r="CG15"/>
      <c r="CH15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B8527-D689-423F-8450-2D42F7EC57D7}">
  <sheetPr codeName="Planilha8"/>
  <dimension ref="A1:CU107"/>
  <sheetViews>
    <sheetView showGridLines="0" zoomScaleNormal="100" workbookViewId="0">
      <pane xSplit="2" ySplit="4" topLeftCell="BU5" activePane="bottomRight" state="frozen"/>
      <selection pane="topRight" activeCell="C1" sqref="C1"/>
      <selection pane="bottomLeft" activeCell="A7" sqref="A7"/>
      <selection pane="bottomRight" activeCell="CF6" sqref="CF6"/>
    </sheetView>
  </sheetViews>
  <sheetFormatPr defaultRowHeight="14.4" x14ac:dyDescent="0.3"/>
  <cols>
    <col min="1" max="1" width="9.44140625" style="33" customWidth="1"/>
    <col min="2" max="2" width="32.77734375" customWidth="1"/>
    <col min="4" max="5" width="11.6640625" bestFit="1" customWidth="1"/>
    <col min="6" max="8" width="10.109375" bestFit="1" customWidth="1"/>
    <col min="9" max="10" width="9.109375" bestFit="1" customWidth="1"/>
    <col min="11" max="12" width="10.109375" bestFit="1" customWidth="1"/>
    <col min="13" max="13" width="11.6640625" bestFit="1" customWidth="1"/>
    <col min="14" max="14" width="10.109375" bestFit="1" customWidth="1"/>
    <col min="15" max="15" width="9.109375" bestFit="1" customWidth="1"/>
    <col min="16" max="16" width="10.109375" bestFit="1" customWidth="1"/>
    <col min="17" max="17" width="11.6640625" bestFit="1" customWidth="1"/>
    <col min="18" max="22" width="10.109375" bestFit="1" customWidth="1"/>
    <col min="23" max="23" width="9.109375" bestFit="1" customWidth="1"/>
    <col min="24" max="24" width="9" bestFit="1" customWidth="1"/>
    <col min="25" max="25" width="9.109375" bestFit="1" customWidth="1"/>
    <col min="26" max="26" width="10.109375" bestFit="1" customWidth="1"/>
    <col min="27" max="27" width="9.109375" bestFit="1" customWidth="1"/>
    <col min="28" max="39" width="10.109375" bestFit="1" customWidth="1"/>
    <col min="40" max="40" width="9.109375" bestFit="1" customWidth="1"/>
    <col min="41" max="43" width="10.109375" bestFit="1" customWidth="1"/>
    <col min="44" max="46" width="9.109375" bestFit="1" customWidth="1"/>
    <col min="47" max="47" width="10.109375" bestFit="1" customWidth="1"/>
    <col min="48" max="49" width="11.6640625" bestFit="1" customWidth="1"/>
    <col min="50" max="50" width="12.6640625" bestFit="1" customWidth="1"/>
    <col min="51" max="51" width="11.6640625" bestFit="1" customWidth="1"/>
    <col min="52" max="53" width="9.109375" bestFit="1" customWidth="1"/>
    <col min="54" max="55" width="10.109375" bestFit="1" customWidth="1"/>
    <col min="56" max="56" width="11.6640625" bestFit="1" customWidth="1"/>
    <col min="57" max="60" width="10.109375" bestFit="1" customWidth="1"/>
    <col min="61" max="61" width="11.6640625" bestFit="1" customWidth="1"/>
    <col min="62" max="62" width="10.109375" bestFit="1" customWidth="1"/>
    <col min="63" max="63" width="11.6640625" bestFit="1" customWidth="1"/>
    <col min="64" max="66" width="10.109375" bestFit="1" customWidth="1"/>
    <col min="67" max="67" width="11.6640625" bestFit="1" customWidth="1"/>
    <col min="68" max="68" width="10.109375" bestFit="1" customWidth="1"/>
    <col min="69" max="76" width="11.6640625" bestFit="1" customWidth="1"/>
    <col min="77" max="77" width="13.77734375" bestFit="1" customWidth="1"/>
    <col min="78" max="79" width="11.6640625" bestFit="1" customWidth="1"/>
    <col min="80" max="80" width="10.109375" bestFit="1" customWidth="1"/>
    <col min="81" max="82" width="11.6640625" bestFit="1" customWidth="1"/>
    <col min="83" max="83" width="9.77734375" bestFit="1" customWidth="1"/>
    <col min="84" max="84" width="11.6640625" bestFit="1" customWidth="1"/>
    <col min="85" max="85" width="13.77734375" bestFit="1" customWidth="1"/>
    <col min="87" max="87" width="16.33203125" customWidth="1"/>
  </cols>
  <sheetData>
    <row r="1" spans="1:99" x14ac:dyDescent="0.3">
      <c r="A1" s="33" t="s">
        <v>0</v>
      </c>
    </row>
    <row r="3" spans="1:99" s="5" customFormat="1" x14ac:dyDescent="0.3">
      <c r="A3" s="75" t="s">
        <v>83</v>
      </c>
      <c r="B3" s="75"/>
      <c r="C3" s="75"/>
      <c r="D3" s="6" t="s">
        <v>10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  <c r="J3" s="6" t="s">
        <v>16</v>
      </c>
      <c r="K3" s="6" t="s">
        <v>17</v>
      </c>
      <c r="L3" s="6" t="s">
        <v>18</v>
      </c>
      <c r="M3" s="6" t="s">
        <v>19</v>
      </c>
      <c r="N3" s="6" t="s">
        <v>20</v>
      </c>
      <c r="O3" s="6" t="s">
        <v>21</v>
      </c>
      <c r="P3" s="6" t="s">
        <v>22</v>
      </c>
      <c r="Q3" s="6" t="s">
        <v>23</v>
      </c>
      <c r="R3" s="6" t="s">
        <v>24</v>
      </c>
      <c r="S3" s="6" t="s">
        <v>25</v>
      </c>
      <c r="T3" s="6" t="s">
        <v>26</v>
      </c>
      <c r="U3" s="6" t="s">
        <v>27</v>
      </c>
      <c r="V3" s="6" t="s">
        <v>28</v>
      </c>
      <c r="W3" s="6" t="s">
        <v>29</v>
      </c>
      <c r="X3" s="6" t="s">
        <v>30</v>
      </c>
      <c r="Y3" s="6" t="s">
        <v>31</v>
      </c>
      <c r="Z3" s="6" t="s">
        <v>32</v>
      </c>
      <c r="AA3" s="6" t="s">
        <v>33</v>
      </c>
      <c r="AB3" s="6" t="s">
        <v>34</v>
      </c>
      <c r="AC3" s="6" t="s">
        <v>35</v>
      </c>
      <c r="AD3" s="6" t="s">
        <v>36</v>
      </c>
      <c r="AE3" s="6" t="s">
        <v>37</v>
      </c>
      <c r="AF3" s="6" t="s">
        <v>38</v>
      </c>
      <c r="AG3" s="6" t="s">
        <v>39</v>
      </c>
      <c r="AH3" s="6" t="s">
        <v>40</v>
      </c>
      <c r="AI3" s="6" t="s">
        <v>41</v>
      </c>
      <c r="AJ3" s="6" t="s">
        <v>42</v>
      </c>
      <c r="AK3" s="6" t="s">
        <v>43</v>
      </c>
      <c r="AL3" s="6" t="s">
        <v>44</v>
      </c>
      <c r="AM3" s="6" t="s">
        <v>45</v>
      </c>
      <c r="AN3" s="6" t="s">
        <v>46</v>
      </c>
      <c r="AO3" s="6" t="s">
        <v>47</v>
      </c>
      <c r="AP3" s="6" t="s">
        <v>48</v>
      </c>
      <c r="AQ3" s="6" t="s">
        <v>49</v>
      </c>
      <c r="AR3" s="6" t="s">
        <v>50</v>
      </c>
      <c r="AS3" s="6" t="s">
        <v>51</v>
      </c>
      <c r="AT3" s="6" t="s">
        <v>52</v>
      </c>
      <c r="AU3" s="6" t="s">
        <v>53</v>
      </c>
      <c r="AV3" s="6" t="s">
        <v>54</v>
      </c>
      <c r="AW3" s="6" t="s">
        <v>55</v>
      </c>
      <c r="AX3" s="6" t="s">
        <v>56</v>
      </c>
      <c r="AY3" s="38" t="s">
        <v>57</v>
      </c>
      <c r="AZ3" s="6" t="s">
        <v>58</v>
      </c>
      <c r="BA3" s="6" t="s">
        <v>59</v>
      </c>
      <c r="BB3" s="6" t="s">
        <v>60</v>
      </c>
      <c r="BC3" s="6" t="s">
        <v>61</v>
      </c>
      <c r="BD3" s="6" t="s">
        <v>62</v>
      </c>
      <c r="BE3" s="6" t="s">
        <v>63</v>
      </c>
      <c r="BF3" s="6" t="s">
        <v>64</v>
      </c>
      <c r="BG3" s="6" t="s">
        <v>65</v>
      </c>
      <c r="BH3" s="6" t="s">
        <v>66</v>
      </c>
      <c r="BI3" s="6" t="s">
        <v>67</v>
      </c>
      <c r="BJ3" s="6" t="s">
        <v>68</v>
      </c>
      <c r="BK3" s="6" t="s">
        <v>69</v>
      </c>
      <c r="BL3" s="6" t="s">
        <v>70</v>
      </c>
      <c r="BM3" s="6" t="s">
        <v>71</v>
      </c>
      <c r="BN3" s="6" t="s">
        <v>72</v>
      </c>
      <c r="BO3" s="6" t="s">
        <v>73</v>
      </c>
      <c r="BP3" s="6" t="s">
        <v>74</v>
      </c>
      <c r="BQ3" s="6" t="s">
        <v>75</v>
      </c>
      <c r="BR3" s="6" t="s">
        <v>76</v>
      </c>
      <c r="BS3" s="6" t="s">
        <v>77</v>
      </c>
      <c r="BT3" s="6" t="s">
        <v>78</v>
      </c>
      <c r="BU3" s="6" t="s">
        <v>79</v>
      </c>
      <c r="BV3" s="6" t="s">
        <v>80</v>
      </c>
      <c r="BW3" s="6" t="s">
        <v>81</v>
      </c>
      <c r="BX3" s="6" t="s">
        <v>82</v>
      </c>
      <c r="BY3" s="3"/>
      <c r="BZ3" s="4"/>
      <c r="CA3" s="4"/>
      <c r="CB3" s="7"/>
      <c r="CC3" s="3"/>
      <c r="CD3" s="3"/>
      <c r="CE3" s="8"/>
      <c r="CF3" s="3"/>
      <c r="CG3" s="3"/>
      <c r="CH3"/>
      <c r="CI3"/>
      <c r="CJ3"/>
      <c r="CK3"/>
      <c r="CL3"/>
      <c r="CM3"/>
      <c r="CN3"/>
      <c r="CO3"/>
      <c r="CP3"/>
      <c r="CQ3"/>
      <c r="CR3"/>
      <c r="CS3"/>
      <c r="CT3"/>
      <c r="CU3"/>
    </row>
    <row r="4" spans="1:99" s="18" customFormat="1" ht="36.75" customHeight="1" x14ac:dyDescent="0.3">
      <c r="A4" s="73" t="s">
        <v>199</v>
      </c>
      <c r="B4" s="73"/>
      <c r="C4" s="74"/>
      <c r="D4" s="10" t="s">
        <v>84</v>
      </c>
      <c r="E4" s="10" t="s">
        <v>85</v>
      </c>
      <c r="F4" s="10" t="s">
        <v>86</v>
      </c>
      <c r="G4" s="10" t="s">
        <v>87</v>
      </c>
      <c r="H4" s="21" t="s">
        <v>88</v>
      </c>
      <c r="I4" s="10" t="s">
        <v>89</v>
      </c>
      <c r="J4" s="10" t="s">
        <v>90</v>
      </c>
      <c r="K4" s="10" t="s">
        <v>91</v>
      </c>
      <c r="L4" s="10" t="s">
        <v>92</v>
      </c>
      <c r="M4" s="10" t="s">
        <v>93</v>
      </c>
      <c r="N4" s="10" t="s">
        <v>94</v>
      </c>
      <c r="O4" s="10" t="s">
        <v>95</v>
      </c>
      <c r="P4" s="10" t="s">
        <v>96</v>
      </c>
      <c r="Q4" s="10" t="s">
        <v>97</v>
      </c>
      <c r="R4" s="10" t="s">
        <v>98</v>
      </c>
      <c r="S4" s="10" t="s">
        <v>99</v>
      </c>
      <c r="T4" s="10" t="s">
        <v>100</v>
      </c>
      <c r="U4" s="10" t="s">
        <v>101</v>
      </c>
      <c r="V4" s="21" t="s">
        <v>102</v>
      </c>
      <c r="W4" s="21" t="s">
        <v>103</v>
      </c>
      <c r="X4" s="10" t="s">
        <v>104</v>
      </c>
      <c r="Y4" s="21" t="s">
        <v>105</v>
      </c>
      <c r="Z4" s="10" t="s">
        <v>106</v>
      </c>
      <c r="AA4" s="10" t="s">
        <v>107</v>
      </c>
      <c r="AB4" s="10" t="s">
        <v>108</v>
      </c>
      <c r="AC4" s="10" t="s">
        <v>109</v>
      </c>
      <c r="AD4" s="10" t="s">
        <v>110</v>
      </c>
      <c r="AE4" s="10" t="s">
        <v>111</v>
      </c>
      <c r="AF4" s="10" t="s">
        <v>112</v>
      </c>
      <c r="AG4" s="10" t="s">
        <v>113</v>
      </c>
      <c r="AH4" s="10" t="s">
        <v>114</v>
      </c>
      <c r="AI4" s="10" t="s">
        <v>115</v>
      </c>
      <c r="AJ4" s="10" t="s">
        <v>116</v>
      </c>
      <c r="AK4" s="10" t="s">
        <v>117</v>
      </c>
      <c r="AL4" s="10" t="s">
        <v>118</v>
      </c>
      <c r="AM4" s="10" t="s">
        <v>119</v>
      </c>
      <c r="AN4" s="10" t="s">
        <v>120</v>
      </c>
      <c r="AO4" s="10" t="s">
        <v>121</v>
      </c>
      <c r="AP4" s="10" t="s">
        <v>122</v>
      </c>
      <c r="AQ4" s="21" t="s">
        <v>123</v>
      </c>
      <c r="AR4" s="21" t="s">
        <v>124</v>
      </c>
      <c r="AS4" s="21" t="s">
        <v>125</v>
      </c>
      <c r="AT4" s="21" t="s">
        <v>126</v>
      </c>
      <c r="AU4" s="10" t="s">
        <v>127</v>
      </c>
      <c r="AV4" s="10" t="s">
        <v>128</v>
      </c>
      <c r="AW4" s="10" t="s">
        <v>129</v>
      </c>
      <c r="AX4" s="10" t="s">
        <v>130</v>
      </c>
      <c r="AY4" s="32" t="s">
        <v>131</v>
      </c>
      <c r="AZ4" s="10" t="s">
        <v>132</v>
      </c>
      <c r="BA4" s="10" t="s">
        <v>133</v>
      </c>
      <c r="BB4" s="10" t="s">
        <v>134</v>
      </c>
      <c r="BC4" s="10" t="s">
        <v>135</v>
      </c>
      <c r="BD4" s="10" t="s">
        <v>136</v>
      </c>
      <c r="BE4" s="10" t="s">
        <v>137</v>
      </c>
      <c r="BF4" s="10" t="s">
        <v>138</v>
      </c>
      <c r="BG4" s="10" t="s">
        <v>139</v>
      </c>
      <c r="BH4" s="10" t="s">
        <v>140</v>
      </c>
      <c r="BI4" s="10" t="s">
        <v>141</v>
      </c>
      <c r="BJ4" s="10" t="s">
        <v>142</v>
      </c>
      <c r="BK4" s="10" t="s">
        <v>143</v>
      </c>
      <c r="BL4" s="10" t="s">
        <v>144</v>
      </c>
      <c r="BM4" s="10" t="s">
        <v>145</v>
      </c>
      <c r="BN4" s="10" t="s">
        <v>146</v>
      </c>
      <c r="BO4" s="10" t="s">
        <v>147</v>
      </c>
      <c r="BP4" s="10" t="s">
        <v>148</v>
      </c>
      <c r="BQ4" s="10" t="s">
        <v>149</v>
      </c>
      <c r="BR4" s="10" t="s">
        <v>150</v>
      </c>
      <c r="BS4" s="10" t="s">
        <v>151</v>
      </c>
      <c r="BT4" s="10" t="s">
        <v>152</v>
      </c>
      <c r="BU4" s="10" t="s">
        <v>153</v>
      </c>
      <c r="BV4" s="10" t="s">
        <v>154</v>
      </c>
      <c r="BW4" s="10" t="s">
        <v>155</v>
      </c>
      <c r="BX4" s="10" t="s">
        <v>156</v>
      </c>
      <c r="BY4" s="71" t="s">
        <v>157</v>
      </c>
      <c r="BZ4" s="69" t="s">
        <v>158</v>
      </c>
      <c r="CA4" s="69" t="s">
        <v>159</v>
      </c>
      <c r="CB4" s="69" t="s">
        <v>160</v>
      </c>
      <c r="CC4" s="69" t="s">
        <v>161</v>
      </c>
      <c r="CD4" s="69" t="s">
        <v>162</v>
      </c>
      <c r="CE4" s="69" t="s">
        <v>163</v>
      </c>
      <c r="CF4" s="69" t="s">
        <v>164</v>
      </c>
      <c r="CG4" s="70" t="s">
        <v>165</v>
      </c>
      <c r="CH4"/>
      <c r="CI4" s="23" t="s">
        <v>217</v>
      </c>
      <c r="CJ4"/>
      <c r="CK4"/>
      <c r="CL4"/>
      <c r="CM4"/>
      <c r="CN4"/>
      <c r="CO4"/>
      <c r="CP4"/>
      <c r="CQ4"/>
      <c r="CR4"/>
      <c r="CS4"/>
      <c r="CT4"/>
      <c r="CU4"/>
    </row>
    <row r="5" spans="1:99" s="5" customFormat="1" x14ac:dyDescent="0.3">
      <c r="A5" s="28"/>
      <c r="B5" s="5" t="s">
        <v>216</v>
      </c>
      <c r="C5" s="5">
        <v>0</v>
      </c>
      <c r="D5" s="25">
        <v>1</v>
      </c>
      <c r="E5" s="25">
        <v>2</v>
      </c>
      <c r="F5" s="25">
        <v>3</v>
      </c>
      <c r="G5" s="25">
        <v>4</v>
      </c>
      <c r="H5" s="25">
        <v>5</v>
      </c>
      <c r="I5" s="25">
        <v>6</v>
      </c>
      <c r="J5" s="25">
        <v>7</v>
      </c>
      <c r="K5" s="25">
        <v>8</v>
      </c>
      <c r="L5" s="25">
        <v>9</v>
      </c>
      <c r="M5" s="25">
        <v>10</v>
      </c>
      <c r="N5" s="25">
        <v>11</v>
      </c>
      <c r="O5" s="25">
        <v>12</v>
      </c>
      <c r="P5" s="25">
        <v>13</v>
      </c>
      <c r="Q5" s="25">
        <v>14</v>
      </c>
      <c r="R5" s="25">
        <v>15</v>
      </c>
      <c r="S5" s="25">
        <v>16</v>
      </c>
      <c r="T5" s="25">
        <v>17</v>
      </c>
      <c r="U5" s="25">
        <v>18</v>
      </c>
      <c r="V5" s="25">
        <v>19</v>
      </c>
      <c r="W5" s="25">
        <v>20</v>
      </c>
      <c r="X5" s="25">
        <v>21</v>
      </c>
      <c r="Y5" s="25">
        <v>22</v>
      </c>
      <c r="Z5" s="25">
        <v>23</v>
      </c>
      <c r="AA5" s="25">
        <v>24</v>
      </c>
      <c r="AB5" s="25">
        <v>25</v>
      </c>
      <c r="AC5" s="25">
        <v>26</v>
      </c>
      <c r="AD5" s="25">
        <v>27</v>
      </c>
      <c r="AE5" s="25">
        <v>28</v>
      </c>
      <c r="AF5" s="25">
        <v>29</v>
      </c>
      <c r="AG5" s="25">
        <v>30</v>
      </c>
      <c r="AH5" s="25">
        <v>31</v>
      </c>
      <c r="AI5" s="25">
        <v>32</v>
      </c>
      <c r="AJ5" s="25">
        <v>33</v>
      </c>
      <c r="AK5" s="25">
        <v>34</v>
      </c>
      <c r="AL5" s="25">
        <v>35</v>
      </c>
      <c r="AM5" s="25">
        <v>36</v>
      </c>
      <c r="AN5" s="25">
        <v>37</v>
      </c>
      <c r="AO5" s="25">
        <v>38</v>
      </c>
      <c r="AP5" s="25">
        <v>39</v>
      </c>
      <c r="AQ5" s="25">
        <v>40</v>
      </c>
      <c r="AR5" s="25">
        <v>41</v>
      </c>
      <c r="AS5" s="25">
        <v>42</v>
      </c>
      <c r="AT5" s="25">
        <v>43</v>
      </c>
      <c r="AU5" s="25">
        <v>44</v>
      </c>
      <c r="AV5" s="25">
        <v>45</v>
      </c>
      <c r="AW5" s="25">
        <v>46</v>
      </c>
      <c r="AX5" s="25">
        <v>47</v>
      </c>
      <c r="AY5" s="40">
        <v>48</v>
      </c>
      <c r="AZ5" s="25">
        <v>49</v>
      </c>
      <c r="BA5" s="25">
        <v>50</v>
      </c>
      <c r="BB5" s="25">
        <v>51</v>
      </c>
      <c r="BC5" s="25">
        <v>52</v>
      </c>
      <c r="BD5" s="25">
        <v>53</v>
      </c>
      <c r="BE5" s="25">
        <v>54</v>
      </c>
      <c r="BF5" s="25">
        <v>55</v>
      </c>
      <c r="BG5" s="25">
        <v>56</v>
      </c>
      <c r="BH5" s="25">
        <v>57</v>
      </c>
      <c r="BI5" s="25">
        <v>58</v>
      </c>
      <c r="BJ5" s="25">
        <v>59</v>
      </c>
      <c r="BK5" s="25">
        <v>60</v>
      </c>
      <c r="BL5" s="25">
        <v>61</v>
      </c>
      <c r="BM5" s="25">
        <v>62</v>
      </c>
      <c r="BN5" s="25">
        <v>63</v>
      </c>
      <c r="BO5" s="25">
        <v>64</v>
      </c>
      <c r="BP5" s="25">
        <v>65</v>
      </c>
      <c r="BQ5" s="25">
        <v>66</v>
      </c>
      <c r="BR5" s="25">
        <v>67</v>
      </c>
      <c r="BS5" s="25">
        <v>68</v>
      </c>
      <c r="BT5" s="25">
        <v>69</v>
      </c>
      <c r="BU5" s="25">
        <v>70</v>
      </c>
      <c r="BV5" s="25">
        <v>71</v>
      </c>
      <c r="BW5" s="25">
        <v>72</v>
      </c>
      <c r="BX5" s="25">
        <v>73</v>
      </c>
      <c r="BY5" s="72">
        <v>74</v>
      </c>
      <c r="BZ5" s="25">
        <v>75</v>
      </c>
      <c r="CA5" s="25">
        <v>76</v>
      </c>
      <c r="CB5" s="25">
        <v>77</v>
      </c>
      <c r="CC5" s="25">
        <v>78</v>
      </c>
      <c r="CD5" s="25">
        <v>79</v>
      </c>
      <c r="CE5" s="25">
        <v>80</v>
      </c>
      <c r="CF5" s="25">
        <v>81</v>
      </c>
      <c r="CG5" s="25">
        <v>82</v>
      </c>
      <c r="CH5"/>
      <c r="CI5"/>
      <c r="CJ5"/>
      <c r="CK5"/>
      <c r="CL5"/>
      <c r="CM5"/>
      <c r="CN5"/>
      <c r="CO5"/>
      <c r="CP5"/>
      <c r="CQ5"/>
      <c r="CR5"/>
      <c r="CS5"/>
      <c r="CT5"/>
      <c r="CU5"/>
    </row>
    <row r="6" spans="1:99" s="5" customFormat="1" x14ac:dyDescent="0.3">
      <c r="A6" s="35" t="s">
        <v>10</v>
      </c>
      <c r="B6" s="11" t="s">
        <v>84</v>
      </c>
      <c r="C6" s="5">
        <v>1</v>
      </c>
      <c r="D6" s="25">
        <v>8170.3585637550368</v>
      </c>
      <c r="E6" s="25">
        <v>5290.2246154753748</v>
      </c>
      <c r="F6" s="25">
        <v>156.75541627172311</v>
      </c>
      <c r="G6" s="25">
        <v>1.8265936654504866</v>
      </c>
      <c r="H6" s="25">
        <v>9.8692678733555947</v>
      </c>
      <c r="I6" s="25">
        <v>1.1434983751776158</v>
      </c>
      <c r="J6" s="25">
        <v>1.7841451108463606</v>
      </c>
      <c r="K6" s="25">
        <v>7264.3074217892336</v>
      </c>
      <c r="L6" s="25">
        <v>28021.779951859517</v>
      </c>
      <c r="M6" s="25">
        <v>76458.431982105394</v>
      </c>
      <c r="N6" s="25">
        <v>2089.301122965418</v>
      </c>
      <c r="O6" s="25">
        <v>4889.0334562745547</v>
      </c>
      <c r="P6" s="25">
        <v>5526.2619355557763</v>
      </c>
      <c r="Q6" s="25">
        <v>518.70182235905122</v>
      </c>
      <c r="R6" s="25">
        <v>6.6028531108425392</v>
      </c>
      <c r="S6" s="25">
        <v>90.994168979580451</v>
      </c>
      <c r="T6" s="25">
        <v>172.72947782361703</v>
      </c>
      <c r="U6" s="25">
        <v>0.25638422525185894</v>
      </c>
      <c r="V6" s="25">
        <v>8.6760448701173694</v>
      </c>
      <c r="W6" s="25">
        <v>5.1985351458124253E-2</v>
      </c>
      <c r="X6" s="25">
        <v>4.1880585965028361E-2</v>
      </c>
      <c r="Y6" s="25">
        <v>22484.789844317234</v>
      </c>
      <c r="Z6" s="25">
        <v>15.129223292162088</v>
      </c>
      <c r="AA6" s="25">
        <v>18.049511164446795</v>
      </c>
      <c r="AB6" s="25">
        <v>2.2091674518525384</v>
      </c>
      <c r="AC6" s="25">
        <v>13.484793956070876</v>
      </c>
      <c r="AD6" s="25">
        <v>38.146982219297641</v>
      </c>
      <c r="AE6" s="25">
        <v>14.41800402514575</v>
      </c>
      <c r="AF6" s="25">
        <v>42.241869048424284</v>
      </c>
      <c r="AG6" s="25">
        <v>26.216601753861756</v>
      </c>
      <c r="AH6" s="25">
        <v>2.7665426077325765</v>
      </c>
      <c r="AI6" s="25">
        <v>0.27528051354986038</v>
      </c>
      <c r="AJ6" s="25">
        <v>0.30007580998381012</v>
      </c>
      <c r="AK6" s="25">
        <v>0.76078595478699595</v>
      </c>
      <c r="AL6" s="25">
        <v>0.62121564876030877</v>
      </c>
      <c r="AM6" s="25">
        <v>0.40229090929930417</v>
      </c>
      <c r="AN6" s="25">
        <v>0.52416478719133319</v>
      </c>
      <c r="AO6" s="25">
        <v>10.450240451838136</v>
      </c>
      <c r="AP6" s="25">
        <v>6.5167124309798277E-2</v>
      </c>
      <c r="AQ6" s="25">
        <v>0.47598928642375304</v>
      </c>
      <c r="AR6" s="25">
        <v>7.775328236648224E-2</v>
      </c>
      <c r="AS6" s="25">
        <v>5.5707325295208235E-2</v>
      </c>
      <c r="AT6" s="25">
        <v>6.2671932577787817E-2</v>
      </c>
      <c r="AU6" s="25">
        <v>28.709259395886477</v>
      </c>
      <c r="AV6" s="25">
        <v>402.52784558732344</v>
      </c>
      <c r="AW6" s="25">
        <v>2.6558165118985206</v>
      </c>
      <c r="AX6" s="25">
        <v>12090.688466642019</v>
      </c>
      <c r="AY6" s="40">
        <v>0.96387780989135174</v>
      </c>
      <c r="AZ6" s="25">
        <v>2.8456625428414355E-2</v>
      </c>
      <c r="BA6" s="25">
        <v>0.29297864919859229</v>
      </c>
      <c r="BB6" s="25">
        <v>12.456639228872454</v>
      </c>
      <c r="BC6" s="25">
        <v>277.13534060042315</v>
      </c>
      <c r="BD6" s="25">
        <v>4385.9633781037455</v>
      </c>
      <c r="BE6" s="25">
        <v>8.8943907571197967E-2</v>
      </c>
      <c r="BF6" s="25">
        <v>0.61952656697168762</v>
      </c>
      <c r="BG6" s="25">
        <v>44.855834635168591</v>
      </c>
      <c r="BH6" s="25">
        <v>2.1532612042301911</v>
      </c>
      <c r="BI6" s="25">
        <v>14.762971379241696</v>
      </c>
      <c r="BJ6" s="25">
        <v>20.406510384138318</v>
      </c>
      <c r="BK6" s="25">
        <v>7.4743083771072696</v>
      </c>
      <c r="BL6" s="25">
        <v>12.024632225077942</v>
      </c>
      <c r="BM6" s="25">
        <v>0.80278957521532313</v>
      </c>
      <c r="BN6" s="25">
        <v>0.68757086229482445</v>
      </c>
      <c r="BO6" s="25">
        <v>133.6113996922229</v>
      </c>
      <c r="BP6" s="25">
        <v>0.22205855349642836</v>
      </c>
      <c r="BQ6" s="25">
        <v>947.5703167868362</v>
      </c>
      <c r="BR6" s="25">
        <v>357.35735790290295</v>
      </c>
      <c r="BS6" s="25">
        <v>43.808220731163033</v>
      </c>
      <c r="BT6" s="25">
        <v>354.48804759054798</v>
      </c>
      <c r="BU6" s="25">
        <v>180.63426154222449</v>
      </c>
      <c r="BV6" s="25">
        <v>2.8571215276014543</v>
      </c>
      <c r="BW6" s="25">
        <v>249.9117666841272</v>
      </c>
      <c r="BX6" s="25">
        <v>0</v>
      </c>
      <c r="BY6" s="72">
        <f>SUM(D6:BX6)</f>
        <v>180926.41543052823</v>
      </c>
      <c r="BZ6" s="25">
        <v>150718.72070721895</v>
      </c>
      <c r="CA6" s="25">
        <v>48.304677811300436</v>
      </c>
      <c r="CB6" s="25">
        <v>0</v>
      </c>
      <c r="CC6" s="25">
        <v>71191.69865990871</v>
      </c>
      <c r="CD6" s="25">
        <v>3188.2578459532156</v>
      </c>
      <c r="CE6" s="25">
        <v>-8036.3973214191938</v>
      </c>
      <c r="CF6" s="25">
        <v>217110.58456947276</v>
      </c>
      <c r="CG6" s="25">
        <v>398037</v>
      </c>
      <c r="CH6"/>
      <c r="CI6">
        <f>CF6/CG6</f>
        <v>0.54545327336270943</v>
      </c>
      <c r="CJ6"/>
      <c r="CK6"/>
      <c r="CL6"/>
      <c r="CM6"/>
      <c r="CN6"/>
      <c r="CO6"/>
      <c r="CP6"/>
      <c r="CQ6"/>
      <c r="CR6"/>
      <c r="CS6"/>
      <c r="CT6"/>
      <c r="CU6"/>
    </row>
    <row r="7" spans="1:99" s="5" customFormat="1" x14ac:dyDescent="0.3">
      <c r="A7" s="35" t="s">
        <v>11</v>
      </c>
      <c r="B7" s="13" t="s">
        <v>85</v>
      </c>
      <c r="C7" s="5">
        <v>2</v>
      </c>
      <c r="D7" s="25">
        <v>1004.9599480586429</v>
      </c>
      <c r="E7" s="25">
        <v>6106.8110826632919</v>
      </c>
      <c r="F7" s="25">
        <v>183.36264177324406</v>
      </c>
      <c r="G7" s="25">
        <v>3.7251917417697502</v>
      </c>
      <c r="H7" s="25">
        <v>22.938999760799192</v>
      </c>
      <c r="I7" s="25">
        <v>1.9494383646877278</v>
      </c>
      <c r="J7" s="25">
        <v>3.2441343482799234</v>
      </c>
      <c r="K7" s="25">
        <v>84046.278778938227</v>
      </c>
      <c r="L7" s="25">
        <v>152.99908415771603</v>
      </c>
      <c r="M7" s="25">
        <v>4376.6754683023546</v>
      </c>
      <c r="N7" s="25">
        <v>64.457871783543212</v>
      </c>
      <c r="O7" s="25">
        <v>192.81142734628352</v>
      </c>
      <c r="P7" s="25">
        <v>250.24140175138066</v>
      </c>
      <c r="Q7" s="25">
        <v>190.38282124822351</v>
      </c>
      <c r="R7" s="25">
        <v>6.6377087169135978</v>
      </c>
      <c r="S7" s="25">
        <v>143.03866277632443</v>
      </c>
      <c r="T7" s="25">
        <v>239.09947093450924</v>
      </c>
      <c r="U7" s="25">
        <v>0.46679487836281836</v>
      </c>
      <c r="V7" s="25">
        <v>0.72657441686736923</v>
      </c>
      <c r="W7" s="25">
        <v>1.8633166065896906E-2</v>
      </c>
      <c r="X7" s="25">
        <v>1.1905970261005054E-4</v>
      </c>
      <c r="Y7" s="25">
        <v>178.77565097574035</v>
      </c>
      <c r="Z7" s="25">
        <v>46.126671784309423</v>
      </c>
      <c r="AA7" s="25">
        <v>7.8961204788321702</v>
      </c>
      <c r="AB7" s="25">
        <v>5.0532194762631137</v>
      </c>
      <c r="AC7" s="25">
        <v>5.4165196403264799</v>
      </c>
      <c r="AD7" s="25">
        <v>52.888428128073755</v>
      </c>
      <c r="AE7" s="25">
        <v>56.619523615988562</v>
      </c>
      <c r="AF7" s="25">
        <v>70.623100029612473</v>
      </c>
      <c r="AG7" s="25">
        <v>49.444453849785951</v>
      </c>
      <c r="AH7" s="25">
        <v>2.5281526123934794</v>
      </c>
      <c r="AI7" s="25">
        <v>0.71683903192758858</v>
      </c>
      <c r="AJ7" s="25">
        <v>0.95724033340132586</v>
      </c>
      <c r="AK7" s="25">
        <v>1.7317396507557885</v>
      </c>
      <c r="AL7" s="25">
        <v>1.2427439826314215</v>
      </c>
      <c r="AM7" s="25">
        <v>0.99247142732795113</v>
      </c>
      <c r="AN7" s="25">
        <v>0.87514562835797638</v>
      </c>
      <c r="AO7" s="25">
        <v>7.2734053036547248</v>
      </c>
      <c r="AP7" s="25">
        <v>0.23085892359978147</v>
      </c>
      <c r="AQ7" s="25">
        <v>0.79136221645248883</v>
      </c>
      <c r="AR7" s="25">
        <v>0.12926973699827596</v>
      </c>
      <c r="AS7" s="25">
        <v>9.2616942598596805E-2</v>
      </c>
      <c r="AT7" s="25">
        <v>0.16790002300394893</v>
      </c>
      <c r="AU7" s="25">
        <v>5.6993906819098523</v>
      </c>
      <c r="AV7" s="25">
        <v>751.86310402788058</v>
      </c>
      <c r="AW7" s="25">
        <v>3.5113748444759909</v>
      </c>
      <c r="AX7" s="25">
        <v>386.7819921050762</v>
      </c>
      <c r="AY7" s="40">
        <v>1.0736839243328027</v>
      </c>
      <c r="AZ7" s="25">
        <v>3.7829303623082386E-2</v>
      </c>
      <c r="BA7" s="25">
        <v>0.34145151276670077</v>
      </c>
      <c r="BB7" s="25">
        <v>22.136467538097708</v>
      </c>
      <c r="BC7" s="25">
        <v>331.24358668682538</v>
      </c>
      <c r="BD7" s="25">
        <v>1919.4590430805827</v>
      </c>
      <c r="BE7" s="25">
        <v>0.2161854615611089</v>
      </c>
      <c r="BF7" s="25">
        <v>1.1913409292001311</v>
      </c>
      <c r="BG7" s="25">
        <v>80.686602968630282</v>
      </c>
      <c r="BH7" s="25">
        <v>4.2899017804822597</v>
      </c>
      <c r="BI7" s="25">
        <v>25.488379421314729</v>
      </c>
      <c r="BJ7" s="25">
        <v>38.429739375891096</v>
      </c>
      <c r="BK7" s="25">
        <v>6.8296279889470402</v>
      </c>
      <c r="BL7" s="25">
        <v>14.525770311032861</v>
      </c>
      <c r="BM7" s="25">
        <v>6.4682791513961932</v>
      </c>
      <c r="BN7" s="25">
        <v>1.1312263065100876</v>
      </c>
      <c r="BO7" s="25">
        <v>36.689298254266326</v>
      </c>
      <c r="BP7" s="25">
        <v>0.34850965765194736</v>
      </c>
      <c r="BQ7" s="25">
        <v>301.7084388258184</v>
      </c>
      <c r="BR7" s="25">
        <v>120.20425464728527</v>
      </c>
      <c r="BS7" s="25">
        <v>17.20442615350531</v>
      </c>
      <c r="BT7" s="25">
        <v>110.89111706924955</v>
      </c>
      <c r="BU7" s="25">
        <v>110.42371512129856</v>
      </c>
      <c r="BV7" s="25">
        <v>3.3228891676786421</v>
      </c>
      <c r="BW7" s="25">
        <v>37.971526631359737</v>
      </c>
      <c r="BX7" s="25">
        <v>0</v>
      </c>
      <c r="BY7" s="72">
        <f>SUM(D7:BX7)</f>
        <v>101821.56884090786</v>
      </c>
      <c r="BZ7" s="25">
        <v>7635.5156799557371</v>
      </c>
      <c r="CA7" s="25">
        <v>3.1875318976939022</v>
      </c>
      <c r="CB7" s="25">
        <v>0</v>
      </c>
      <c r="CC7" s="25">
        <v>27053.775013630471</v>
      </c>
      <c r="CD7" s="25">
        <v>16625.080155780848</v>
      </c>
      <c r="CE7" s="25">
        <v>-1180.127222172031</v>
      </c>
      <c r="CF7" s="25">
        <v>50137.431159092717</v>
      </c>
      <c r="CG7" s="25">
        <v>151959</v>
      </c>
      <c r="CH7"/>
      <c r="CI7">
        <f t="shared" ref="CI7:CI70" si="0">CF7/CG7</f>
        <v>0.32994051789688478</v>
      </c>
      <c r="CJ7"/>
      <c r="CK7"/>
      <c r="CL7"/>
      <c r="CM7"/>
      <c r="CN7"/>
      <c r="CO7"/>
      <c r="CP7"/>
      <c r="CQ7"/>
      <c r="CR7"/>
      <c r="CS7"/>
      <c r="CT7"/>
      <c r="CU7"/>
    </row>
    <row r="8" spans="1:99" s="5" customFormat="1" x14ac:dyDescent="0.3">
      <c r="A8" s="35" t="s">
        <v>12</v>
      </c>
      <c r="B8" s="11" t="s">
        <v>86</v>
      </c>
      <c r="C8" s="5">
        <v>3</v>
      </c>
      <c r="D8" s="25">
        <v>1414.9162471721204</v>
      </c>
      <c r="E8" s="25">
        <v>1437.2819167483406</v>
      </c>
      <c r="F8" s="25">
        <v>2063.4116713835965</v>
      </c>
      <c r="G8" s="25">
        <v>1.7907537375428697</v>
      </c>
      <c r="H8" s="25">
        <v>1.8236877020896338</v>
      </c>
      <c r="I8" s="25">
        <v>0.17010572661289142</v>
      </c>
      <c r="J8" s="25">
        <v>0.24112750829763532</v>
      </c>
      <c r="K8" s="25">
        <v>1830.0669762429854</v>
      </c>
      <c r="L8" s="25">
        <v>0.62916373472518561</v>
      </c>
      <c r="M8" s="25">
        <v>261.16769046085176</v>
      </c>
      <c r="N8" s="25">
        <v>13.874287846282671</v>
      </c>
      <c r="O8" s="25">
        <v>13.08516513910569</v>
      </c>
      <c r="P8" s="25">
        <v>25.024371787544709</v>
      </c>
      <c r="Q8" s="25">
        <v>8.2471144472668492</v>
      </c>
      <c r="R8" s="25">
        <v>6.7889500096319866</v>
      </c>
      <c r="S8" s="25">
        <v>1995.4594845151778</v>
      </c>
      <c r="T8" s="25">
        <v>3242.7460529296191</v>
      </c>
      <c r="U8" s="25">
        <v>3.5396002003790672E-2</v>
      </c>
      <c r="V8" s="25">
        <v>5.6630046727920477E-2</v>
      </c>
      <c r="W8" s="25">
        <v>1.4522904199549627E-3</v>
      </c>
      <c r="X8" s="25">
        <v>9.2796503230724744E-6</v>
      </c>
      <c r="Y8" s="25">
        <v>3.6633905640805215</v>
      </c>
      <c r="Z8" s="25">
        <v>162.13204369687799</v>
      </c>
      <c r="AA8" s="25">
        <v>2.8177034898405644</v>
      </c>
      <c r="AB8" s="25">
        <v>8.4317616603028514E-2</v>
      </c>
      <c r="AC8" s="25">
        <v>0.12671282335646378</v>
      </c>
      <c r="AD8" s="25">
        <v>713.86171172111449</v>
      </c>
      <c r="AE8" s="25">
        <v>59.563968889639597</v>
      </c>
      <c r="AF8" s="25">
        <v>910.44283339304809</v>
      </c>
      <c r="AG8" s="25">
        <v>3.7053404847024716</v>
      </c>
      <c r="AH8" s="25">
        <v>5.5140516538674165</v>
      </c>
      <c r="AI8" s="25">
        <v>6.9501985583974399E-2</v>
      </c>
      <c r="AJ8" s="25">
        <v>8.8522362408470917E-2</v>
      </c>
      <c r="AK8" s="25">
        <v>0.17941950541561633</v>
      </c>
      <c r="AL8" s="25">
        <v>0.11471484227311096</v>
      </c>
      <c r="AM8" s="25">
        <v>9.3657763570745303E-2</v>
      </c>
      <c r="AN8" s="25">
        <v>7.69524083446088E-2</v>
      </c>
      <c r="AO8" s="25">
        <v>2.7733870366838729</v>
      </c>
      <c r="AP8" s="25">
        <v>2.5223990108438052E-2</v>
      </c>
      <c r="AQ8" s="25">
        <v>9.4589682079335602E-2</v>
      </c>
      <c r="AR8" s="25">
        <v>1.5451310500973812E-2</v>
      </c>
      <c r="AS8" s="25">
        <v>1.1070287377167583E-2</v>
      </c>
      <c r="AT8" s="25">
        <v>1.9459657359411225E-2</v>
      </c>
      <c r="AU8" s="25">
        <v>0.42571360073375503</v>
      </c>
      <c r="AV8" s="25">
        <v>759.42361424331023</v>
      </c>
      <c r="AW8" s="25">
        <v>0.27333370517085248</v>
      </c>
      <c r="AX8" s="25">
        <v>161.92522609786855</v>
      </c>
      <c r="AY8" s="40">
        <v>9.9740227752357191E-2</v>
      </c>
      <c r="AZ8" s="25">
        <v>3.0144069070318692E-3</v>
      </c>
      <c r="BA8" s="25">
        <v>2.7363156919616407E-2</v>
      </c>
      <c r="BB8" s="25">
        <v>1.658527227286452</v>
      </c>
      <c r="BC8" s="25">
        <v>42.674553406755052</v>
      </c>
      <c r="BD8" s="25">
        <v>549.53667873059203</v>
      </c>
      <c r="BE8" s="25">
        <v>2.1951251293934292E-2</v>
      </c>
      <c r="BF8" s="25">
        <v>0.10959412749709906</v>
      </c>
      <c r="BG8" s="25">
        <v>5.9766223809669254</v>
      </c>
      <c r="BH8" s="25">
        <v>0.36575555478757793</v>
      </c>
      <c r="BI8" s="25">
        <v>1.9402982242055844</v>
      </c>
      <c r="BJ8" s="25">
        <v>2.9162218583507364</v>
      </c>
      <c r="BK8" s="25">
        <v>0.52073672703949758</v>
      </c>
      <c r="BL8" s="25">
        <v>3.7816157695125314</v>
      </c>
      <c r="BM8" s="25">
        <v>8.3967238846812273E-2</v>
      </c>
      <c r="BN8" s="25">
        <v>9.5237421802415026E-2</v>
      </c>
      <c r="BO8" s="25">
        <v>2.6303824415515304</v>
      </c>
      <c r="BP8" s="25">
        <v>2.9566698016518424E-2</v>
      </c>
      <c r="BQ8" s="25">
        <v>91.342913757021137</v>
      </c>
      <c r="BR8" s="25">
        <v>66.866054201546447</v>
      </c>
      <c r="BS8" s="25">
        <v>8.8889307885185183</v>
      </c>
      <c r="BT8" s="25">
        <v>63.403734529167671</v>
      </c>
      <c r="BU8" s="25">
        <v>19.813852317385631</v>
      </c>
      <c r="BV8" s="25">
        <v>0.24397311000560906</v>
      </c>
      <c r="BW8" s="25">
        <v>2.9434756273310647</v>
      </c>
      <c r="BX8" s="25">
        <v>0</v>
      </c>
      <c r="BY8" s="72">
        <f t="shared" ref="BY8:BY71" si="1">SUM(D8:BX8)</f>
        <v>15970.314928703579</v>
      </c>
      <c r="BZ8" s="25">
        <v>3068.1585803453418</v>
      </c>
      <c r="CA8" s="25">
        <v>2.4427055863110838</v>
      </c>
      <c r="CB8" s="25">
        <v>0</v>
      </c>
      <c r="CC8" s="25">
        <v>17611.770193053253</v>
      </c>
      <c r="CD8" s="25">
        <v>1054.0029907200783</v>
      </c>
      <c r="CE8" s="25">
        <v>163.31060159146062</v>
      </c>
      <c r="CF8" s="25">
        <v>21899.685071296459</v>
      </c>
      <c r="CG8" s="25">
        <v>37870</v>
      </c>
      <c r="CH8"/>
      <c r="CI8">
        <f t="shared" si="0"/>
        <v>0.57828584819900863</v>
      </c>
      <c r="CJ8"/>
      <c r="CK8"/>
      <c r="CL8"/>
      <c r="CM8"/>
      <c r="CN8"/>
      <c r="CO8"/>
      <c r="CP8"/>
      <c r="CQ8"/>
      <c r="CR8"/>
      <c r="CS8"/>
      <c r="CT8"/>
      <c r="CU8"/>
    </row>
    <row r="9" spans="1:99" s="5" customFormat="1" x14ac:dyDescent="0.3">
      <c r="A9" s="35" t="s">
        <v>13</v>
      </c>
      <c r="B9" s="11" t="s">
        <v>87</v>
      </c>
      <c r="C9" s="5">
        <v>4</v>
      </c>
      <c r="D9" s="25">
        <v>154.57131376529347</v>
      </c>
      <c r="E9" s="25">
        <v>418.65628402609394</v>
      </c>
      <c r="F9" s="25">
        <v>13.284636075544938</v>
      </c>
      <c r="G9" s="25">
        <v>255.38746246030166</v>
      </c>
      <c r="H9" s="25">
        <v>731.23871623221146</v>
      </c>
      <c r="I9" s="25">
        <v>0.30874707823958225</v>
      </c>
      <c r="J9" s="25">
        <v>1.3587157738685831</v>
      </c>
      <c r="K9" s="25">
        <v>53.244166376163598</v>
      </c>
      <c r="L9" s="25">
        <v>8.1587146912698358</v>
      </c>
      <c r="M9" s="25">
        <v>279.65589011728434</v>
      </c>
      <c r="N9" s="25">
        <v>16.421368346699659</v>
      </c>
      <c r="O9" s="25">
        <v>6.5622521024227554E-2</v>
      </c>
      <c r="P9" s="25">
        <v>0.97438319472738943</v>
      </c>
      <c r="Q9" s="25">
        <v>0.29823966512713124</v>
      </c>
      <c r="R9" s="25">
        <v>0.94713612624020704</v>
      </c>
      <c r="S9" s="25">
        <v>0.22325808785089243</v>
      </c>
      <c r="T9" s="25">
        <v>18.581952337523674</v>
      </c>
      <c r="U9" s="25">
        <v>0.14003745618907645</v>
      </c>
      <c r="V9" s="25">
        <v>6.1948654536750576</v>
      </c>
      <c r="W9" s="25">
        <v>0.158992803732706</v>
      </c>
      <c r="X9" s="25">
        <v>5.8538919004757833E-3</v>
      </c>
      <c r="Y9" s="25">
        <v>219.1058134802478</v>
      </c>
      <c r="Z9" s="25">
        <v>2854.8663427970951</v>
      </c>
      <c r="AA9" s="25">
        <v>68.70210082228671</v>
      </c>
      <c r="AB9" s="25">
        <v>8.0050702989689366</v>
      </c>
      <c r="AC9" s="25">
        <v>1.896008344817854</v>
      </c>
      <c r="AD9" s="25">
        <v>6.7281210803029419</v>
      </c>
      <c r="AE9" s="25">
        <v>4463.2487053152718</v>
      </c>
      <c r="AF9" s="25">
        <v>1496.0180009201461</v>
      </c>
      <c r="AG9" s="25">
        <v>337.50822352508135</v>
      </c>
      <c r="AH9" s="25">
        <v>3.5700793297345141</v>
      </c>
      <c r="AI9" s="25">
        <v>0.34796091611728114</v>
      </c>
      <c r="AJ9" s="25">
        <v>35.919486164414046</v>
      </c>
      <c r="AK9" s="25">
        <v>2.5200509016477124</v>
      </c>
      <c r="AL9" s="25">
        <v>18.623403632807602</v>
      </c>
      <c r="AM9" s="25">
        <v>34.401273191417253</v>
      </c>
      <c r="AN9" s="25">
        <v>1.7813221916018431</v>
      </c>
      <c r="AO9" s="25">
        <v>31.983518530124996</v>
      </c>
      <c r="AP9" s="25">
        <v>2.7992513774817689</v>
      </c>
      <c r="AQ9" s="25">
        <v>235.19415880813608</v>
      </c>
      <c r="AR9" s="25">
        <v>5.7714330882458826</v>
      </c>
      <c r="AS9" s="25">
        <v>1.1845960473087798</v>
      </c>
      <c r="AT9" s="25">
        <v>1.256351504422764</v>
      </c>
      <c r="AU9" s="25">
        <v>356.51608415843594</v>
      </c>
      <c r="AV9" s="25">
        <v>5769.2379564424718</v>
      </c>
      <c r="AW9" s="25">
        <v>2.9175715971672043</v>
      </c>
      <c r="AX9" s="25">
        <v>79.436082710535814</v>
      </c>
      <c r="AY9" s="40">
        <v>0.65802408997632589</v>
      </c>
      <c r="AZ9" s="25">
        <v>2.8112910422818906E-2</v>
      </c>
      <c r="BA9" s="25">
        <v>5.7457623439081819E-2</v>
      </c>
      <c r="BB9" s="25">
        <v>4.3639196286859692</v>
      </c>
      <c r="BC9" s="25">
        <v>2.438230238240485</v>
      </c>
      <c r="BD9" s="25">
        <v>15.584105920703134</v>
      </c>
      <c r="BE9" s="25">
        <v>8.7448574017034958E-2</v>
      </c>
      <c r="BF9" s="25">
        <v>0.16450929915036772</v>
      </c>
      <c r="BG9" s="25">
        <v>0.76492018421036334</v>
      </c>
      <c r="BH9" s="25">
        <v>0.61648427768988201</v>
      </c>
      <c r="BI9" s="25">
        <v>1.6296090751950834</v>
      </c>
      <c r="BJ9" s="25">
        <v>369.75981527196274</v>
      </c>
      <c r="BK9" s="25">
        <v>1.5956915528861471</v>
      </c>
      <c r="BL9" s="25">
        <v>1.1474393182785314</v>
      </c>
      <c r="BM9" s="25">
        <v>0.42774142421122563</v>
      </c>
      <c r="BN9" s="25">
        <v>0.35090323468008289</v>
      </c>
      <c r="BO9" s="25">
        <v>2.1063879786607207</v>
      </c>
      <c r="BP9" s="25">
        <v>8.6702236953693612E-2</v>
      </c>
      <c r="BQ9" s="25">
        <v>71.223802448817224</v>
      </c>
      <c r="BR9" s="25">
        <v>16.960068813518546</v>
      </c>
      <c r="BS9" s="25">
        <v>1.5619518298257609</v>
      </c>
      <c r="BT9" s="25">
        <v>6.8222988771079134</v>
      </c>
      <c r="BU9" s="25">
        <v>5.500218499872763</v>
      </c>
      <c r="BV9" s="25">
        <v>1.1191405236272542</v>
      </c>
      <c r="BW9" s="25">
        <v>4.3106319845372205</v>
      </c>
      <c r="BX9" s="25">
        <v>0</v>
      </c>
      <c r="BY9" s="72">
        <f t="shared" si="1"/>
        <v>18508.780939473923</v>
      </c>
      <c r="BZ9" s="25">
        <v>1808.1263468965512</v>
      </c>
      <c r="CA9" s="25">
        <v>7.4826886493532085E-2</v>
      </c>
      <c r="CB9" s="25">
        <v>0</v>
      </c>
      <c r="CC9" s="25">
        <v>199.54564961426397</v>
      </c>
      <c r="CD9" s="25">
        <v>9.7663345531448016</v>
      </c>
      <c r="CE9" s="25">
        <v>-515.29409742372206</v>
      </c>
      <c r="CF9" s="25">
        <v>1502.219060526731</v>
      </c>
      <c r="CG9" s="25">
        <v>20011</v>
      </c>
      <c r="CH9"/>
      <c r="CI9">
        <f t="shared" si="0"/>
        <v>7.5069664710745637E-2</v>
      </c>
      <c r="CJ9"/>
      <c r="CK9"/>
      <c r="CL9"/>
      <c r="CM9"/>
      <c r="CN9"/>
      <c r="CO9"/>
      <c r="CP9"/>
      <c r="CQ9"/>
      <c r="CR9"/>
      <c r="CS9"/>
      <c r="CT9"/>
      <c r="CU9"/>
    </row>
    <row r="10" spans="1:99" s="18" customFormat="1" x14ac:dyDescent="0.3">
      <c r="A10" s="35" t="s">
        <v>14</v>
      </c>
      <c r="B10" s="4" t="s">
        <v>88</v>
      </c>
      <c r="C10" s="18">
        <v>5</v>
      </c>
      <c r="D10" s="46">
        <v>21.840529156148218</v>
      </c>
      <c r="E10" s="46">
        <v>15.400400614883161</v>
      </c>
      <c r="F10" s="46">
        <v>0.88883243232383691</v>
      </c>
      <c r="G10" s="46">
        <v>2.8557716462244058</v>
      </c>
      <c r="H10" s="46">
        <v>6630.1612088235315</v>
      </c>
      <c r="I10" s="46">
        <v>276.15336287009848</v>
      </c>
      <c r="J10" s="46">
        <v>28.805250505293394</v>
      </c>
      <c r="K10" s="46">
        <v>63.705838666513223</v>
      </c>
      <c r="L10" s="46">
        <v>0.44529788306225443</v>
      </c>
      <c r="M10" s="46">
        <v>591.27168210260413</v>
      </c>
      <c r="N10" s="46">
        <v>106.02011136393205</v>
      </c>
      <c r="O10" s="46">
        <v>0.12079150775006751</v>
      </c>
      <c r="P10" s="46">
        <v>91.397968424161249</v>
      </c>
      <c r="Q10" s="46">
        <v>0.9859828821998885</v>
      </c>
      <c r="R10" s="46">
        <v>1.5852200747158953</v>
      </c>
      <c r="S10" s="46">
        <v>39.944558328694711</v>
      </c>
      <c r="T10" s="46">
        <v>541.21669558565713</v>
      </c>
      <c r="U10" s="46">
        <v>0.14283781759447525</v>
      </c>
      <c r="V10" s="46">
        <v>106597.07169103523</v>
      </c>
      <c r="W10" s="46">
        <v>2746.859928965142</v>
      </c>
      <c r="X10" s="46">
        <v>590.10146142342774</v>
      </c>
      <c r="Y10" s="46">
        <v>1.2543755826208123</v>
      </c>
      <c r="Z10" s="46">
        <v>1369.8244545530101</v>
      </c>
      <c r="AA10" s="46">
        <v>67.887326730768507</v>
      </c>
      <c r="AB10" s="46">
        <v>24.388557536390959</v>
      </c>
      <c r="AC10" s="46">
        <v>28.616612248902094</v>
      </c>
      <c r="AD10" s="46">
        <v>80.815093895843745</v>
      </c>
      <c r="AE10" s="46">
        <v>444.9047330096729</v>
      </c>
      <c r="AF10" s="46">
        <v>358.13112480767455</v>
      </c>
      <c r="AG10" s="46">
        <v>243.10479667412577</v>
      </c>
      <c r="AH10" s="46">
        <v>282.12759953735406</v>
      </c>
      <c r="AI10" s="46">
        <v>1.1289920258050867</v>
      </c>
      <c r="AJ10" s="46">
        <v>26.624932580698125</v>
      </c>
      <c r="AK10" s="46">
        <v>19.39617063302661</v>
      </c>
      <c r="AL10" s="46">
        <v>62.055892692773291</v>
      </c>
      <c r="AM10" s="46">
        <v>126.58879315468714</v>
      </c>
      <c r="AN10" s="46">
        <v>1.6722904165548684</v>
      </c>
      <c r="AO10" s="46">
        <v>2.9946627049901835</v>
      </c>
      <c r="AP10" s="46">
        <v>6.2288933402661524</v>
      </c>
      <c r="AQ10" s="46">
        <v>3962.6267490105643</v>
      </c>
      <c r="AR10" s="46">
        <v>1.0026425015018887</v>
      </c>
      <c r="AS10" s="46">
        <v>0.71835593670119713</v>
      </c>
      <c r="AT10" s="46">
        <v>5204.7213082855596</v>
      </c>
      <c r="AU10" s="46">
        <v>522.87686453940887</v>
      </c>
      <c r="AV10" s="46">
        <v>571.58374784241619</v>
      </c>
      <c r="AW10" s="46">
        <v>9.6259107950591485</v>
      </c>
      <c r="AX10" s="46">
        <v>157.08908899541788</v>
      </c>
      <c r="AY10" s="47">
        <v>72.420509151887714</v>
      </c>
      <c r="AZ10" s="46">
        <v>0.79119726022833792</v>
      </c>
      <c r="BA10" s="46">
        <v>0.27180433402135079</v>
      </c>
      <c r="BB10" s="46">
        <v>47.629023225729306</v>
      </c>
      <c r="BC10" s="46">
        <v>3.4384093391053674</v>
      </c>
      <c r="BD10" s="46">
        <v>49.277023471172583</v>
      </c>
      <c r="BE10" s="46">
        <v>0.46020693542067409</v>
      </c>
      <c r="BF10" s="46">
        <v>1.2321138297038736</v>
      </c>
      <c r="BG10" s="46">
        <v>87.263751367838168</v>
      </c>
      <c r="BH10" s="46">
        <v>4.8051068332729354</v>
      </c>
      <c r="BI10" s="46">
        <v>13.42873287781198</v>
      </c>
      <c r="BJ10" s="46">
        <v>6.8459631171730635</v>
      </c>
      <c r="BK10" s="46">
        <v>13.309644485303563</v>
      </c>
      <c r="BL10" s="46">
        <v>55.84941687290231</v>
      </c>
      <c r="BM10" s="46">
        <v>3.1144653032179401</v>
      </c>
      <c r="BN10" s="46">
        <v>5.7667873410487926</v>
      </c>
      <c r="BO10" s="46">
        <v>9.2018492340023048</v>
      </c>
      <c r="BP10" s="46">
        <v>0.72124886305557712</v>
      </c>
      <c r="BQ10" s="46">
        <v>1045.7361704016769</v>
      </c>
      <c r="BR10" s="46">
        <v>8.0402547944220171</v>
      </c>
      <c r="BS10" s="46">
        <v>12.284844878600811</v>
      </c>
      <c r="BT10" s="46">
        <v>1.4955079432515803</v>
      </c>
      <c r="BU10" s="46">
        <v>7.5123371166669539</v>
      </c>
      <c r="BV10" s="46">
        <v>9.5743713507298249</v>
      </c>
      <c r="BW10" s="46">
        <v>21.701481886008551</v>
      </c>
      <c r="BX10" s="46">
        <v>0</v>
      </c>
      <c r="BY10" s="72">
        <f t="shared" si="1"/>
        <v>133407.13761435516</v>
      </c>
      <c r="BZ10" s="46">
        <v>92727.090257778167</v>
      </c>
      <c r="CA10" s="46">
        <v>0</v>
      </c>
      <c r="CB10" s="46">
        <v>0</v>
      </c>
      <c r="CC10" s="46">
        <v>602.27835410534612</v>
      </c>
      <c r="CD10" s="46">
        <v>11369.449471675794</v>
      </c>
      <c r="CE10" s="46">
        <v>-12167.955697914464</v>
      </c>
      <c r="CF10" s="46">
        <v>92530.862385644839</v>
      </c>
      <c r="CG10" s="46">
        <v>225938</v>
      </c>
      <c r="CH10"/>
      <c r="CI10">
        <f t="shared" si="0"/>
        <v>0.4095409465678409</v>
      </c>
      <c r="CJ10"/>
      <c r="CK10"/>
      <c r="CL10"/>
      <c r="CM10"/>
      <c r="CN10"/>
      <c r="CO10"/>
      <c r="CP10"/>
      <c r="CQ10"/>
      <c r="CR10"/>
      <c r="CS10"/>
      <c r="CT10"/>
      <c r="CU10"/>
    </row>
    <row r="11" spans="1:99" s="5" customFormat="1" x14ac:dyDescent="0.3">
      <c r="A11" s="35" t="s">
        <v>15</v>
      </c>
      <c r="B11" s="11" t="s">
        <v>89</v>
      </c>
      <c r="C11" s="5">
        <v>6</v>
      </c>
      <c r="D11" s="25">
        <v>0.13674265992418938</v>
      </c>
      <c r="E11" s="25">
        <v>7.7076579237451356E-2</v>
      </c>
      <c r="F11" s="25">
        <v>7.9907095159552737E-3</v>
      </c>
      <c r="G11" s="25">
        <v>2.1964979988157055E-2</v>
      </c>
      <c r="H11" s="25">
        <v>2.3512302778406555</v>
      </c>
      <c r="I11" s="25">
        <v>1793.5446680277946</v>
      </c>
      <c r="J11" s="25">
        <v>45.052166072018551</v>
      </c>
      <c r="K11" s="25">
        <v>0.48557035056860143</v>
      </c>
      <c r="L11" s="25">
        <v>3.2457224077284408E-2</v>
      </c>
      <c r="M11" s="25">
        <v>0.34478481658447679</v>
      </c>
      <c r="N11" s="25">
        <v>0.27770406268595904</v>
      </c>
      <c r="O11" s="25">
        <v>6.3359672467056719E-2</v>
      </c>
      <c r="P11" s="25">
        <v>4.3394836605403636E-2</v>
      </c>
      <c r="Q11" s="25">
        <v>9.5809719255202166E-2</v>
      </c>
      <c r="R11" s="25">
        <v>0.10896932523635733</v>
      </c>
      <c r="S11" s="25">
        <v>7.4421837428328225E-2</v>
      </c>
      <c r="T11" s="25">
        <v>0.14841066512926848</v>
      </c>
      <c r="U11" s="25">
        <v>1.4610974710545475E-2</v>
      </c>
      <c r="V11" s="25">
        <v>0.14103174954363348</v>
      </c>
      <c r="W11" s="25">
        <v>3.616791272586468E-3</v>
      </c>
      <c r="X11" s="25">
        <v>2.3110087238738054E-5</v>
      </c>
      <c r="Y11" s="25">
        <v>1.758844896028158E-2</v>
      </c>
      <c r="Z11" s="25">
        <v>0.3441422741410653</v>
      </c>
      <c r="AA11" s="25">
        <v>0.11931617995440563</v>
      </c>
      <c r="AB11" s="25">
        <v>0.21383962892644981</v>
      </c>
      <c r="AC11" s="25">
        <v>0.70292247376864159</v>
      </c>
      <c r="AD11" s="25">
        <v>0.20161083267503888</v>
      </c>
      <c r="AE11" s="25">
        <v>106.29352494890139</v>
      </c>
      <c r="AF11" s="25">
        <v>16914.009290101829</v>
      </c>
      <c r="AG11" s="25">
        <v>123.08644919276587</v>
      </c>
      <c r="AH11" s="25">
        <v>9.6515193252221299E-2</v>
      </c>
      <c r="AI11" s="25">
        <v>0.2311133980093566</v>
      </c>
      <c r="AJ11" s="25">
        <v>0.55081086408176261</v>
      </c>
      <c r="AK11" s="25">
        <v>4.5165856691169601</v>
      </c>
      <c r="AL11" s="25">
        <v>1.1407708638242533</v>
      </c>
      <c r="AM11" s="25">
        <v>0.6648090811878542</v>
      </c>
      <c r="AN11" s="25">
        <v>0.23246827901084524</v>
      </c>
      <c r="AO11" s="25">
        <v>0.11436778901434212</v>
      </c>
      <c r="AP11" s="25">
        <v>2.6358291933710922</v>
      </c>
      <c r="AQ11" s="25">
        <v>0.28979804949630938</v>
      </c>
      <c r="AR11" s="25">
        <v>4.7338774662424629E-2</v>
      </c>
      <c r="AS11" s="25">
        <v>3.391646550388018E-2</v>
      </c>
      <c r="AT11" s="25">
        <v>1.988170756914235E-2</v>
      </c>
      <c r="AU11" s="25">
        <v>7.234069782709901E-2</v>
      </c>
      <c r="AV11" s="25">
        <v>1.2898289321037097</v>
      </c>
      <c r="AW11" s="25">
        <v>0.20090651102872664</v>
      </c>
      <c r="AX11" s="25">
        <v>1.887658810240807</v>
      </c>
      <c r="AY11" s="40">
        <v>0.11844738050404721</v>
      </c>
      <c r="AZ11" s="25">
        <v>4.2493869978530906E-2</v>
      </c>
      <c r="BA11" s="25">
        <v>9.9650457093768633E-3</v>
      </c>
      <c r="BB11" s="25">
        <v>0.14510724830900434</v>
      </c>
      <c r="BC11" s="25">
        <v>4.3813445033068006E-2</v>
      </c>
      <c r="BD11" s="25">
        <v>0.31459912276088531</v>
      </c>
      <c r="BE11" s="25">
        <v>2.0385269425681325E-2</v>
      </c>
      <c r="BF11" s="25">
        <v>2.0853742805391956E-2</v>
      </c>
      <c r="BG11" s="25">
        <v>0.29065393793936506</v>
      </c>
      <c r="BH11" s="25">
        <v>0.36060677130944191</v>
      </c>
      <c r="BI11" s="25">
        <v>0.19109174329379947</v>
      </c>
      <c r="BJ11" s="25">
        <v>7.4650669733284547E-2</v>
      </c>
      <c r="BK11" s="25">
        <v>0.16290205665120142</v>
      </c>
      <c r="BL11" s="25">
        <v>6.5571965664593153</v>
      </c>
      <c r="BM11" s="25">
        <v>5.3040757670002957E-2</v>
      </c>
      <c r="BN11" s="25">
        <v>0.12392834524204648</v>
      </c>
      <c r="BO11" s="25">
        <v>0.64194196661380931</v>
      </c>
      <c r="BP11" s="25">
        <v>1.0178673142548091E-2</v>
      </c>
      <c r="BQ11" s="25">
        <v>0.1429922842223047</v>
      </c>
      <c r="BR11" s="25">
        <v>5.2338502546912274E-2</v>
      </c>
      <c r="BS11" s="25">
        <v>0.14785892586383659</v>
      </c>
      <c r="BT11" s="25">
        <v>9.1322142724599098E-2</v>
      </c>
      <c r="BU11" s="25">
        <v>0.22754425096440167</v>
      </c>
      <c r="BV11" s="25">
        <v>0.11034237079522521</v>
      </c>
      <c r="BW11" s="25">
        <v>0.13327856122098622</v>
      </c>
      <c r="BX11" s="25">
        <v>0</v>
      </c>
      <c r="BY11" s="72">
        <f t="shared" si="1"/>
        <v>19012.127162454108</v>
      </c>
      <c r="BZ11" s="25">
        <v>65510.696678506043</v>
      </c>
      <c r="CA11" s="25">
        <v>1.4070934149824032E-2</v>
      </c>
      <c r="CB11" s="25">
        <v>0</v>
      </c>
      <c r="CC11" s="25">
        <v>7.1161250435648888</v>
      </c>
      <c r="CD11" s="25">
        <v>145.98410861954713</v>
      </c>
      <c r="CE11" s="25">
        <v>7650.0618544429026</v>
      </c>
      <c r="CF11" s="25">
        <v>73313.872837546209</v>
      </c>
      <c r="CG11" s="25">
        <v>92326</v>
      </c>
      <c r="CH11"/>
      <c r="CI11">
        <f t="shared" si="0"/>
        <v>0.79407613064084015</v>
      </c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5" customFormat="1" x14ac:dyDescent="0.3">
      <c r="A12" s="35" t="s">
        <v>16</v>
      </c>
      <c r="B12" s="11" t="s">
        <v>90</v>
      </c>
      <c r="C12" s="5">
        <v>7</v>
      </c>
      <c r="D12" s="25">
        <v>4.6695014758879445</v>
      </c>
      <c r="E12" s="25">
        <v>2.6283039561679735</v>
      </c>
      <c r="F12" s="25">
        <v>0.12435657689505802</v>
      </c>
      <c r="G12" s="25">
        <v>1.2402922594017085</v>
      </c>
      <c r="H12" s="25">
        <v>68.177003420436364</v>
      </c>
      <c r="I12" s="25">
        <v>10.656377563750246</v>
      </c>
      <c r="J12" s="25">
        <v>810.56588004422406</v>
      </c>
      <c r="K12" s="25">
        <v>6.0089168764356895</v>
      </c>
      <c r="L12" s="25">
        <v>0.15093812670459369</v>
      </c>
      <c r="M12" s="25">
        <v>12.9722183949743</v>
      </c>
      <c r="N12" s="25">
        <v>1.4659626299990833</v>
      </c>
      <c r="O12" s="25">
        <v>3.0025646907243879E-3</v>
      </c>
      <c r="P12" s="25">
        <v>0.1647001896778941</v>
      </c>
      <c r="Q12" s="25">
        <v>3.7493815255573659E-2</v>
      </c>
      <c r="R12" s="25">
        <v>0.28587825633002129</v>
      </c>
      <c r="S12" s="25">
        <v>0.12078566972039449</v>
      </c>
      <c r="T12" s="25">
        <v>5.8959538641400995</v>
      </c>
      <c r="U12" s="25">
        <v>3.4978878823679715</v>
      </c>
      <c r="V12" s="25">
        <v>4.5892973046511618E-2</v>
      </c>
      <c r="W12" s="25">
        <v>1.1822535605055414E-3</v>
      </c>
      <c r="X12" s="25">
        <v>2.1491581320449266E-4</v>
      </c>
      <c r="Y12" s="25">
        <v>0.99308581171159349</v>
      </c>
      <c r="Z12" s="25">
        <v>30.317772802696538</v>
      </c>
      <c r="AA12" s="25">
        <v>5.2720189638343404</v>
      </c>
      <c r="AB12" s="25">
        <v>1.707652177148723</v>
      </c>
      <c r="AC12" s="25">
        <v>0.54015883269519149</v>
      </c>
      <c r="AD12" s="25">
        <v>7.8003983154097618</v>
      </c>
      <c r="AE12" s="25">
        <v>52.370365079400145</v>
      </c>
      <c r="AF12" s="25">
        <v>1602.2276965246788</v>
      </c>
      <c r="AG12" s="25">
        <v>5411.8108357352558</v>
      </c>
      <c r="AH12" s="25">
        <v>31.658928989281709</v>
      </c>
      <c r="AI12" s="25">
        <v>2.4799909024659503</v>
      </c>
      <c r="AJ12" s="25">
        <v>79.430200149974439</v>
      </c>
      <c r="AK12" s="25">
        <v>12.403471412807637</v>
      </c>
      <c r="AL12" s="25">
        <v>8.4362246418490709</v>
      </c>
      <c r="AM12" s="25">
        <v>49.25245291236304</v>
      </c>
      <c r="AN12" s="25">
        <v>12.922169743007423</v>
      </c>
      <c r="AO12" s="25">
        <v>30.016131454804242</v>
      </c>
      <c r="AP12" s="25">
        <v>5.5688268546337119</v>
      </c>
      <c r="AQ12" s="25">
        <v>0.38191835058480461</v>
      </c>
      <c r="AR12" s="25">
        <v>6.2386709535148889E-2</v>
      </c>
      <c r="AS12" s="25">
        <v>4.4697749296181193E-2</v>
      </c>
      <c r="AT12" s="25">
        <v>2.7479529782933219E-3</v>
      </c>
      <c r="AU12" s="25">
        <v>3.6386313509995625</v>
      </c>
      <c r="AV12" s="25">
        <v>59.821666220413704</v>
      </c>
      <c r="AW12" s="25">
        <v>0.56351330548292067</v>
      </c>
      <c r="AX12" s="25">
        <v>3.5850875870764098</v>
      </c>
      <c r="AY12" s="40">
        <v>0.16152433475438327</v>
      </c>
      <c r="AZ12" s="25">
        <v>0</v>
      </c>
      <c r="BA12" s="25">
        <v>3.6377032630939723E-3</v>
      </c>
      <c r="BB12" s="25">
        <v>7.3311620754241066E-2</v>
      </c>
      <c r="BC12" s="25">
        <v>4.6298041530286917E-3</v>
      </c>
      <c r="BD12" s="25">
        <v>0.25629272989980256</v>
      </c>
      <c r="BE12" s="25">
        <v>3.7532058634054849E-4</v>
      </c>
      <c r="BF12" s="25">
        <v>0</v>
      </c>
      <c r="BG12" s="25">
        <v>1.2010258762897552E-2</v>
      </c>
      <c r="BH12" s="25">
        <v>1.9382809620621597E-2</v>
      </c>
      <c r="BI12" s="25">
        <v>1.5203034511277993E-2</v>
      </c>
      <c r="BJ12" s="25">
        <v>2.003248905706124</v>
      </c>
      <c r="BK12" s="25">
        <v>0.23876561417762249</v>
      </c>
      <c r="BL12" s="25">
        <v>0.70972306863846413</v>
      </c>
      <c r="BM12" s="25">
        <v>1.6222906532518441E-3</v>
      </c>
      <c r="BN12" s="25">
        <v>5.442148501937953E-3</v>
      </c>
      <c r="BO12" s="25">
        <v>0.26001967374228785</v>
      </c>
      <c r="BP12" s="25">
        <v>0</v>
      </c>
      <c r="BQ12" s="25">
        <v>0.51230206414437374</v>
      </c>
      <c r="BR12" s="25">
        <v>0.19266821059269967</v>
      </c>
      <c r="BS12" s="25">
        <v>1.8766029317027425E-4</v>
      </c>
      <c r="BT12" s="25">
        <v>0.4111017478166531</v>
      </c>
      <c r="BU12" s="25">
        <v>0.71872298895310616</v>
      </c>
      <c r="BV12" s="25">
        <v>0</v>
      </c>
      <c r="BW12" s="25">
        <v>0.38814582574989026</v>
      </c>
      <c r="BX12" s="25">
        <v>0</v>
      </c>
      <c r="BY12" s="72">
        <f t="shared" si="1"/>
        <v>8348.0100920551376</v>
      </c>
      <c r="BZ12" s="25">
        <v>11140.000522732968</v>
      </c>
      <c r="CA12" s="25">
        <v>0</v>
      </c>
      <c r="CB12" s="25">
        <v>0</v>
      </c>
      <c r="CC12" s="25">
        <v>7.4490403929319573</v>
      </c>
      <c r="CD12" s="25">
        <v>8.4306386705310778</v>
      </c>
      <c r="CE12" s="25">
        <v>-1230.8902938517319</v>
      </c>
      <c r="CF12" s="25">
        <v>9924.989907944695</v>
      </c>
      <c r="CG12" s="25">
        <v>18273</v>
      </c>
      <c r="CH12"/>
      <c r="CI12">
        <f t="shared" si="0"/>
        <v>0.54315054495401383</v>
      </c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5" customFormat="1" x14ac:dyDescent="0.3">
      <c r="A13" s="35" t="s">
        <v>17</v>
      </c>
      <c r="B13" s="13" t="s">
        <v>91</v>
      </c>
      <c r="C13" s="5">
        <v>8</v>
      </c>
      <c r="D13" s="25">
        <v>73.154869703102293</v>
      </c>
      <c r="E13" s="25">
        <v>2090.4666127383612</v>
      </c>
      <c r="F13" s="25">
        <v>38.303223606085048</v>
      </c>
      <c r="G13" s="25">
        <v>9.9476144270842912</v>
      </c>
      <c r="H13" s="25">
        <v>19.441015207789729</v>
      </c>
      <c r="I13" s="25">
        <v>17.034336759545571</v>
      </c>
      <c r="J13" s="25">
        <v>3.2840564241838339</v>
      </c>
      <c r="K13" s="25">
        <v>22154.159039236492</v>
      </c>
      <c r="L13" s="25">
        <v>1.082347910381634</v>
      </c>
      <c r="M13" s="25">
        <v>2486.5335612008021</v>
      </c>
      <c r="N13" s="25">
        <v>47.12680801295101</v>
      </c>
      <c r="O13" s="25">
        <v>2.4639671818900046</v>
      </c>
      <c r="P13" s="25">
        <v>7.060412577559898</v>
      </c>
      <c r="Q13" s="25">
        <v>8.6616937343683915</v>
      </c>
      <c r="R13" s="25">
        <v>1473.7108621562193</v>
      </c>
      <c r="S13" s="25">
        <v>5.5399254119356467</v>
      </c>
      <c r="T13" s="25">
        <v>15.727026465846638</v>
      </c>
      <c r="U13" s="25">
        <v>3.1952587031855946</v>
      </c>
      <c r="V13" s="25">
        <v>23.045816579540215</v>
      </c>
      <c r="W13" s="25">
        <v>0.59120438239645301</v>
      </c>
      <c r="X13" s="25">
        <v>1.1154333921446673E-2</v>
      </c>
      <c r="Y13" s="25">
        <v>737.52754758680226</v>
      </c>
      <c r="Z13" s="25">
        <v>29.649496648953853</v>
      </c>
      <c r="AA13" s="25">
        <v>44.06311680020827</v>
      </c>
      <c r="AB13" s="25">
        <v>1728.7212004490052</v>
      </c>
      <c r="AC13" s="25">
        <v>13.395568380291248</v>
      </c>
      <c r="AD13" s="25">
        <v>28.418666331113954</v>
      </c>
      <c r="AE13" s="25">
        <v>9.9546155048647833</v>
      </c>
      <c r="AF13" s="25">
        <v>10.27433090791676</v>
      </c>
      <c r="AG13" s="25">
        <v>5.7880679952824563</v>
      </c>
      <c r="AH13" s="25">
        <v>65.983484351678669</v>
      </c>
      <c r="AI13" s="25">
        <v>13.052513084827927</v>
      </c>
      <c r="AJ13" s="25">
        <v>11.427341327966367</v>
      </c>
      <c r="AK13" s="25">
        <v>65.885115946016057</v>
      </c>
      <c r="AL13" s="25">
        <v>13.947593713978753</v>
      </c>
      <c r="AM13" s="25">
        <v>8.0334682308256546</v>
      </c>
      <c r="AN13" s="25">
        <v>3.9970415496921299</v>
      </c>
      <c r="AO13" s="25">
        <v>12.233521469074882</v>
      </c>
      <c r="AP13" s="25">
        <v>40.66630068883353</v>
      </c>
      <c r="AQ13" s="25">
        <v>4.9078318601301127</v>
      </c>
      <c r="AR13" s="25">
        <v>0.80169879304424541</v>
      </c>
      <c r="AS13" s="25">
        <v>0.57438726821060582</v>
      </c>
      <c r="AT13" s="25">
        <v>0.39508867755127919</v>
      </c>
      <c r="AU13" s="25">
        <v>3.2880462758082873</v>
      </c>
      <c r="AV13" s="25">
        <v>58.979780993144523</v>
      </c>
      <c r="AW13" s="25">
        <v>7.2079814180050006</v>
      </c>
      <c r="AX13" s="25">
        <v>448.87840910454804</v>
      </c>
      <c r="AY13" s="40">
        <v>13.177597734156844</v>
      </c>
      <c r="AZ13" s="25">
        <v>0.87761198330752599</v>
      </c>
      <c r="BA13" s="25">
        <v>1.2127732024502407</v>
      </c>
      <c r="BB13" s="25">
        <v>4.6743078731159482</v>
      </c>
      <c r="BC13" s="25">
        <v>445.42571341750192</v>
      </c>
      <c r="BD13" s="25">
        <v>17469.214563864898</v>
      </c>
      <c r="BE13" s="25">
        <v>1.6282579133193542</v>
      </c>
      <c r="BF13" s="25">
        <v>1.6628425525433661</v>
      </c>
      <c r="BG13" s="25">
        <v>6.3279885834616953</v>
      </c>
      <c r="BH13" s="25">
        <v>4.6611580152642542</v>
      </c>
      <c r="BI13" s="25">
        <v>8.4847062924333017</v>
      </c>
      <c r="BJ13" s="25">
        <v>4.2251628748492873</v>
      </c>
      <c r="BK13" s="25">
        <v>7.7048874320347664</v>
      </c>
      <c r="BL13" s="25">
        <v>6.6234745742587275</v>
      </c>
      <c r="BM13" s="25">
        <v>5.7445293810847424</v>
      </c>
      <c r="BN13" s="25">
        <v>2.4002706741584565</v>
      </c>
      <c r="BO13" s="25">
        <v>15.89183431792314</v>
      </c>
      <c r="BP13" s="25">
        <v>0.73876872676470495</v>
      </c>
      <c r="BQ13" s="25">
        <v>2176.6448294629563</v>
      </c>
      <c r="BR13" s="25">
        <v>1294.0752073496703</v>
      </c>
      <c r="BS13" s="25">
        <v>207.92015422828754</v>
      </c>
      <c r="BT13" s="25">
        <v>1280.2889393214916</v>
      </c>
      <c r="BU13" s="25">
        <v>750.19254504153946</v>
      </c>
      <c r="BV13" s="25">
        <v>7.8726989669171097</v>
      </c>
      <c r="BW13" s="25">
        <v>194.08997714598203</v>
      </c>
      <c r="BX13" s="25">
        <v>0</v>
      </c>
      <c r="BY13" s="72">
        <f t="shared" si="1"/>
        <v>55760.353823041805</v>
      </c>
      <c r="BZ13" s="25">
        <v>46170.634193654907</v>
      </c>
      <c r="CA13" s="25">
        <v>72.403106847664276</v>
      </c>
      <c r="CB13" s="25">
        <v>0</v>
      </c>
      <c r="CC13" s="25">
        <v>189902.00684124397</v>
      </c>
      <c r="CD13" s="25">
        <v>408.57985322996069</v>
      </c>
      <c r="CE13" s="25">
        <v>92.02218198479143</v>
      </c>
      <c r="CF13" s="25">
        <v>236645.64617696131</v>
      </c>
      <c r="CG13" s="25">
        <v>292406</v>
      </c>
      <c r="CH13"/>
      <c r="CI13">
        <f t="shared" si="0"/>
        <v>0.80930502854579356</v>
      </c>
      <c r="CJ13"/>
      <c r="CK13"/>
      <c r="CL13"/>
      <c r="CM13"/>
      <c r="CN13"/>
      <c r="CO13"/>
      <c r="CP13"/>
      <c r="CQ13"/>
      <c r="CR13"/>
      <c r="CS13"/>
      <c r="CT13"/>
      <c r="CU13"/>
    </row>
    <row r="14" spans="1:99" s="5" customFormat="1" x14ac:dyDescent="0.3">
      <c r="A14" s="35" t="s">
        <v>18</v>
      </c>
      <c r="B14" s="11" t="s">
        <v>92</v>
      </c>
      <c r="C14" s="5">
        <v>9</v>
      </c>
      <c r="D14" s="25">
        <v>53.525245661495106</v>
      </c>
      <c r="E14" s="25">
        <v>87.091629096935279</v>
      </c>
      <c r="F14" s="25">
        <v>2.3933686114067809</v>
      </c>
      <c r="G14" s="25">
        <v>1.6267936485293737</v>
      </c>
      <c r="H14" s="25">
        <v>330.37378178183957</v>
      </c>
      <c r="I14" s="25">
        <v>22.213349808506475</v>
      </c>
      <c r="J14" s="25">
        <v>3.8758144062349711</v>
      </c>
      <c r="K14" s="25">
        <v>291.48502026670752</v>
      </c>
      <c r="L14" s="25">
        <v>755.0705522263853</v>
      </c>
      <c r="M14" s="25">
        <v>3193.1450846768516</v>
      </c>
      <c r="N14" s="25">
        <v>671.87756873897501</v>
      </c>
      <c r="O14" s="25">
        <v>0.80970769237717621</v>
      </c>
      <c r="P14" s="25">
        <v>2.0182717111439166</v>
      </c>
      <c r="Q14" s="25">
        <v>2.6748804352580842</v>
      </c>
      <c r="R14" s="25">
        <v>2.0719631351791987</v>
      </c>
      <c r="S14" s="25">
        <v>14.517455004906177</v>
      </c>
      <c r="T14" s="25">
        <v>5.7074960129299406</v>
      </c>
      <c r="U14" s="25">
        <v>0.69458070858489607</v>
      </c>
      <c r="V14" s="25">
        <v>7507.7581622523867</v>
      </c>
      <c r="W14" s="25">
        <v>38.065828560668251</v>
      </c>
      <c r="X14" s="25">
        <v>37.884552806870992</v>
      </c>
      <c r="Y14" s="25">
        <v>641.94530772094413</v>
      </c>
      <c r="Z14" s="25">
        <v>141.833331788035</v>
      </c>
      <c r="AA14" s="25">
        <v>414.07002298252723</v>
      </c>
      <c r="AB14" s="25">
        <v>612.6548674591528</v>
      </c>
      <c r="AC14" s="25">
        <v>355.93828927093591</v>
      </c>
      <c r="AD14" s="25">
        <v>4.1415098105530657</v>
      </c>
      <c r="AE14" s="25">
        <v>3.0130158993046825</v>
      </c>
      <c r="AF14" s="25">
        <v>3.8189358232853383</v>
      </c>
      <c r="AG14" s="25">
        <v>2.1825390449694484</v>
      </c>
      <c r="AH14" s="25">
        <v>17.07074375611057</v>
      </c>
      <c r="AI14" s="25">
        <v>4.3963944431650885</v>
      </c>
      <c r="AJ14" s="25">
        <v>6.2673356968479901</v>
      </c>
      <c r="AK14" s="25">
        <v>94.892959214485501</v>
      </c>
      <c r="AL14" s="25">
        <v>16.375697215791359</v>
      </c>
      <c r="AM14" s="25">
        <v>2.8484953587445792</v>
      </c>
      <c r="AN14" s="25">
        <v>3.8857595632279263</v>
      </c>
      <c r="AO14" s="25">
        <v>3.4125173590272073</v>
      </c>
      <c r="AP14" s="25">
        <v>59.620441036581269</v>
      </c>
      <c r="AQ14" s="25">
        <v>4.5778112444269441</v>
      </c>
      <c r="AR14" s="25">
        <v>0.74778962565032936</v>
      </c>
      <c r="AS14" s="25">
        <v>0.53576336150205395</v>
      </c>
      <c r="AT14" s="25">
        <v>0.18604366840390935</v>
      </c>
      <c r="AU14" s="25">
        <v>10.534485195693792</v>
      </c>
      <c r="AV14" s="25">
        <v>172.49428311674274</v>
      </c>
      <c r="AW14" s="25">
        <v>139.72003194266006</v>
      </c>
      <c r="AX14" s="25">
        <v>273.44868017972459</v>
      </c>
      <c r="AY14" s="40">
        <v>351.8825270706414</v>
      </c>
      <c r="AZ14" s="25">
        <v>3.0478342772881142</v>
      </c>
      <c r="BA14" s="25">
        <v>9.5131123396482042</v>
      </c>
      <c r="BB14" s="25">
        <v>24.925261680434858</v>
      </c>
      <c r="BC14" s="25">
        <v>7.1586322599458212</v>
      </c>
      <c r="BD14" s="25">
        <v>795.99698416713557</v>
      </c>
      <c r="BE14" s="25">
        <v>2.2736975853333132</v>
      </c>
      <c r="BF14" s="25">
        <v>4.3632644457122938</v>
      </c>
      <c r="BG14" s="25">
        <v>12.172918758611727</v>
      </c>
      <c r="BH14" s="25">
        <v>17.104176004586161</v>
      </c>
      <c r="BI14" s="25">
        <v>62.695756696538133</v>
      </c>
      <c r="BJ14" s="25">
        <v>8.9417937468582913</v>
      </c>
      <c r="BK14" s="25">
        <v>62.340633001693277</v>
      </c>
      <c r="BL14" s="25">
        <v>49.822365940225048</v>
      </c>
      <c r="BM14" s="25">
        <v>19.535257662348876</v>
      </c>
      <c r="BN14" s="25">
        <v>47.389974559885005</v>
      </c>
      <c r="BO14" s="25">
        <v>66.91695313610424</v>
      </c>
      <c r="BP14" s="25">
        <v>31.905778702229004</v>
      </c>
      <c r="BQ14" s="25">
        <v>347.62689946182672</v>
      </c>
      <c r="BR14" s="25">
        <v>93.441802498041852</v>
      </c>
      <c r="BS14" s="25">
        <v>10.050684204698621</v>
      </c>
      <c r="BT14" s="25">
        <v>71.418104846656192</v>
      </c>
      <c r="BU14" s="25">
        <v>65.577576241430791</v>
      </c>
      <c r="BV14" s="25">
        <v>9.0821777582515093</v>
      </c>
      <c r="BW14" s="25">
        <v>75.349417288470065</v>
      </c>
      <c r="BX14" s="25">
        <v>0</v>
      </c>
      <c r="BY14" s="72">
        <f t="shared" si="1"/>
        <v>18266.027743357266</v>
      </c>
      <c r="BZ14" s="25">
        <v>16586.094099334223</v>
      </c>
      <c r="CA14" s="25">
        <v>0.75832747333979078</v>
      </c>
      <c r="CB14" s="25">
        <v>0</v>
      </c>
      <c r="CC14" s="25">
        <v>16804.060038089898</v>
      </c>
      <c r="CD14" s="25">
        <v>332.26540144204876</v>
      </c>
      <c r="CE14" s="25">
        <v>-434.20560969345934</v>
      </c>
      <c r="CF14" s="25">
        <v>33288.972256646048</v>
      </c>
      <c r="CG14" s="25">
        <v>51555</v>
      </c>
      <c r="CH14"/>
      <c r="CI14">
        <f t="shared" si="0"/>
        <v>0.64569823017449424</v>
      </c>
      <c r="CJ14"/>
      <c r="CK14"/>
      <c r="CL14"/>
      <c r="CM14"/>
      <c r="CN14"/>
      <c r="CO14"/>
      <c r="CP14"/>
      <c r="CQ14"/>
      <c r="CR14"/>
      <c r="CS14"/>
      <c r="CT14"/>
      <c r="CU14"/>
    </row>
    <row r="15" spans="1:99" s="5" customFormat="1" x14ac:dyDescent="0.3">
      <c r="A15" s="35" t="s">
        <v>19</v>
      </c>
      <c r="B15" s="11" t="s">
        <v>93</v>
      </c>
      <c r="C15" s="5">
        <v>10</v>
      </c>
      <c r="D15" s="25">
        <v>1901.0054801064068</v>
      </c>
      <c r="E15" s="25">
        <v>13289.224940089322</v>
      </c>
      <c r="F15" s="25">
        <v>896.41032663354997</v>
      </c>
      <c r="G15" s="25">
        <v>153.24329869233779</v>
      </c>
      <c r="H15" s="25">
        <v>190.88614623268415</v>
      </c>
      <c r="I15" s="25">
        <v>51.948534499783051</v>
      </c>
      <c r="J15" s="25">
        <v>15.388238981782578</v>
      </c>
      <c r="K15" s="25">
        <v>23451.189481979363</v>
      </c>
      <c r="L15" s="25">
        <v>23.734989674378149</v>
      </c>
      <c r="M15" s="25">
        <v>28439.299882070107</v>
      </c>
      <c r="N15" s="25">
        <v>2077.0624840713945</v>
      </c>
      <c r="O15" s="25">
        <v>14.848455391706466</v>
      </c>
      <c r="P15" s="25">
        <v>56.298102691011167</v>
      </c>
      <c r="Q15" s="25">
        <v>48.649656419391995</v>
      </c>
      <c r="R15" s="25">
        <v>64.823663411944551</v>
      </c>
      <c r="S15" s="25">
        <v>57.154408794491836</v>
      </c>
      <c r="T15" s="25">
        <v>656.92771831569246</v>
      </c>
      <c r="U15" s="25">
        <v>23.745029528523716</v>
      </c>
      <c r="V15" s="25">
        <v>2090.5259077506907</v>
      </c>
      <c r="W15" s="25">
        <v>13.73414675388981</v>
      </c>
      <c r="X15" s="25">
        <v>9.9100745733107036</v>
      </c>
      <c r="Y15" s="25">
        <v>3052.5007492955879</v>
      </c>
      <c r="Z15" s="25">
        <v>488.08572102873586</v>
      </c>
      <c r="AA15" s="25">
        <v>802.79042948388508</v>
      </c>
      <c r="AB15" s="25">
        <v>1071.7383300275353</v>
      </c>
      <c r="AC15" s="25">
        <v>229.2972298924555</v>
      </c>
      <c r="AD15" s="25">
        <v>175.30799702257426</v>
      </c>
      <c r="AE15" s="25">
        <v>93.455962438569458</v>
      </c>
      <c r="AF15" s="25">
        <v>91.502096291676054</v>
      </c>
      <c r="AG15" s="25">
        <v>40.730425944808665</v>
      </c>
      <c r="AH15" s="25">
        <v>88.811442634074723</v>
      </c>
      <c r="AI15" s="25">
        <v>75.800275198075241</v>
      </c>
      <c r="AJ15" s="25">
        <v>60.469386724199659</v>
      </c>
      <c r="AK15" s="25">
        <v>109.61639448495571</v>
      </c>
      <c r="AL15" s="25">
        <v>56.823494247557683</v>
      </c>
      <c r="AM15" s="25">
        <v>43.043402590615294</v>
      </c>
      <c r="AN15" s="25">
        <v>18.514591250608341</v>
      </c>
      <c r="AO15" s="25">
        <v>81.249431479102569</v>
      </c>
      <c r="AP15" s="25">
        <v>72.461506322889448</v>
      </c>
      <c r="AQ15" s="25">
        <v>32.640494572908288</v>
      </c>
      <c r="AR15" s="25">
        <v>5.3318544418867022</v>
      </c>
      <c r="AS15" s="25">
        <v>3.8200747387215621</v>
      </c>
      <c r="AT15" s="25">
        <v>1.9974554253192676</v>
      </c>
      <c r="AU15" s="25">
        <v>32.438762555338485</v>
      </c>
      <c r="AV15" s="25">
        <v>362.30878240192641</v>
      </c>
      <c r="AW15" s="25">
        <v>131.80171804385978</v>
      </c>
      <c r="AX15" s="25">
        <v>3488.1785582675088</v>
      </c>
      <c r="AY15" s="40">
        <v>177.6154836162865</v>
      </c>
      <c r="AZ15" s="25">
        <v>2.5711517369963683</v>
      </c>
      <c r="BA15" s="25">
        <v>31.863843857922333</v>
      </c>
      <c r="BB15" s="25">
        <v>38.202177692526462</v>
      </c>
      <c r="BC15" s="25">
        <v>243.18734776607369</v>
      </c>
      <c r="BD15" s="25">
        <v>12354.485424699224</v>
      </c>
      <c r="BE15" s="25">
        <v>10.176693194556073</v>
      </c>
      <c r="BF15" s="25">
        <v>10.564222448678519</v>
      </c>
      <c r="BG15" s="25">
        <v>46.146674799237587</v>
      </c>
      <c r="BH15" s="25">
        <v>27.975880013120232</v>
      </c>
      <c r="BI15" s="25">
        <v>179.04353123604918</v>
      </c>
      <c r="BJ15" s="25">
        <v>39.398784795906302</v>
      </c>
      <c r="BK15" s="25">
        <v>74.566393195743473</v>
      </c>
      <c r="BL15" s="25">
        <v>36.341616639785727</v>
      </c>
      <c r="BM15" s="25">
        <v>66.425930366935887</v>
      </c>
      <c r="BN15" s="25">
        <v>23.287124561336029</v>
      </c>
      <c r="BO15" s="25">
        <v>77.880837953171621</v>
      </c>
      <c r="BP15" s="25">
        <v>12.251409229017842</v>
      </c>
      <c r="BQ15" s="25">
        <v>1527.9070113543858</v>
      </c>
      <c r="BR15" s="25">
        <v>1168.2631270201375</v>
      </c>
      <c r="BS15" s="25">
        <v>166.10330946360509</v>
      </c>
      <c r="BT15" s="25">
        <v>1598.3146954592717</v>
      </c>
      <c r="BU15" s="25">
        <v>711.43383081315847</v>
      </c>
      <c r="BV15" s="25">
        <v>52.378456412215172</v>
      </c>
      <c r="BW15" s="25">
        <v>738.01510177075443</v>
      </c>
      <c r="BX15" s="25">
        <v>0</v>
      </c>
      <c r="BY15" s="72">
        <f t="shared" si="1"/>
        <v>103651.12759356326</v>
      </c>
      <c r="BZ15" s="25">
        <v>40248.489598205342</v>
      </c>
      <c r="CA15" s="25">
        <v>79.511138156412954</v>
      </c>
      <c r="CB15" s="25">
        <v>0</v>
      </c>
      <c r="CC15" s="25">
        <v>177717.30735024565</v>
      </c>
      <c r="CD15" s="25">
        <v>617.39769461445042</v>
      </c>
      <c r="CE15" s="25">
        <v>2629.1666252119085</v>
      </c>
      <c r="CF15" s="25">
        <v>221291.87240643374</v>
      </c>
      <c r="CG15" s="25">
        <v>324943</v>
      </c>
      <c r="CH15"/>
      <c r="CI15">
        <f t="shared" si="0"/>
        <v>0.68101750893674817</v>
      </c>
      <c r="CJ15"/>
      <c r="CK15"/>
      <c r="CL15"/>
      <c r="CM15"/>
      <c r="CN15"/>
      <c r="CO15"/>
      <c r="CP15"/>
      <c r="CQ15"/>
      <c r="CR15"/>
      <c r="CS15"/>
      <c r="CT15"/>
      <c r="CU15"/>
    </row>
    <row r="16" spans="1:99" s="5" customFormat="1" x14ac:dyDescent="0.3">
      <c r="A16" s="35" t="s">
        <v>20</v>
      </c>
      <c r="B16" s="11" t="s">
        <v>94</v>
      </c>
      <c r="C16" s="5">
        <v>11</v>
      </c>
      <c r="D16" s="25">
        <v>14.738989616009871</v>
      </c>
      <c r="E16" s="25">
        <v>9.3559628566249522</v>
      </c>
      <c r="F16" s="25">
        <v>0.76997093908372072</v>
      </c>
      <c r="G16" s="25">
        <v>5.2965240863765537</v>
      </c>
      <c r="H16" s="25">
        <v>13.258631367879314</v>
      </c>
      <c r="I16" s="25">
        <v>7.7752003622939307</v>
      </c>
      <c r="J16" s="25">
        <v>1.7552233619762363</v>
      </c>
      <c r="K16" s="25">
        <v>397.93740052882697</v>
      </c>
      <c r="L16" s="25">
        <v>1.2398412004481818</v>
      </c>
      <c r="M16" s="25">
        <v>99.164788907422874</v>
      </c>
      <c r="N16" s="25">
        <v>6639.8139459170734</v>
      </c>
      <c r="O16" s="25">
        <v>1.6073509897261555</v>
      </c>
      <c r="P16" s="25">
        <v>4.5283349087940703</v>
      </c>
      <c r="Q16" s="25">
        <v>5.5452055450162003</v>
      </c>
      <c r="R16" s="25">
        <v>4.332433091559972</v>
      </c>
      <c r="S16" s="25">
        <v>4.1709141399226111</v>
      </c>
      <c r="T16" s="25">
        <v>8.1110653190751663</v>
      </c>
      <c r="U16" s="25">
        <v>1.6440958479037435</v>
      </c>
      <c r="V16" s="25">
        <v>62.724309273939141</v>
      </c>
      <c r="W16" s="25">
        <v>0.63813413401866848</v>
      </c>
      <c r="X16" s="25">
        <v>0.24728806370822448</v>
      </c>
      <c r="Y16" s="25">
        <v>3.2332953034574743</v>
      </c>
      <c r="Z16" s="25">
        <v>10.807878362967745</v>
      </c>
      <c r="AA16" s="25">
        <v>13.785349231611255</v>
      </c>
      <c r="AB16" s="25">
        <v>11.28593901371301</v>
      </c>
      <c r="AC16" s="25">
        <v>8.4070269539693641</v>
      </c>
      <c r="AD16" s="25">
        <v>10.372939319485088</v>
      </c>
      <c r="AE16" s="25">
        <v>5.7335930661251897</v>
      </c>
      <c r="AF16" s="25">
        <v>10.690564754255435</v>
      </c>
      <c r="AG16" s="25">
        <v>3.6727053557939886</v>
      </c>
      <c r="AH16" s="25">
        <v>20.532547002031617</v>
      </c>
      <c r="AI16" s="25">
        <v>9.8421770671883415</v>
      </c>
      <c r="AJ16" s="25">
        <v>9.6817179914882701</v>
      </c>
      <c r="AK16" s="25">
        <v>31.591530962644072</v>
      </c>
      <c r="AL16" s="25">
        <v>12.546867209198936</v>
      </c>
      <c r="AM16" s="25">
        <v>8.0829596045852554</v>
      </c>
      <c r="AN16" s="25">
        <v>5.407992938744381</v>
      </c>
      <c r="AO16" s="25">
        <v>8.3460780589867074</v>
      </c>
      <c r="AP16" s="25">
        <v>19.980902844651798</v>
      </c>
      <c r="AQ16" s="25">
        <v>8.2460963667313756</v>
      </c>
      <c r="AR16" s="25">
        <v>1.3470073329610392</v>
      </c>
      <c r="AS16" s="25">
        <v>0.96508048777422217</v>
      </c>
      <c r="AT16" s="25">
        <v>0.45259474803304378</v>
      </c>
      <c r="AU16" s="25">
        <v>3.0293874354188697</v>
      </c>
      <c r="AV16" s="25">
        <v>69.490475030276087</v>
      </c>
      <c r="AW16" s="25">
        <v>10.121867206807233</v>
      </c>
      <c r="AX16" s="25">
        <v>107.19137678328732</v>
      </c>
      <c r="AY16" s="40">
        <v>17.004469945780773</v>
      </c>
      <c r="AZ16" s="25">
        <v>0.45098488593686104</v>
      </c>
      <c r="BA16" s="25">
        <v>8.1017402306451949</v>
      </c>
      <c r="BB16" s="25">
        <v>6.2954672198081303</v>
      </c>
      <c r="BC16" s="25">
        <v>450.04095222912139</v>
      </c>
      <c r="BD16" s="25">
        <v>26011.35330764388</v>
      </c>
      <c r="BE16" s="25">
        <v>1.2831511983985373</v>
      </c>
      <c r="BF16" s="25">
        <v>1.6703355696329378</v>
      </c>
      <c r="BG16" s="25">
        <v>6.639948261941079</v>
      </c>
      <c r="BH16" s="25">
        <v>5.1156865831042113</v>
      </c>
      <c r="BI16" s="25">
        <v>98.337037634416632</v>
      </c>
      <c r="BJ16" s="25">
        <v>6.2222204663183387</v>
      </c>
      <c r="BK16" s="25">
        <v>12.418989797104674</v>
      </c>
      <c r="BL16" s="25">
        <v>3.0201910223074115</v>
      </c>
      <c r="BM16" s="25">
        <v>4.3590942128361103</v>
      </c>
      <c r="BN16" s="25">
        <v>2.9262015060654649</v>
      </c>
      <c r="BO16" s="25">
        <v>13.385941024795088</v>
      </c>
      <c r="BP16" s="25">
        <v>1.1279802772267595</v>
      </c>
      <c r="BQ16" s="25">
        <v>100.98309553695751</v>
      </c>
      <c r="BR16" s="25">
        <v>69.203497212669163</v>
      </c>
      <c r="BS16" s="25">
        <v>17.627628060822449</v>
      </c>
      <c r="BT16" s="25">
        <v>72.575287811944762</v>
      </c>
      <c r="BU16" s="25">
        <v>174.85302763201307</v>
      </c>
      <c r="BV16" s="25">
        <v>28.677201679237029</v>
      </c>
      <c r="BW16" s="25">
        <v>19.690719496694626</v>
      </c>
      <c r="BX16" s="25">
        <v>0</v>
      </c>
      <c r="BY16" s="72">
        <f t="shared" si="1"/>
        <v>34822.865718029527</v>
      </c>
      <c r="BZ16" s="25">
        <v>2978.2515255170383</v>
      </c>
      <c r="CA16" s="25">
        <v>1.711930760683654</v>
      </c>
      <c r="CB16" s="25">
        <v>0</v>
      </c>
      <c r="CC16" s="25">
        <v>40937.659906730412</v>
      </c>
      <c r="CD16" s="25">
        <v>99.164105981748065</v>
      </c>
      <c r="CE16" s="25">
        <v>-295.65318701065814</v>
      </c>
      <c r="CF16" s="25">
        <v>43721.134281979219</v>
      </c>
      <c r="CG16" s="25">
        <v>78544</v>
      </c>
      <c r="CH16"/>
      <c r="CI16">
        <f t="shared" si="0"/>
        <v>0.55664511970334107</v>
      </c>
      <c r="CJ16"/>
      <c r="CK16"/>
      <c r="CL16"/>
      <c r="CM16"/>
      <c r="CN16"/>
      <c r="CO16"/>
      <c r="CP16"/>
      <c r="CQ16"/>
      <c r="CR16"/>
      <c r="CS16"/>
      <c r="CT16"/>
      <c r="CU16"/>
    </row>
    <row r="17" spans="1:99" s="5" customFormat="1" x14ac:dyDescent="0.3">
      <c r="A17" s="35" t="s">
        <v>21</v>
      </c>
      <c r="B17" s="11" t="s">
        <v>95</v>
      </c>
      <c r="C17" s="5">
        <v>12</v>
      </c>
      <c r="D17" s="25">
        <v>1.8863691688160806</v>
      </c>
      <c r="E17" s="25">
        <v>0.98094149694974564</v>
      </c>
      <c r="F17" s="25">
        <v>8.9514122424551451E-2</v>
      </c>
      <c r="G17" s="25">
        <v>8.8027856520601772E-2</v>
      </c>
      <c r="H17" s="25">
        <v>2.1983798045019105</v>
      </c>
      <c r="I17" s="25">
        <v>2.4823701771170765</v>
      </c>
      <c r="J17" s="25">
        <v>0.38449654161175145</v>
      </c>
      <c r="K17" s="25">
        <v>3.1242665359212305</v>
      </c>
      <c r="L17" s="25">
        <v>8.7243129884883114E-2</v>
      </c>
      <c r="M17" s="25">
        <v>3.0183844464507614</v>
      </c>
      <c r="N17" s="25">
        <v>0.69678188723731094</v>
      </c>
      <c r="O17" s="25">
        <v>304.40931111676258</v>
      </c>
      <c r="P17" s="25">
        <v>0.50326688931054453</v>
      </c>
      <c r="Q17" s="25">
        <v>0.69276169613652694</v>
      </c>
      <c r="R17" s="25">
        <v>0.57329707009926212</v>
      </c>
      <c r="S17" s="25">
        <v>0.29665772502281579</v>
      </c>
      <c r="T17" s="25">
        <v>0.77841527883959816</v>
      </c>
      <c r="U17" s="25">
        <v>0.14759259718021084</v>
      </c>
      <c r="V17" s="25">
        <v>1.9269421902803952</v>
      </c>
      <c r="W17" s="25">
        <v>4.9416870450355976E-2</v>
      </c>
      <c r="X17" s="25">
        <v>3.1575728348748398E-4</v>
      </c>
      <c r="Y17" s="25">
        <v>0.17235201458619911</v>
      </c>
      <c r="Z17" s="25">
        <v>1.107047151565081</v>
      </c>
      <c r="AA17" s="25">
        <v>0.63432236052340329</v>
      </c>
      <c r="AB17" s="25">
        <v>0.48493659722363391</v>
      </c>
      <c r="AC17" s="25">
        <v>0.79277348067123543</v>
      </c>
      <c r="AD17" s="25">
        <v>0.99845903316703566</v>
      </c>
      <c r="AE17" s="25">
        <v>0.6455418969998038</v>
      </c>
      <c r="AF17" s="25">
        <v>0.712524191046642</v>
      </c>
      <c r="AG17" s="25">
        <v>0.61963993182403332</v>
      </c>
      <c r="AH17" s="25">
        <v>0.72265568027218996</v>
      </c>
      <c r="AI17" s="25">
        <v>1.1712195262487939</v>
      </c>
      <c r="AJ17" s="25">
        <v>1.1271924243504921</v>
      </c>
      <c r="AK17" s="25">
        <v>9.9519577058698854</v>
      </c>
      <c r="AL17" s="25">
        <v>1.7055667632146216</v>
      </c>
      <c r="AM17" s="25">
        <v>0.71215731551300565</v>
      </c>
      <c r="AN17" s="25">
        <v>0.50240733713544983</v>
      </c>
      <c r="AO17" s="25">
        <v>0.67606474613185774</v>
      </c>
      <c r="AP17" s="25">
        <v>6.0422709799356547</v>
      </c>
      <c r="AQ17" s="25">
        <v>0.4634018470298451</v>
      </c>
      <c r="AR17" s="25">
        <v>7.5697112705986572E-2</v>
      </c>
      <c r="AS17" s="25">
        <v>5.4234156463576412E-2</v>
      </c>
      <c r="AT17" s="25">
        <v>3.1969707392013345E-2</v>
      </c>
      <c r="AU17" s="25">
        <v>0.18846966514968422</v>
      </c>
      <c r="AV17" s="25">
        <v>5.1648106730527434</v>
      </c>
      <c r="AW17" s="25">
        <v>0.45008788726776994</v>
      </c>
      <c r="AX17" s="25">
        <v>3.61602930689922</v>
      </c>
      <c r="AY17" s="40">
        <v>1.1145936349456742</v>
      </c>
      <c r="AZ17" s="25">
        <v>0.10844203309535461</v>
      </c>
      <c r="BA17" s="25">
        <v>0.10146144957095145</v>
      </c>
      <c r="BB17" s="25">
        <v>0.28571453627037663</v>
      </c>
      <c r="BC17" s="25">
        <v>0.14313380238001955</v>
      </c>
      <c r="BD17" s="25">
        <v>2.3330807425444964</v>
      </c>
      <c r="BE17" s="25">
        <v>0.14060471532909452</v>
      </c>
      <c r="BF17" s="25">
        <v>0.12207897960738018</v>
      </c>
      <c r="BG17" s="25">
        <v>0.53625142339661203</v>
      </c>
      <c r="BH17" s="25">
        <v>0.43983916719084837</v>
      </c>
      <c r="BI17" s="25">
        <v>0.45998093840233023</v>
      </c>
      <c r="BJ17" s="25">
        <v>0.24562702079061452</v>
      </c>
      <c r="BK17" s="25">
        <v>0.3710081829810753</v>
      </c>
      <c r="BL17" s="25">
        <v>1.3352301796625763</v>
      </c>
      <c r="BM17" s="25">
        <v>0.34056162756002412</v>
      </c>
      <c r="BN17" s="25">
        <v>0.16603915433191185</v>
      </c>
      <c r="BO17" s="25">
        <v>1.6680395415370559</v>
      </c>
      <c r="BP17" s="25">
        <v>4.7183572022464225E-2</v>
      </c>
      <c r="BQ17" s="25">
        <v>0.7308086747581809</v>
      </c>
      <c r="BR17" s="25">
        <v>0.48670412463528373</v>
      </c>
      <c r="BS17" s="25">
        <v>0.26664793898329137</v>
      </c>
      <c r="BT17" s="25">
        <v>0.69125629899785723</v>
      </c>
      <c r="BU17" s="25">
        <v>1.7783446644125542</v>
      </c>
      <c r="BV17" s="25">
        <v>0.1676868662129688</v>
      </c>
      <c r="BW17" s="25">
        <v>0.52694908987627909</v>
      </c>
      <c r="BX17" s="25">
        <v>0</v>
      </c>
      <c r="BY17" s="72">
        <f t="shared" si="1"/>
        <v>377.84581021053685</v>
      </c>
      <c r="BZ17" s="25">
        <v>6460.6450810491788</v>
      </c>
      <c r="CA17" s="25">
        <v>0.1990032115475113</v>
      </c>
      <c r="CB17" s="25">
        <v>0</v>
      </c>
      <c r="CC17" s="25">
        <v>7980.5129275240461</v>
      </c>
      <c r="CD17" s="25">
        <v>100.82735960011679</v>
      </c>
      <c r="CE17" s="25">
        <v>773.96981840481578</v>
      </c>
      <c r="CF17" s="25">
        <v>15316.154189789704</v>
      </c>
      <c r="CG17" s="25">
        <v>15694</v>
      </c>
      <c r="CH17"/>
      <c r="CI17">
        <f t="shared" si="0"/>
        <v>0.9759241869370272</v>
      </c>
      <c r="CJ17"/>
      <c r="CK17"/>
      <c r="CL17"/>
      <c r="CM17"/>
      <c r="CN17"/>
      <c r="CO17"/>
      <c r="CP17"/>
      <c r="CQ17"/>
      <c r="CR17"/>
      <c r="CS17"/>
      <c r="CT17"/>
      <c r="CU17"/>
    </row>
    <row r="18" spans="1:99" s="5" customFormat="1" x14ac:dyDescent="0.3">
      <c r="A18" s="35" t="s">
        <v>22</v>
      </c>
      <c r="B18" s="11" t="s">
        <v>96</v>
      </c>
      <c r="C18" s="5">
        <v>13</v>
      </c>
      <c r="D18" s="25">
        <v>642.38995914991267</v>
      </c>
      <c r="E18" s="25">
        <v>14.399924056563151</v>
      </c>
      <c r="F18" s="25">
        <v>1.8905924010699628</v>
      </c>
      <c r="G18" s="25">
        <v>137.05393396576258</v>
      </c>
      <c r="H18" s="25">
        <v>128.57781705556366</v>
      </c>
      <c r="I18" s="25">
        <v>4.1265763935516064</v>
      </c>
      <c r="J18" s="25">
        <v>4.1160996444608555</v>
      </c>
      <c r="K18" s="25">
        <v>27.277179168998604</v>
      </c>
      <c r="L18" s="25">
        <v>67.026326943523443</v>
      </c>
      <c r="M18" s="25">
        <v>244.79517413636665</v>
      </c>
      <c r="N18" s="25">
        <v>21.13741749931685</v>
      </c>
      <c r="O18" s="25">
        <v>0.8988048875095489</v>
      </c>
      <c r="P18" s="25">
        <v>8509.6725027076536</v>
      </c>
      <c r="Q18" s="25">
        <v>13628.942665461169</v>
      </c>
      <c r="R18" s="25">
        <v>2606.6689982240227</v>
      </c>
      <c r="S18" s="25">
        <v>11.305036241085562</v>
      </c>
      <c r="T18" s="25">
        <v>100.30504670143124</v>
      </c>
      <c r="U18" s="25">
        <v>4.970703710477153</v>
      </c>
      <c r="V18" s="25">
        <v>6.6119015002143851</v>
      </c>
      <c r="W18" s="25">
        <v>0.16966481583260196</v>
      </c>
      <c r="X18" s="25">
        <v>5.0263172570893799E-3</v>
      </c>
      <c r="Y18" s="25">
        <v>1.8458565298817506</v>
      </c>
      <c r="Z18" s="25">
        <v>35.196951389219521</v>
      </c>
      <c r="AA18" s="25">
        <v>48.249939392082702</v>
      </c>
      <c r="AB18" s="25">
        <v>20.283491721844559</v>
      </c>
      <c r="AC18" s="25">
        <v>108.51910475628955</v>
      </c>
      <c r="AD18" s="25">
        <v>616.57318395515813</v>
      </c>
      <c r="AE18" s="25">
        <v>37.796868736825743</v>
      </c>
      <c r="AF18" s="25">
        <v>8.8171957354994692</v>
      </c>
      <c r="AG18" s="25">
        <v>8.8828561755614253</v>
      </c>
      <c r="AH18" s="25">
        <v>67.883698788691959</v>
      </c>
      <c r="AI18" s="25">
        <v>11.98417717571572</v>
      </c>
      <c r="AJ18" s="25">
        <v>48.90490793791956</v>
      </c>
      <c r="AK18" s="25">
        <v>27.805664903220933</v>
      </c>
      <c r="AL18" s="25">
        <v>109.61916120841816</v>
      </c>
      <c r="AM18" s="25">
        <v>1418.3854685829376</v>
      </c>
      <c r="AN18" s="25">
        <v>76.782373121700076</v>
      </c>
      <c r="AO18" s="25">
        <v>1187.0203638690459</v>
      </c>
      <c r="AP18" s="25">
        <v>15.387052665470677</v>
      </c>
      <c r="AQ18" s="25">
        <v>17.872047667931913</v>
      </c>
      <c r="AR18" s="25">
        <v>2.9194152230452302</v>
      </c>
      <c r="AS18" s="25">
        <v>2.0916520634512921</v>
      </c>
      <c r="AT18" s="25">
        <v>10.512230026557557</v>
      </c>
      <c r="AU18" s="25">
        <v>10.389171028392157</v>
      </c>
      <c r="AV18" s="25">
        <v>480.37903467491014</v>
      </c>
      <c r="AW18" s="25">
        <v>45.60364462376473</v>
      </c>
      <c r="AX18" s="25">
        <v>208.38349727630995</v>
      </c>
      <c r="AY18" s="40">
        <v>65.056099808123761</v>
      </c>
      <c r="AZ18" s="25">
        <v>8.9390976009789842</v>
      </c>
      <c r="BA18" s="25">
        <v>2.0078706719482891</v>
      </c>
      <c r="BB18" s="25">
        <v>8.1661732111813912</v>
      </c>
      <c r="BC18" s="25">
        <v>204.64517883027327</v>
      </c>
      <c r="BD18" s="25">
        <v>171.47627033416506</v>
      </c>
      <c r="BE18" s="25">
        <v>1.8465202748561564</v>
      </c>
      <c r="BF18" s="25">
        <v>6.3454807842654946</v>
      </c>
      <c r="BG18" s="25">
        <v>6.815066617547167</v>
      </c>
      <c r="BH18" s="25">
        <v>5.4954300931416684</v>
      </c>
      <c r="BI18" s="25">
        <v>16.869637392032264</v>
      </c>
      <c r="BJ18" s="25">
        <v>8.8629152153000383</v>
      </c>
      <c r="BK18" s="25">
        <v>15.976461100229219</v>
      </c>
      <c r="BL18" s="25">
        <v>7.7212776824614524</v>
      </c>
      <c r="BM18" s="25">
        <v>6.6896441313662214</v>
      </c>
      <c r="BN18" s="25">
        <v>5.9205044364051247</v>
      </c>
      <c r="BO18" s="25">
        <v>21.534404552321512</v>
      </c>
      <c r="BP18" s="25">
        <v>1.8455538107723242</v>
      </c>
      <c r="BQ18" s="25">
        <v>53.257851822872077</v>
      </c>
      <c r="BR18" s="25">
        <v>39.209568468264159</v>
      </c>
      <c r="BS18" s="25">
        <v>10.574144275761332</v>
      </c>
      <c r="BT18" s="25">
        <v>31.833748900786112</v>
      </c>
      <c r="BU18" s="25">
        <v>90.553749147484865</v>
      </c>
      <c r="BV18" s="25">
        <v>9.5336882944586403</v>
      </c>
      <c r="BW18" s="25">
        <v>638.62633407498538</v>
      </c>
      <c r="BX18" s="25">
        <v>0</v>
      </c>
      <c r="BY18" s="72">
        <f t="shared" si="1"/>
        <v>32230.233031743588</v>
      </c>
      <c r="BZ18" s="25">
        <v>1908.2790781185861</v>
      </c>
      <c r="CA18" s="25">
        <v>0.66153601031069831</v>
      </c>
      <c r="CB18" s="25">
        <v>0</v>
      </c>
      <c r="CC18" s="25">
        <v>17845.997661049816</v>
      </c>
      <c r="CD18" s="25">
        <v>154.41796757896583</v>
      </c>
      <c r="CE18" s="25">
        <v>2653.4107255098629</v>
      </c>
      <c r="CF18" s="25">
        <v>22562.766968267551</v>
      </c>
      <c r="CG18" s="25">
        <v>54793</v>
      </c>
      <c r="CH18"/>
      <c r="CI18">
        <f t="shared" si="0"/>
        <v>0.41178192411927711</v>
      </c>
      <c r="CJ18"/>
      <c r="CK18"/>
      <c r="CL18"/>
      <c r="CM18"/>
      <c r="CN18"/>
      <c r="CO18"/>
      <c r="CP18"/>
      <c r="CQ18"/>
      <c r="CR18"/>
      <c r="CS18"/>
      <c r="CT18"/>
      <c r="CU18"/>
    </row>
    <row r="19" spans="1:99" s="5" customFormat="1" x14ac:dyDescent="0.3">
      <c r="A19" s="35" t="s">
        <v>23</v>
      </c>
      <c r="B19" s="11" t="s">
        <v>97</v>
      </c>
      <c r="C19" s="5">
        <v>14</v>
      </c>
      <c r="D19" s="25">
        <v>17.323867278338266</v>
      </c>
      <c r="E19" s="25">
        <v>5.2372681576537436</v>
      </c>
      <c r="F19" s="25">
        <v>7.6339939120000473</v>
      </c>
      <c r="G19" s="25">
        <v>3.9947180824234816</v>
      </c>
      <c r="H19" s="25">
        <v>81.492116957727674</v>
      </c>
      <c r="I19" s="25">
        <v>1.7349413267799365</v>
      </c>
      <c r="J19" s="25">
        <v>0.37286519447378519</v>
      </c>
      <c r="K19" s="25">
        <v>18.331541964755786</v>
      </c>
      <c r="L19" s="25">
        <v>1.20864935888813</v>
      </c>
      <c r="M19" s="25">
        <v>21.930676856322304</v>
      </c>
      <c r="N19" s="25">
        <v>3.1827196661696102</v>
      </c>
      <c r="O19" s="25">
        <v>1.0036996056339746</v>
      </c>
      <c r="P19" s="25">
        <v>71.691779280916506</v>
      </c>
      <c r="Q19" s="25">
        <v>1582.839850525208</v>
      </c>
      <c r="R19" s="25">
        <v>79.577090979978095</v>
      </c>
      <c r="S19" s="25">
        <v>1.1238955661117997</v>
      </c>
      <c r="T19" s="25">
        <v>4.3220354059665489</v>
      </c>
      <c r="U19" s="25">
        <v>0.78414974565975548</v>
      </c>
      <c r="V19" s="25">
        <v>8.8092295994456364</v>
      </c>
      <c r="W19" s="25">
        <v>0.22591754355993365</v>
      </c>
      <c r="X19" s="25">
        <v>1.554599391776372E-3</v>
      </c>
      <c r="Y19" s="25">
        <v>0.84125992911619984</v>
      </c>
      <c r="Z19" s="25">
        <v>5.0384603621065223</v>
      </c>
      <c r="AA19" s="25">
        <v>9.2754544251901656</v>
      </c>
      <c r="AB19" s="25">
        <v>2.1569417902720929</v>
      </c>
      <c r="AC19" s="25">
        <v>3.0755750545452463</v>
      </c>
      <c r="AD19" s="25">
        <v>8.2808849483007059</v>
      </c>
      <c r="AE19" s="25">
        <v>12.293952929940946</v>
      </c>
      <c r="AF19" s="25">
        <v>6.8007572114167489</v>
      </c>
      <c r="AG19" s="25">
        <v>2.1716691948156548</v>
      </c>
      <c r="AH19" s="25">
        <v>32.08815229965802</v>
      </c>
      <c r="AI19" s="25">
        <v>5.1657705704295518</v>
      </c>
      <c r="AJ19" s="25">
        <v>4.3884581940304495</v>
      </c>
      <c r="AK19" s="25">
        <v>8.4582379120234634</v>
      </c>
      <c r="AL19" s="25">
        <v>4.0511339901024614</v>
      </c>
      <c r="AM19" s="25">
        <v>35.390150127345009</v>
      </c>
      <c r="AN19" s="25">
        <v>1.9237426830195898</v>
      </c>
      <c r="AO19" s="25">
        <v>28.012600750207895</v>
      </c>
      <c r="AP19" s="25">
        <v>4.0830233869151051</v>
      </c>
      <c r="AQ19" s="25">
        <v>36.995596931237564</v>
      </c>
      <c r="AR19" s="25">
        <v>6.0432643686652794</v>
      </c>
      <c r="AS19" s="25">
        <v>4.3297734035637605</v>
      </c>
      <c r="AT19" s="25">
        <v>46.230723305515419</v>
      </c>
      <c r="AU19" s="25">
        <v>82.420701023561051</v>
      </c>
      <c r="AV19" s="25">
        <v>45.417060820707015</v>
      </c>
      <c r="AW19" s="25">
        <v>2.783118926733442</v>
      </c>
      <c r="AX19" s="25">
        <v>296.41425629013008</v>
      </c>
      <c r="AY19" s="40">
        <v>155.30225042612614</v>
      </c>
      <c r="AZ19" s="25">
        <v>6.0432338911520471</v>
      </c>
      <c r="BA19" s="25">
        <v>115.64312662153408</v>
      </c>
      <c r="BB19" s="25">
        <v>75.069671703947307</v>
      </c>
      <c r="BC19" s="25">
        <v>72.007671784655074</v>
      </c>
      <c r="BD19" s="25">
        <v>180.00493869988927</v>
      </c>
      <c r="BE19" s="25">
        <v>0.67414260808286297</v>
      </c>
      <c r="BF19" s="25">
        <v>97.39334038397088</v>
      </c>
      <c r="BG19" s="25">
        <v>28.506800092102779</v>
      </c>
      <c r="BH19" s="25">
        <v>2.156438786700603</v>
      </c>
      <c r="BI19" s="25">
        <v>420.91592743514707</v>
      </c>
      <c r="BJ19" s="25">
        <v>27.273078320231107</v>
      </c>
      <c r="BK19" s="25">
        <v>9.382601561667073</v>
      </c>
      <c r="BL19" s="25">
        <v>113.5439691610773</v>
      </c>
      <c r="BM19" s="25">
        <v>27.862324383504191</v>
      </c>
      <c r="BN19" s="25">
        <v>2.3152493295037635</v>
      </c>
      <c r="BO19" s="25">
        <v>114.83274158687838</v>
      </c>
      <c r="BP19" s="25">
        <v>148.98131377198752</v>
      </c>
      <c r="BQ19" s="25">
        <v>473.71644863317158</v>
      </c>
      <c r="BR19" s="25">
        <v>417.50202608154927</v>
      </c>
      <c r="BS19" s="25">
        <v>2.4802471084087681</v>
      </c>
      <c r="BT19" s="25">
        <v>40.228511835473206</v>
      </c>
      <c r="BU19" s="25">
        <v>75.033604900615117</v>
      </c>
      <c r="BV19" s="25">
        <v>90.855037879581531</v>
      </c>
      <c r="BW19" s="25">
        <v>713.71251247909129</v>
      </c>
      <c r="BX19" s="25">
        <v>0</v>
      </c>
      <c r="BY19" s="72">
        <f t="shared" si="1"/>
        <v>6018.390491903001</v>
      </c>
      <c r="BZ19" s="25">
        <v>1487.0023533941203</v>
      </c>
      <c r="CA19" s="25">
        <v>18.256368632936255</v>
      </c>
      <c r="CB19" s="25">
        <v>0</v>
      </c>
      <c r="CC19" s="25">
        <v>56258.295320507816</v>
      </c>
      <c r="CD19" s="25">
        <v>119.90141429200371</v>
      </c>
      <c r="CE19" s="25">
        <v>2530.1540512722554</v>
      </c>
      <c r="CF19" s="25">
        <v>60413.609508099093</v>
      </c>
      <c r="CG19" s="25">
        <v>66432</v>
      </c>
      <c r="CH19"/>
      <c r="CI19">
        <f t="shared" si="0"/>
        <v>0.90940524909831244</v>
      </c>
      <c r="CJ19"/>
      <c r="CK19"/>
      <c r="CL19"/>
      <c r="CM19"/>
      <c r="CN19"/>
      <c r="CO19"/>
      <c r="CP19"/>
      <c r="CQ19"/>
      <c r="CR19"/>
      <c r="CS19"/>
      <c r="CT19"/>
      <c r="CU19"/>
    </row>
    <row r="20" spans="1:99" s="5" customFormat="1" x14ac:dyDescent="0.3">
      <c r="A20" s="35" t="s">
        <v>24</v>
      </c>
      <c r="B20" s="13" t="s">
        <v>98</v>
      </c>
      <c r="C20" s="5">
        <v>15</v>
      </c>
      <c r="D20" s="25">
        <v>3.1656503368254212</v>
      </c>
      <c r="E20" s="25">
        <v>3.5016145817022655</v>
      </c>
      <c r="F20" s="25">
        <v>0.11250466792074208</v>
      </c>
      <c r="G20" s="25">
        <v>1.2552648448728361</v>
      </c>
      <c r="H20" s="25">
        <v>7.230083457881797</v>
      </c>
      <c r="I20" s="25">
        <v>3.1731176114512492</v>
      </c>
      <c r="J20" s="25">
        <v>0.2911685720237227</v>
      </c>
      <c r="K20" s="25">
        <v>14.205273766469926</v>
      </c>
      <c r="L20" s="25">
        <v>0.35946420768424214</v>
      </c>
      <c r="M20" s="25">
        <v>18.63153693478959</v>
      </c>
      <c r="N20" s="25">
        <v>4.7600469544155501</v>
      </c>
      <c r="O20" s="25">
        <v>0.20646677645055178</v>
      </c>
      <c r="P20" s="25">
        <v>4.6290137458726655</v>
      </c>
      <c r="Q20" s="25">
        <v>3.9448713309004133</v>
      </c>
      <c r="R20" s="25">
        <v>4155.6638549254176</v>
      </c>
      <c r="S20" s="25">
        <v>0.76695931972554121</v>
      </c>
      <c r="T20" s="25">
        <v>61.973868951911165</v>
      </c>
      <c r="U20" s="25">
        <v>1.8174690548495949</v>
      </c>
      <c r="V20" s="25">
        <v>1.0066646767342782</v>
      </c>
      <c r="W20" s="25">
        <v>2.5850075389228028E-2</v>
      </c>
      <c r="X20" s="25">
        <v>1.4882634456147273E-3</v>
      </c>
      <c r="Y20" s="25">
        <v>1.1895828463229976</v>
      </c>
      <c r="Z20" s="25">
        <v>3.0979993367822507</v>
      </c>
      <c r="AA20" s="25">
        <v>4.0532564004503708</v>
      </c>
      <c r="AB20" s="25">
        <v>5.6541105554984581</v>
      </c>
      <c r="AC20" s="25">
        <v>2.9261179072739241</v>
      </c>
      <c r="AD20" s="25">
        <v>20.455284808029276</v>
      </c>
      <c r="AE20" s="25">
        <v>2.9266939546275155</v>
      </c>
      <c r="AF20" s="25">
        <v>1.6093491459344706</v>
      </c>
      <c r="AG20" s="25">
        <v>1.0869083119438476</v>
      </c>
      <c r="AH20" s="25">
        <v>21.021282281114541</v>
      </c>
      <c r="AI20" s="25">
        <v>2.0171853123896883</v>
      </c>
      <c r="AJ20" s="25">
        <v>3.6322328564495923</v>
      </c>
      <c r="AK20" s="25">
        <v>6.1046983499278547</v>
      </c>
      <c r="AL20" s="25">
        <v>32.39202355927673</v>
      </c>
      <c r="AM20" s="25">
        <v>14.553318255000438</v>
      </c>
      <c r="AN20" s="25">
        <v>2.2000245250973318</v>
      </c>
      <c r="AO20" s="25">
        <v>34.980015712238689</v>
      </c>
      <c r="AP20" s="25">
        <v>3.5512269715090663</v>
      </c>
      <c r="AQ20" s="25">
        <v>48.542151785512054</v>
      </c>
      <c r="AR20" s="25">
        <v>7.9294045939837607</v>
      </c>
      <c r="AS20" s="25">
        <v>5.6811224898820534</v>
      </c>
      <c r="AT20" s="25">
        <v>62.416992316027851</v>
      </c>
      <c r="AU20" s="25">
        <v>0.97683659044505045</v>
      </c>
      <c r="AV20" s="25">
        <v>38.909173635655499</v>
      </c>
      <c r="AW20" s="25">
        <v>8.9998049757904486</v>
      </c>
      <c r="AX20" s="25">
        <v>18.534076538664536</v>
      </c>
      <c r="AY20" s="40">
        <v>16.556329365011656</v>
      </c>
      <c r="AZ20" s="25">
        <v>8.0811358525520044E-2</v>
      </c>
      <c r="BA20" s="25">
        <v>1.6804029088899453</v>
      </c>
      <c r="BB20" s="25">
        <v>0.60163347377445087</v>
      </c>
      <c r="BC20" s="25">
        <v>1.5930623870171838</v>
      </c>
      <c r="BD20" s="25">
        <v>19.165198497563843</v>
      </c>
      <c r="BE20" s="25">
        <v>1.0106411104110542</v>
      </c>
      <c r="BF20" s="25">
        <v>21.927959997995146</v>
      </c>
      <c r="BG20" s="25">
        <v>1.2906255395217827</v>
      </c>
      <c r="BH20" s="25">
        <v>3.3661820209957516</v>
      </c>
      <c r="BI20" s="25">
        <v>2.4523121619275736</v>
      </c>
      <c r="BJ20" s="25">
        <v>0.71811162448815435</v>
      </c>
      <c r="BK20" s="25">
        <v>1.4974092179878471</v>
      </c>
      <c r="BL20" s="25">
        <v>6.3304120503115779</v>
      </c>
      <c r="BM20" s="25">
        <v>1.975185981076947</v>
      </c>
      <c r="BN20" s="25">
        <v>1.1834953655319842</v>
      </c>
      <c r="BO20" s="25">
        <v>5.4848328294669395</v>
      </c>
      <c r="BP20" s="25">
        <v>49.192873267605989</v>
      </c>
      <c r="BQ20" s="25">
        <v>23.113457894109349</v>
      </c>
      <c r="BR20" s="25">
        <v>3.4092172432266792</v>
      </c>
      <c r="BS20" s="25">
        <v>0.5726037308362002</v>
      </c>
      <c r="BT20" s="25">
        <v>3.6907174135698084</v>
      </c>
      <c r="BU20" s="25">
        <v>5.9127732555703849</v>
      </c>
      <c r="BV20" s="25">
        <v>0.71157968631764146</v>
      </c>
      <c r="BW20" s="25">
        <v>3.5661619901216595</v>
      </c>
      <c r="BX20" s="25">
        <v>0</v>
      </c>
      <c r="BY20" s="72">
        <f t="shared" si="1"/>
        <v>4819.2470974444177</v>
      </c>
      <c r="BZ20" s="25">
        <v>6665.3743838161636</v>
      </c>
      <c r="CA20" s="25">
        <v>0.18919681769293806</v>
      </c>
      <c r="CB20" s="25">
        <v>0</v>
      </c>
      <c r="CC20" s="25">
        <v>30701.253822498617</v>
      </c>
      <c r="CD20" s="25">
        <v>358.76273421774158</v>
      </c>
      <c r="CE20" s="25">
        <v>1303.1727652059487</v>
      </c>
      <c r="CF20" s="25">
        <v>39028.752902556174</v>
      </c>
      <c r="CG20" s="25">
        <v>43848</v>
      </c>
      <c r="CH20"/>
      <c r="CI20">
        <f t="shared" si="0"/>
        <v>0.89009197460673628</v>
      </c>
      <c r="CJ20"/>
      <c r="CK20"/>
      <c r="CL20"/>
      <c r="CM20"/>
      <c r="CN20"/>
      <c r="CO20"/>
      <c r="CP20"/>
      <c r="CQ20"/>
      <c r="CR20"/>
      <c r="CS20"/>
      <c r="CT20"/>
      <c r="CU20"/>
    </row>
    <row r="21" spans="1:99" s="5" customFormat="1" x14ac:dyDescent="0.3">
      <c r="A21" s="35" t="s">
        <v>25</v>
      </c>
      <c r="B21" s="13" t="s">
        <v>99</v>
      </c>
      <c r="C21" s="5">
        <v>16</v>
      </c>
      <c r="D21" s="25">
        <v>575.89959297462758</v>
      </c>
      <c r="E21" s="25">
        <v>408.86174245243643</v>
      </c>
      <c r="F21" s="25">
        <v>27.078125575125597</v>
      </c>
      <c r="G21" s="25">
        <v>5.0211369652671012</v>
      </c>
      <c r="H21" s="25">
        <v>3.1760824510168657</v>
      </c>
      <c r="I21" s="25">
        <v>1.225781096353548</v>
      </c>
      <c r="J21" s="25">
        <v>0.26039057385195663</v>
      </c>
      <c r="K21" s="25">
        <v>57.13450516522834</v>
      </c>
      <c r="L21" s="25">
        <v>0.62410237435219007</v>
      </c>
      <c r="M21" s="25">
        <v>405.6063431206822</v>
      </c>
      <c r="N21" s="25">
        <v>91.150689799000702</v>
      </c>
      <c r="O21" s="25">
        <v>0.29916003822419512</v>
      </c>
      <c r="P21" s="25">
        <v>31.360025702729924</v>
      </c>
      <c r="Q21" s="25">
        <v>2.5333417873788457</v>
      </c>
      <c r="R21" s="25">
        <v>0.97262586335494794</v>
      </c>
      <c r="S21" s="25">
        <v>3561.053935604044</v>
      </c>
      <c r="T21" s="25">
        <v>551.46127657983902</v>
      </c>
      <c r="U21" s="25">
        <v>0.56589008260184981</v>
      </c>
      <c r="V21" s="25">
        <v>2.0630228964122397</v>
      </c>
      <c r="W21" s="25">
        <v>5.2923185107571026E-2</v>
      </c>
      <c r="X21" s="25">
        <v>9.8132278302966972E-4</v>
      </c>
      <c r="Y21" s="25">
        <v>0.99085793010736489</v>
      </c>
      <c r="Z21" s="25">
        <v>24.669118147257489</v>
      </c>
      <c r="AA21" s="25">
        <v>49.781551585969268</v>
      </c>
      <c r="AB21" s="25">
        <v>1.8465129933731801</v>
      </c>
      <c r="AC21" s="25">
        <v>1.8269033600244682</v>
      </c>
      <c r="AD21" s="25">
        <v>4.9169045298608154</v>
      </c>
      <c r="AE21" s="25">
        <v>38.360309208720174</v>
      </c>
      <c r="AF21" s="25">
        <v>20.559373261957724</v>
      </c>
      <c r="AG21" s="25">
        <v>0.48397907430069476</v>
      </c>
      <c r="AH21" s="25">
        <v>244.31850088754982</v>
      </c>
      <c r="AI21" s="25">
        <v>2.0560778944507638</v>
      </c>
      <c r="AJ21" s="25">
        <v>5.5533200993508265</v>
      </c>
      <c r="AK21" s="25">
        <v>268.62275604968454</v>
      </c>
      <c r="AL21" s="25">
        <v>139.86950335432778</v>
      </c>
      <c r="AM21" s="25">
        <v>94.283122241299196</v>
      </c>
      <c r="AN21" s="25">
        <v>114.49865904488344</v>
      </c>
      <c r="AO21" s="25">
        <v>5155.4476853721289</v>
      </c>
      <c r="AP21" s="25">
        <v>2.9704190557009564</v>
      </c>
      <c r="AQ21" s="25">
        <v>303.96864307328116</v>
      </c>
      <c r="AR21" s="25">
        <v>49.653553996995726</v>
      </c>
      <c r="AS21" s="25">
        <v>35.574918516446054</v>
      </c>
      <c r="AT21" s="25">
        <v>28.219834389706026</v>
      </c>
      <c r="AU21" s="25">
        <v>6.525193357906546</v>
      </c>
      <c r="AV21" s="25">
        <v>5272.3530022514924</v>
      </c>
      <c r="AW21" s="25">
        <v>15.796129529045754</v>
      </c>
      <c r="AX21" s="25">
        <v>2542.947086809711</v>
      </c>
      <c r="AY21" s="40">
        <v>6.0463049545752678</v>
      </c>
      <c r="AZ21" s="25">
        <v>0.38099368759197688</v>
      </c>
      <c r="BA21" s="25">
        <v>0.50376783023816563</v>
      </c>
      <c r="BB21" s="25">
        <v>111.10870455918798</v>
      </c>
      <c r="BC21" s="25">
        <v>5.2650195955158399</v>
      </c>
      <c r="BD21" s="25">
        <v>27.278433124969197</v>
      </c>
      <c r="BE21" s="25">
        <v>0.92471510396970635</v>
      </c>
      <c r="BF21" s="25">
        <v>117.467944899315</v>
      </c>
      <c r="BG21" s="25">
        <v>9.4640346180192836</v>
      </c>
      <c r="BH21" s="25">
        <v>7.9710762440111775</v>
      </c>
      <c r="BI21" s="25">
        <v>22.249568143588508</v>
      </c>
      <c r="BJ21" s="25">
        <v>451.81329834525707</v>
      </c>
      <c r="BK21" s="25">
        <v>22.141556094672666</v>
      </c>
      <c r="BL21" s="25">
        <v>4.3252286635431245</v>
      </c>
      <c r="BM21" s="25">
        <v>4.8999483457747859</v>
      </c>
      <c r="BN21" s="25">
        <v>4.9439587295902365</v>
      </c>
      <c r="BO21" s="25">
        <v>143.49876687177465</v>
      </c>
      <c r="BP21" s="25">
        <v>1.1495339044149535</v>
      </c>
      <c r="BQ21" s="25">
        <v>85.991655433995788</v>
      </c>
      <c r="BR21" s="25">
        <v>26.267861447526954</v>
      </c>
      <c r="BS21" s="25">
        <v>20.108720825582562</v>
      </c>
      <c r="BT21" s="25">
        <v>5.5608174430738391</v>
      </c>
      <c r="BU21" s="25">
        <v>17.945372646197391</v>
      </c>
      <c r="BV21" s="25">
        <v>15.604886622927555</v>
      </c>
      <c r="BW21" s="25">
        <v>231.26643156306363</v>
      </c>
      <c r="BX21" s="25">
        <v>0</v>
      </c>
      <c r="BY21" s="72">
        <f t="shared" si="1"/>
        <v>21496.674191324331</v>
      </c>
      <c r="BZ21" s="25">
        <v>8988.4962240800105</v>
      </c>
      <c r="CA21" s="25">
        <v>0.12378141963519998</v>
      </c>
      <c r="CB21" s="25">
        <v>0</v>
      </c>
      <c r="CC21" s="25">
        <v>2436.8813076685633</v>
      </c>
      <c r="CD21" s="25">
        <v>124.74319635612343</v>
      </c>
      <c r="CE21" s="25">
        <v>-359.91870082642885</v>
      </c>
      <c r="CF21" s="25">
        <v>11190.325808697906</v>
      </c>
      <c r="CG21" s="25">
        <v>32687</v>
      </c>
      <c r="CH21"/>
      <c r="CI21">
        <f t="shared" si="0"/>
        <v>0.34234790004276644</v>
      </c>
      <c r="CJ21"/>
      <c r="CK21"/>
      <c r="CL21"/>
      <c r="CM21"/>
      <c r="CN21"/>
      <c r="CO21"/>
      <c r="CP21"/>
      <c r="CQ21"/>
      <c r="CR21"/>
      <c r="CS21"/>
      <c r="CT21"/>
      <c r="CU21"/>
    </row>
    <row r="22" spans="1:99" s="5" customFormat="1" x14ac:dyDescent="0.3">
      <c r="A22" s="35" t="s">
        <v>26</v>
      </c>
      <c r="B22" s="11" t="s">
        <v>100</v>
      </c>
      <c r="C22" s="5">
        <v>17</v>
      </c>
      <c r="D22" s="25">
        <v>484.47657908812602</v>
      </c>
      <c r="E22" s="25">
        <v>163.41992247595826</v>
      </c>
      <c r="F22" s="25">
        <v>20.615260347114198</v>
      </c>
      <c r="G22" s="25">
        <v>5.8578921770495143</v>
      </c>
      <c r="H22" s="25">
        <v>63.998590091409142</v>
      </c>
      <c r="I22" s="25">
        <v>116.44933324596096</v>
      </c>
      <c r="J22" s="25">
        <v>19.522373066008036</v>
      </c>
      <c r="K22" s="25">
        <v>2946.450864063343</v>
      </c>
      <c r="L22" s="25">
        <v>16.792677936772492</v>
      </c>
      <c r="M22" s="25">
        <v>3579.4642539699116</v>
      </c>
      <c r="N22" s="25">
        <v>227.40911400973994</v>
      </c>
      <c r="O22" s="25">
        <v>527.10497440370898</v>
      </c>
      <c r="P22" s="25">
        <v>533.58149741546777</v>
      </c>
      <c r="Q22" s="25">
        <v>304.23519179800036</v>
      </c>
      <c r="R22" s="25">
        <v>599.12898950250974</v>
      </c>
      <c r="S22" s="25">
        <v>997.05550669050319</v>
      </c>
      <c r="T22" s="25">
        <v>17336.141523292394</v>
      </c>
      <c r="U22" s="25">
        <v>1080.5644362790067</v>
      </c>
      <c r="V22" s="25">
        <v>149.69532659309297</v>
      </c>
      <c r="W22" s="25">
        <v>3.8398047693873503</v>
      </c>
      <c r="X22" s="25">
        <v>5.7059413013689622E-2</v>
      </c>
      <c r="Y22" s="25">
        <v>55.80084979190098</v>
      </c>
      <c r="Z22" s="25">
        <v>109.13595645361006</v>
      </c>
      <c r="AA22" s="25">
        <v>203.32754747843759</v>
      </c>
      <c r="AB22" s="25">
        <v>1479.5944059635219</v>
      </c>
      <c r="AC22" s="25">
        <v>881.64015201840959</v>
      </c>
      <c r="AD22" s="25">
        <v>2148.3735267543443</v>
      </c>
      <c r="AE22" s="25">
        <v>1464.0260625544502</v>
      </c>
      <c r="AF22" s="25">
        <v>44.193157211983952</v>
      </c>
      <c r="AG22" s="25">
        <v>18.777785833759225</v>
      </c>
      <c r="AH22" s="25">
        <v>1188.0628875288216</v>
      </c>
      <c r="AI22" s="25">
        <v>697.10906438325617</v>
      </c>
      <c r="AJ22" s="25">
        <v>368.93227969774961</v>
      </c>
      <c r="AK22" s="25">
        <v>132.28754563704774</v>
      </c>
      <c r="AL22" s="25">
        <v>290.31712655254341</v>
      </c>
      <c r="AM22" s="25">
        <v>705.04817118748031</v>
      </c>
      <c r="AN22" s="25">
        <v>47.987182601319333</v>
      </c>
      <c r="AO22" s="25">
        <v>861.40980278848042</v>
      </c>
      <c r="AP22" s="25">
        <v>24.287570788032568</v>
      </c>
      <c r="AQ22" s="25">
        <v>60.292344010331433</v>
      </c>
      <c r="AR22" s="25">
        <v>9.8488091687822603</v>
      </c>
      <c r="AS22" s="25">
        <v>7.056304241276564</v>
      </c>
      <c r="AT22" s="25">
        <v>3.9153997106606142</v>
      </c>
      <c r="AU22" s="25">
        <v>57.548798715221388</v>
      </c>
      <c r="AV22" s="25">
        <v>341.38662747232547</v>
      </c>
      <c r="AW22" s="25">
        <v>605.5091366437631</v>
      </c>
      <c r="AX22" s="25">
        <v>5757.9757212547684</v>
      </c>
      <c r="AY22" s="40">
        <v>172.26839729477263</v>
      </c>
      <c r="AZ22" s="25">
        <v>44.88445765631959</v>
      </c>
      <c r="BA22" s="25">
        <v>16.699982283057626</v>
      </c>
      <c r="BB22" s="25">
        <v>301.23450955963051</v>
      </c>
      <c r="BC22" s="25">
        <v>179.6825292729275</v>
      </c>
      <c r="BD22" s="25">
        <v>1295.139463873573</v>
      </c>
      <c r="BE22" s="25">
        <v>769.85663133136416</v>
      </c>
      <c r="BF22" s="25">
        <v>121.38809587312124</v>
      </c>
      <c r="BG22" s="25">
        <v>60.099533494634706</v>
      </c>
      <c r="BH22" s="25">
        <v>566.53763841641342</v>
      </c>
      <c r="BI22" s="25">
        <v>1394.2435368236875</v>
      </c>
      <c r="BJ22" s="25">
        <v>292.67537925035981</v>
      </c>
      <c r="BK22" s="25">
        <v>1496.7377422322315</v>
      </c>
      <c r="BL22" s="25">
        <v>375.26764977143358</v>
      </c>
      <c r="BM22" s="25">
        <v>516.77110522424675</v>
      </c>
      <c r="BN22" s="25">
        <v>441.52115269618628</v>
      </c>
      <c r="BO22" s="25">
        <v>1897.0610850099845</v>
      </c>
      <c r="BP22" s="25">
        <v>35.822763577414072</v>
      </c>
      <c r="BQ22" s="25">
        <v>843.65663235393299</v>
      </c>
      <c r="BR22" s="25">
        <v>646.23875732468036</v>
      </c>
      <c r="BS22" s="25">
        <v>483.89953808075313</v>
      </c>
      <c r="BT22" s="25">
        <v>130.78637323516386</v>
      </c>
      <c r="BU22" s="25">
        <v>839.06053927534674</v>
      </c>
      <c r="BV22" s="25">
        <v>66.767841390422049</v>
      </c>
      <c r="BW22" s="25">
        <v>558.64345554160946</v>
      </c>
      <c r="BX22" s="25">
        <v>0</v>
      </c>
      <c r="BY22" s="72">
        <f t="shared" si="1"/>
        <v>60286.650177914038</v>
      </c>
      <c r="BZ22" s="25">
        <v>34160.217659532369</v>
      </c>
      <c r="CA22" s="25">
        <v>0.21114252305990536</v>
      </c>
      <c r="CB22" s="25">
        <v>0</v>
      </c>
      <c r="CC22" s="25">
        <v>14142.497722479031</v>
      </c>
      <c r="CD22" s="25">
        <v>218.06720880545404</v>
      </c>
      <c r="CE22" s="25">
        <v>787.35608879618803</v>
      </c>
      <c r="CF22" s="25">
        <v>49308.349822136122</v>
      </c>
      <c r="CG22" s="25">
        <v>109595</v>
      </c>
      <c r="CH22"/>
      <c r="CI22">
        <f t="shared" si="0"/>
        <v>0.44991422804084241</v>
      </c>
      <c r="CJ22"/>
      <c r="CK22"/>
      <c r="CL22"/>
      <c r="CM22"/>
      <c r="CN22"/>
      <c r="CO22"/>
      <c r="CP22"/>
      <c r="CQ22"/>
      <c r="CR22"/>
      <c r="CS22"/>
      <c r="CT22"/>
      <c r="CU22"/>
    </row>
    <row r="23" spans="1:99" s="5" customFormat="1" x14ac:dyDescent="0.3">
      <c r="A23" s="35" t="s">
        <v>27</v>
      </c>
      <c r="B23" s="11" t="s">
        <v>101</v>
      </c>
      <c r="C23" s="5">
        <v>18</v>
      </c>
      <c r="D23" s="25">
        <v>13.339322336485235</v>
      </c>
      <c r="E23" s="25">
        <v>3.1329613532081737</v>
      </c>
      <c r="F23" s="25">
        <v>2.4387295803335323</v>
      </c>
      <c r="G23" s="25">
        <v>0.41174963220345551</v>
      </c>
      <c r="H23" s="25">
        <v>6.6182739715733696</v>
      </c>
      <c r="I23" s="25">
        <v>14.804113355511834</v>
      </c>
      <c r="J23" s="25">
        <v>3.8701544742412097</v>
      </c>
      <c r="K23" s="25">
        <v>85.186409952943919</v>
      </c>
      <c r="L23" s="25">
        <v>11.087753283561041</v>
      </c>
      <c r="M23" s="25">
        <v>114.11040389106206</v>
      </c>
      <c r="N23" s="25">
        <v>221.79900535780783</v>
      </c>
      <c r="O23" s="25">
        <v>5.157676783603768</v>
      </c>
      <c r="P23" s="25">
        <v>17.391981351023837</v>
      </c>
      <c r="Q23" s="25">
        <v>19.532918733880258</v>
      </c>
      <c r="R23" s="25">
        <v>12.239218348222984</v>
      </c>
      <c r="S23" s="25">
        <v>28.70140216483221</v>
      </c>
      <c r="T23" s="25">
        <v>196.93695866879804</v>
      </c>
      <c r="U23" s="25">
        <v>996.48161893031045</v>
      </c>
      <c r="V23" s="25">
        <v>8.9755705319727976</v>
      </c>
      <c r="W23" s="25">
        <v>0.23020988411853741</v>
      </c>
      <c r="X23" s="25">
        <v>2.6149486501612427E-3</v>
      </c>
      <c r="Y23" s="25">
        <v>9.8994416833193135</v>
      </c>
      <c r="Z23" s="25">
        <v>5.5179686526019465</v>
      </c>
      <c r="AA23" s="25">
        <v>23.272288452989464</v>
      </c>
      <c r="AB23" s="25">
        <v>16.904612099165309</v>
      </c>
      <c r="AC23" s="25">
        <v>18.810886334988925</v>
      </c>
      <c r="AD23" s="25">
        <v>61.632086605662025</v>
      </c>
      <c r="AE23" s="25">
        <v>25.16405186894179</v>
      </c>
      <c r="AF23" s="25">
        <v>18.243604821766155</v>
      </c>
      <c r="AG23" s="25">
        <v>1.7709165931754178</v>
      </c>
      <c r="AH23" s="25">
        <v>31.445401191103375</v>
      </c>
      <c r="AI23" s="25">
        <v>194.60325009516066</v>
      </c>
      <c r="AJ23" s="25">
        <v>13.867940817486756</v>
      </c>
      <c r="AK23" s="25">
        <v>22.023420020685744</v>
      </c>
      <c r="AL23" s="25">
        <v>28.005185858666746</v>
      </c>
      <c r="AM23" s="25">
        <v>28.21837239817825</v>
      </c>
      <c r="AN23" s="25">
        <v>5.3995950654618863</v>
      </c>
      <c r="AO23" s="25">
        <v>39.211127289602899</v>
      </c>
      <c r="AP23" s="25">
        <v>3.8478854595298939</v>
      </c>
      <c r="AQ23" s="25">
        <v>22.346285787186023</v>
      </c>
      <c r="AR23" s="25">
        <v>3.6502860846039376</v>
      </c>
      <c r="AS23" s="25">
        <v>2.6152937618394665</v>
      </c>
      <c r="AT23" s="25">
        <v>5.3059561107700794</v>
      </c>
      <c r="AU23" s="25">
        <v>11.366928333523759</v>
      </c>
      <c r="AV23" s="25">
        <v>71.515593522430578</v>
      </c>
      <c r="AW23" s="25">
        <v>111.40668932156279</v>
      </c>
      <c r="AX23" s="25">
        <v>6729.9426449456223</v>
      </c>
      <c r="AY23" s="40">
        <v>56.85771285147267</v>
      </c>
      <c r="AZ23" s="25">
        <v>1.7187503961847612</v>
      </c>
      <c r="BA23" s="25">
        <v>33.680218153388793</v>
      </c>
      <c r="BB23" s="25">
        <v>63.906744764856342</v>
      </c>
      <c r="BC23" s="25">
        <v>10.455078327361646</v>
      </c>
      <c r="BD23" s="25">
        <v>101.21687459716247</v>
      </c>
      <c r="BE23" s="25">
        <v>1189.4141458884806</v>
      </c>
      <c r="BF23" s="25">
        <v>211.93620447332046</v>
      </c>
      <c r="BG23" s="25">
        <v>605.27134125392308</v>
      </c>
      <c r="BH23" s="25">
        <v>538.32545311209321</v>
      </c>
      <c r="BI23" s="25">
        <v>1458.0065591688883</v>
      </c>
      <c r="BJ23" s="25">
        <v>330.83616985435003</v>
      </c>
      <c r="BK23" s="25">
        <v>556.47460661289415</v>
      </c>
      <c r="BL23" s="25">
        <v>226.79438734614351</v>
      </c>
      <c r="BM23" s="25">
        <v>2104.0793969167003</v>
      </c>
      <c r="BN23" s="25">
        <v>63.744541446255411</v>
      </c>
      <c r="BO23" s="25">
        <v>1293.0832488715801</v>
      </c>
      <c r="BP23" s="25">
        <v>2.9332676004145624</v>
      </c>
      <c r="BQ23" s="25">
        <v>1054.3198988395673</v>
      </c>
      <c r="BR23" s="25">
        <v>222.82941521498168</v>
      </c>
      <c r="BS23" s="25">
        <v>41.714129950786727</v>
      </c>
      <c r="BT23" s="25">
        <v>89.605469705838274</v>
      </c>
      <c r="BU23" s="25">
        <v>103.38244922351554</v>
      </c>
      <c r="BV23" s="25">
        <v>328.68184010140919</v>
      </c>
      <c r="BW23" s="25">
        <v>344.79312245990695</v>
      </c>
      <c r="BX23" s="25">
        <v>0</v>
      </c>
      <c r="BY23" s="72">
        <f t="shared" si="1"/>
        <v>20302.49778784185</v>
      </c>
      <c r="BZ23" s="25">
        <v>176.53574298205356</v>
      </c>
      <c r="CA23" s="25">
        <v>0.26935788229663143</v>
      </c>
      <c r="CB23" s="25">
        <v>0</v>
      </c>
      <c r="CC23" s="25">
        <v>1258.4005468510047</v>
      </c>
      <c r="CD23" s="25">
        <v>40.666815602113267</v>
      </c>
      <c r="CE23" s="25">
        <v>-445.37025112817054</v>
      </c>
      <c r="CF23" s="25">
        <v>1030.5022121892976</v>
      </c>
      <c r="CG23" s="25">
        <v>21333</v>
      </c>
      <c r="CH23"/>
      <c r="CI23">
        <f t="shared" si="0"/>
        <v>4.8305545970529114E-2</v>
      </c>
      <c r="CJ23"/>
      <c r="CK23"/>
      <c r="CL23"/>
      <c r="CM23"/>
      <c r="CN23"/>
      <c r="CO23"/>
      <c r="CP23"/>
      <c r="CQ23"/>
      <c r="CR23"/>
      <c r="CS23"/>
      <c r="CT23"/>
      <c r="CU23"/>
    </row>
    <row r="24" spans="1:99" s="18" customFormat="1" x14ac:dyDescent="0.3">
      <c r="A24" s="35" t="s">
        <v>28</v>
      </c>
      <c r="B24" s="4" t="s">
        <v>102</v>
      </c>
      <c r="C24" s="18">
        <v>19</v>
      </c>
      <c r="D24" s="46">
        <v>12522.632519533092</v>
      </c>
      <c r="E24" s="46">
        <v>4529.1576882829731</v>
      </c>
      <c r="F24" s="46">
        <v>691.20360658459242</v>
      </c>
      <c r="G24" s="46">
        <v>1123.6606102339751</v>
      </c>
      <c r="H24" s="46">
        <v>3436.5901396139275</v>
      </c>
      <c r="I24" s="46">
        <v>4990.8881594386366</v>
      </c>
      <c r="J24" s="46">
        <v>1243.4586100658526</v>
      </c>
      <c r="K24" s="46">
        <v>3099.5978747182226</v>
      </c>
      <c r="L24" s="46">
        <v>901.23197496123021</v>
      </c>
      <c r="M24" s="46">
        <v>3777.5560112972616</v>
      </c>
      <c r="N24" s="46">
        <v>721.48778110527439</v>
      </c>
      <c r="O24" s="46">
        <v>19.753751511316885</v>
      </c>
      <c r="P24" s="46">
        <v>252.82664097451064</v>
      </c>
      <c r="Q24" s="46">
        <v>105.1450681065524</v>
      </c>
      <c r="R24" s="46">
        <v>196.64050937947721</v>
      </c>
      <c r="S24" s="46">
        <v>273.71901313171429</v>
      </c>
      <c r="T24" s="46">
        <v>2024.9337788883145</v>
      </c>
      <c r="U24" s="46">
        <v>22.932426491456628</v>
      </c>
      <c r="V24" s="46">
        <v>110832.26105709503</v>
      </c>
      <c r="W24" s="46">
        <v>2852.6018414340801</v>
      </c>
      <c r="X24" s="46">
        <v>913.18108339073501</v>
      </c>
      <c r="Y24" s="46">
        <v>372.77800864538665</v>
      </c>
      <c r="Z24" s="46">
        <v>10873.963150608515</v>
      </c>
      <c r="AA24" s="46">
        <v>960.79738217402087</v>
      </c>
      <c r="AB24" s="46">
        <v>470.1262062355666</v>
      </c>
      <c r="AC24" s="46">
        <v>187.46501781303067</v>
      </c>
      <c r="AD24" s="46">
        <v>1671.0651731823252</v>
      </c>
      <c r="AE24" s="46">
        <v>2993.1382155248989</v>
      </c>
      <c r="AF24" s="46">
        <v>1853.8128862687497</v>
      </c>
      <c r="AG24" s="46">
        <v>2401.590078444216</v>
      </c>
      <c r="AH24" s="46">
        <v>412.73978207336182</v>
      </c>
      <c r="AI24" s="46">
        <v>196.80683430812857</v>
      </c>
      <c r="AJ24" s="46">
        <v>532.91945425261213</v>
      </c>
      <c r="AK24" s="46">
        <v>438.35205049141177</v>
      </c>
      <c r="AL24" s="46">
        <v>997.16558673446275</v>
      </c>
      <c r="AM24" s="46">
        <v>366.59462089235251</v>
      </c>
      <c r="AN24" s="46">
        <v>99.828542069340401</v>
      </c>
      <c r="AO24" s="46">
        <v>264.11533615702814</v>
      </c>
      <c r="AP24" s="46">
        <v>340.00152047639358</v>
      </c>
      <c r="AQ24" s="46">
        <v>2403.6211238173555</v>
      </c>
      <c r="AR24" s="46">
        <v>392.5613967492672</v>
      </c>
      <c r="AS24" s="46">
        <v>281.2555915514609</v>
      </c>
      <c r="AT24" s="46">
        <v>39.351034825142662</v>
      </c>
      <c r="AU24" s="46">
        <v>1057.6584168554284</v>
      </c>
      <c r="AV24" s="46">
        <v>6560.9161595641526</v>
      </c>
      <c r="AW24" s="46">
        <v>959.18197134293257</v>
      </c>
      <c r="AX24" s="46">
        <v>15601.925063646577</v>
      </c>
      <c r="AY24" s="48">
        <v>72335.83666423877</v>
      </c>
      <c r="AZ24" s="46">
        <v>1664.3254032695027</v>
      </c>
      <c r="BA24" s="46">
        <v>6710.988050768251</v>
      </c>
      <c r="BB24" s="46">
        <v>2004.3535197355434</v>
      </c>
      <c r="BC24" s="46">
        <v>84.590635668237184</v>
      </c>
      <c r="BD24" s="46">
        <v>2272.97567882577</v>
      </c>
      <c r="BE24" s="46">
        <v>23.045753027364938</v>
      </c>
      <c r="BF24" s="46">
        <v>58.727794531367806</v>
      </c>
      <c r="BG24" s="46">
        <v>89.357006794270276</v>
      </c>
      <c r="BH24" s="46">
        <v>172.01030491538387</v>
      </c>
      <c r="BI24" s="46">
        <v>598.21743042017511</v>
      </c>
      <c r="BJ24" s="46">
        <v>101.5923021008885</v>
      </c>
      <c r="BK24" s="46">
        <v>574.34079343583812</v>
      </c>
      <c r="BL24" s="46">
        <v>407.7551894533571</v>
      </c>
      <c r="BM24" s="46">
        <v>131.53972635633767</v>
      </c>
      <c r="BN24" s="46">
        <v>708.48833907984294</v>
      </c>
      <c r="BO24" s="46">
        <v>565.40770019436866</v>
      </c>
      <c r="BP24" s="46">
        <v>427.26511935873617</v>
      </c>
      <c r="BQ24" s="46">
        <v>2331.4275477576762</v>
      </c>
      <c r="BR24" s="46">
        <v>334.33949886834267</v>
      </c>
      <c r="BS24" s="46">
        <v>129.02050993549793</v>
      </c>
      <c r="BT24" s="46">
        <v>80.289527507648458</v>
      </c>
      <c r="BU24" s="46">
        <v>348.12057642093322</v>
      </c>
      <c r="BV24" s="46">
        <v>142.96643688512478</v>
      </c>
      <c r="BW24" s="46">
        <v>710.68954719135274</v>
      </c>
      <c r="BX24" s="46">
        <v>0</v>
      </c>
      <c r="BY24" s="72">
        <f t="shared" si="1"/>
        <v>300268.8618076829</v>
      </c>
      <c r="BZ24" s="46">
        <v>21129.468115285599</v>
      </c>
      <c r="CA24" s="46">
        <v>0</v>
      </c>
      <c r="CB24" s="46">
        <v>0</v>
      </c>
      <c r="CC24" s="46">
        <v>117714.641201433</v>
      </c>
      <c r="CD24" s="46">
        <v>1.4315587348310601</v>
      </c>
      <c r="CE24" s="46">
        <v>-5303.1361940251199</v>
      </c>
      <c r="CF24" s="46">
        <v>133542.40468142793</v>
      </c>
      <c r="CG24" s="46">
        <v>433811.26648911083</v>
      </c>
      <c r="CH24"/>
      <c r="CI24">
        <f t="shared" si="0"/>
        <v>0.30783526154634805</v>
      </c>
      <c r="CJ24"/>
      <c r="CK24"/>
      <c r="CL24"/>
      <c r="CM24"/>
      <c r="CN24"/>
      <c r="CO24"/>
      <c r="CP24"/>
      <c r="CQ24"/>
      <c r="CR24"/>
      <c r="CS24"/>
      <c r="CT24"/>
      <c r="CU24"/>
    </row>
    <row r="25" spans="1:99" s="18" customFormat="1" x14ac:dyDescent="0.3">
      <c r="A25" s="35" t="s">
        <v>29</v>
      </c>
      <c r="B25" s="4" t="s">
        <v>103</v>
      </c>
      <c r="C25" s="18">
        <v>20</v>
      </c>
      <c r="D25" s="46">
        <v>800.98709238031074</v>
      </c>
      <c r="E25" s="46">
        <v>228.31395134121664</v>
      </c>
      <c r="F25" s="46">
        <v>42.84210846485729</v>
      </c>
      <c r="G25" s="46">
        <v>49.015375331955099</v>
      </c>
      <c r="H25" s="46">
        <v>29.475244253497728</v>
      </c>
      <c r="I25" s="46">
        <v>349.95761769903044</v>
      </c>
      <c r="J25" s="46">
        <v>66.507064819792134</v>
      </c>
      <c r="K25" s="46">
        <v>152.9995966611024</v>
      </c>
      <c r="L25" s="46">
        <v>66.775694859087963</v>
      </c>
      <c r="M25" s="46">
        <v>217.49628010011335</v>
      </c>
      <c r="N25" s="46">
        <v>35.430374874966532</v>
      </c>
      <c r="O25" s="46">
        <v>1.2241021908097549</v>
      </c>
      <c r="P25" s="46">
        <v>8.7468574422966933E-2</v>
      </c>
      <c r="Q25" s="46">
        <v>4.1680127820015886E-2</v>
      </c>
      <c r="R25" s="46">
        <v>5.2176194185798191E-2</v>
      </c>
      <c r="S25" s="46">
        <v>0.70663884087715245</v>
      </c>
      <c r="T25" s="46">
        <v>36.050744959885058</v>
      </c>
      <c r="U25" s="46">
        <v>1.6231507350466379</v>
      </c>
      <c r="V25" s="46">
        <v>4.9463166031858421</v>
      </c>
      <c r="W25" s="46">
        <v>0.12740008991067267</v>
      </c>
      <c r="X25" s="46">
        <v>2.2286903330390823E-2</v>
      </c>
      <c r="Y25" s="46">
        <v>830.99987346381795</v>
      </c>
      <c r="Z25" s="46">
        <v>88.073225849021981</v>
      </c>
      <c r="AA25" s="46">
        <v>26.385249778054153</v>
      </c>
      <c r="AB25" s="46">
        <v>22.19683428704419</v>
      </c>
      <c r="AC25" s="46">
        <v>15.228424622984061</v>
      </c>
      <c r="AD25" s="46">
        <v>59.441331229481158</v>
      </c>
      <c r="AE25" s="46">
        <v>62.48707651720617</v>
      </c>
      <c r="AF25" s="46">
        <v>53.695921184526156</v>
      </c>
      <c r="AG25" s="46">
        <v>14.697807497505472</v>
      </c>
      <c r="AH25" s="46">
        <v>22.59738246849809</v>
      </c>
      <c r="AI25" s="46">
        <v>14.780253823385392</v>
      </c>
      <c r="AJ25" s="46">
        <v>16.201304973411656</v>
      </c>
      <c r="AK25" s="46">
        <v>18.656441525958165</v>
      </c>
      <c r="AL25" s="46">
        <v>66.238086762132014</v>
      </c>
      <c r="AM25" s="46">
        <v>15.162335757206742</v>
      </c>
      <c r="AN25" s="46">
        <v>6.2855793006054697</v>
      </c>
      <c r="AO25" s="46">
        <v>16.047930732855296</v>
      </c>
      <c r="AP25" s="46">
        <v>15.826858358950924</v>
      </c>
      <c r="AQ25" s="46">
        <v>1.0453906676912066</v>
      </c>
      <c r="AR25" s="46">
        <v>0.17033481756105376</v>
      </c>
      <c r="AS25" s="46">
        <v>0.12203854039561458</v>
      </c>
      <c r="AT25" s="46">
        <v>2.0696437936307807E-2</v>
      </c>
      <c r="AU25" s="46">
        <v>0.84012605867218304</v>
      </c>
      <c r="AV25" s="46">
        <v>314.86489219163877</v>
      </c>
      <c r="AW25" s="46">
        <v>14.792994580132206</v>
      </c>
      <c r="AX25" s="46">
        <v>747.61131564934908</v>
      </c>
      <c r="AY25" s="48">
        <v>5181.1799382375975</v>
      </c>
      <c r="AZ25" s="46">
        <v>0.84983695185490293</v>
      </c>
      <c r="BA25" s="46">
        <v>32.27113757300112</v>
      </c>
      <c r="BB25" s="46">
        <v>102.63218127976005</v>
      </c>
      <c r="BC25" s="46">
        <v>1.5996283358392476</v>
      </c>
      <c r="BD25" s="46">
        <v>1.1177232242077269</v>
      </c>
      <c r="BE25" s="46">
        <v>0.21533386704567911</v>
      </c>
      <c r="BF25" s="46">
        <v>0.7536020199406791</v>
      </c>
      <c r="BG25" s="46">
        <v>0.52129845275347098</v>
      </c>
      <c r="BH25" s="46">
        <v>0.78407177280580997</v>
      </c>
      <c r="BI25" s="46">
        <v>2.723078605507566</v>
      </c>
      <c r="BJ25" s="46">
        <v>0.56868637304067438</v>
      </c>
      <c r="BK25" s="46">
        <v>2.6149690456407759</v>
      </c>
      <c r="BL25" s="46">
        <v>2.1615132488413709</v>
      </c>
      <c r="BM25" s="46">
        <v>0.55949068530369961</v>
      </c>
      <c r="BN25" s="46">
        <v>8.1413889672549988</v>
      </c>
      <c r="BO25" s="46">
        <v>2.5664201960293136</v>
      </c>
      <c r="BP25" s="46">
        <v>24.202500883003804</v>
      </c>
      <c r="BQ25" s="46">
        <v>7.0732373027531645</v>
      </c>
      <c r="BR25" s="46">
        <v>0.70014747876949934</v>
      </c>
      <c r="BS25" s="46">
        <v>6.9915698388294043</v>
      </c>
      <c r="BT25" s="46">
        <v>0.2017277790717576</v>
      </c>
      <c r="BU25" s="46">
        <v>4.8962952711294179</v>
      </c>
      <c r="BV25" s="46">
        <v>4.0101391892789389</v>
      </c>
      <c r="BW25" s="46">
        <v>16.713675476606536</v>
      </c>
      <c r="BX25" s="46">
        <v>0</v>
      </c>
      <c r="BY25" s="72">
        <f t="shared" si="1"/>
        <v>9935.2016651372924</v>
      </c>
      <c r="BZ25" s="46">
        <v>421.58378395935199</v>
      </c>
      <c r="CA25" s="46">
        <v>0</v>
      </c>
      <c r="CB25" s="46">
        <v>0</v>
      </c>
      <c r="CC25" s="46">
        <v>43.723354520799496</v>
      </c>
      <c r="CD25" s="46">
        <v>0.48795201857792703</v>
      </c>
      <c r="CE25" s="46">
        <v>-15.134626870855699</v>
      </c>
      <c r="CF25" s="46">
        <v>450.66046362787347</v>
      </c>
      <c r="CG25" s="46">
        <v>10385.862128765166</v>
      </c>
      <c r="CH25"/>
      <c r="CI25">
        <f t="shared" si="0"/>
        <v>4.339172406108717E-2</v>
      </c>
      <c r="CJ25"/>
      <c r="CK25"/>
      <c r="CL25"/>
      <c r="CM25"/>
      <c r="CN25"/>
      <c r="CO25"/>
      <c r="CP25"/>
      <c r="CQ25"/>
      <c r="CR25"/>
      <c r="CS25"/>
      <c r="CT25"/>
      <c r="CU25"/>
    </row>
    <row r="26" spans="1:99" s="18" customFormat="1" x14ac:dyDescent="0.3">
      <c r="A26" s="35" t="s">
        <v>30</v>
      </c>
      <c r="B26" s="11" t="s">
        <v>104</v>
      </c>
      <c r="C26" s="18">
        <v>21</v>
      </c>
      <c r="D26" s="46">
        <v>3.097599811957731</v>
      </c>
      <c r="E26" s="46">
        <v>2.6317441718778483</v>
      </c>
      <c r="F26" s="46">
        <v>0.25045315140373309</v>
      </c>
      <c r="G26" s="46">
        <v>1.1454317617459846</v>
      </c>
      <c r="H26" s="46">
        <v>63.643880813932434</v>
      </c>
      <c r="I26" s="46">
        <v>25.411817206673721</v>
      </c>
      <c r="J26" s="46">
        <v>4.7089032887406397</v>
      </c>
      <c r="K26" s="46">
        <v>1.4120661489589843</v>
      </c>
      <c r="L26" s="46">
        <v>2.2448832994914965E-2</v>
      </c>
      <c r="M26" s="46">
        <v>0.73106477719809781</v>
      </c>
      <c r="N26" s="46">
        <v>0.31731661243234488</v>
      </c>
      <c r="O26" s="46">
        <v>4.2146732089029188E-3</v>
      </c>
      <c r="P26" s="46">
        <v>7.3819091888877947E-2</v>
      </c>
      <c r="Q26" s="46">
        <v>1.8262355748853928E-3</v>
      </c>
      <c r="R26" s="46">
        <v>6.8517283904238738E-2</v>
      </c>
      <c r="S26" s="46">
        <v>0.41032360765982845</v>
      </c>
      <c r="T26" s="46">
        <v>0.80412552092852674</v>
      </c>
      <c r="U26" s="46">
        <v>4.2380244401252782E-3</v>
      </c>
      <c r="V26" s="46">
        <v>111.54950844292934</v>
      </c>
      <c r="W26" s="46">
        <v>15.910302955689614</v>
      </c>
      <c r="X26" s="46">
        <v>1312.4122952422433</v>
      </c>
      <c r="Y26" s="46">
        <v>3.3455571526155286E-3</v>
      </c>
      <c r="Z26" s="46">
        <v>3.6823053334142277</v>
      </c>
      <c r="AA26" s="46">
        <v>0.54571521204773887</v>
      </c>
      <c r="AB26" s="46">
        <v>0.20430783912428513</v>
      </c>
      <c r="AC26" s="46">
        <v>2.3745335612572707E-2</v>
      </c>
      <c r="AD26" s="46">
        <v>0.91186851007197556</v>
      </c>
      <c r="AE26" s="46">
        <v>18.895061571639101</v>
      </c>
      <c r="AF26" s="46">
        <v>1035.1843245612683</v>
      </c>
      <c r="AG26" s="46">
        <v>27.184975318788272</v>
      </c>
      <c r="AH26" s="46">
        <v>20.27854295009459</v>
      </c>
      <c r="AI26" s="46">
        <v>0.11311615847944548</v>
      </c>
      <c r="AJ26" s="46">
        <v>81.726580369796153</v>
      </c>
      <c r="AK26" s="46">
        <v>26.200130192655507</v>
      </c>
      <c r="AL26" s="46">
        <v>22.452421923146879</v>
      </c>
      <c r="AM26" s="46">
        <v>41.159031431785124</v>
      </c>
      <c r="AN26" s="46">
        <v>2.3537012046784431</v>
      </c>
      <c r="AO26" s="46">
        <v>10.863703891176662</v>
      </c>
      <c r="AP26" s="46">
        <v>29.206644372032159</v>
      </c>
      <c r="AQ26" s="46">
        <v>4.8418514602366525</v>
      </c>
      <c r="AR26" s="46">
        <v>0.79068716599325317</v>
      </c>
      <c r="AS26" s="46">
        <v>0.56649784834961781</v>
      </c>
      <c r="AT26" s="46">
        <v>8.0074452856133779E-2</v>
      </c>
      <c r="AU26" s="46">
        <v>0.42937543654728849</v>
      </c>
      <c r="AV26" s="46">
        <v>3.1763959094286802</v>
      </c>
      <c r="AW26" s="46">
        <v>2.2347957659808628</v>
      </c>
      <c r="AX26" s="46">
        <v>8.125685475566307</v>
      </c>
      <c r="AY26" s="47">
        <v>81.923630447983768</v>
      </c>
      <c r="AZ26" s="46">
        <v>0.47737028934962372</v>
      </c>
      <c r="BA26" s="46">
        <v>20.979156471462314</v>
      </c>
      <c r="BB26" s="46">
        <v>0.51031590022122419</v>
      </c>
      <c r="BC26" s="46">
        <v>0.16350879002132898</v>
      </c>
      <c r="BD26" s="46">
        <v>2.3645019132421026</v>
      </c>
      <c r="BE26" s="46">
        <v>5.9745756307938339E-2</v>
      </c>
      <c r="BF26" s="46">
        <v>0.13976576889911693</v>
      </c>
      <c r="BG26" s="46">
        <v>0.24553158710949882</v>
      </c>
      <c r="BH26" s="46">
        <v>0.47845515745081435</v>
      </c>
      <c r="BI26" s="46">
        <v>1.662730734749762</v>
      </c>
      <c r="BJ26" s="46">
        <v>0.27622412382272732</v>
      </c>
      <c r="BK26" s="46">
        <v>1.5968385467742297</v>
      </c>
      <c r="BL26" s="46">
        <v>0.93384180922662152</v>
      </c>
      <c r="BM26" s="46">
        <v>0.32403957193137806</v>
      </c>
      <c r="BN26" s="46">
        <v>1.3773636678633441</v>
      </c>
      <c r="BO26" s="46">
        <v>1.5326187593784086</v>
      </c>
      <c r="BP26" s="46">
        <v>0.31426729001727954</v>
      </c>
      <c r="BQ26" s="46">
        <v>4.627677112606114</v>
      </c>
      <c r="BR26" s="46">
        <v>0.47313426560644828</v>
      </c>
      <c r="BS26" s="46">
        <v>0.11307740656055784</v>
      </c>
      <c r="BT26" s="46">
        <v>0.12320486535608087</v>
      </c>
      <c r="BU26" s="46">
        <v>0.7588136653642249</v>
      </c>
      <c r="BV26" s="46">
        <v>0.26476190806565353</v>
      </c>
      <c r="BW26" s="46">
        <v>0.95884654273782299</v>
      </c>
      <c r="BX26" s="46">
        <v>0</v>
      </c>
      <c r="BY26" s="72">
        <f t="shared" si="1"/>
        <v>3008.5262052564158</v>
      </c>
      <c r="BZ26" s="46">
        <v>51.5371752636905</v>
      </c>
      <c r="CA26" s="46">
        <v>0</v>
      </c>
      <c r="CB26" s="46">
        <v>0</v>
      </c>
      <c r="CC26" s="46">
        <v>245.87140316222499</v>
      </c>
      <c r="CD26" s="46">
        <v>0</v>
      </c>
      <c r="CE26" s="46">
        <v>-2.06340155831924</v>
      </c>
      <c r="CF26" s="46">
        <v>295.34517686759636</v>
      </c>
      <c r="CG26" s="46">
        <v>3303.8713821240121</v>
      </c>
      <c r="CH26"/>
      <c r="CI26">
        <f t="shared" si="0"/>
        <v>8.939366661353601E-2</v>
      </c>
      <c r="CJ26"/>
      <c r="CK26"/>
      <c r="CL26"/>
      <c r="CM26"/>
      <c r="CN26"/>
      <c r="CO26"/>
      <c r="CP26"/>
      <c r="CQ26"/>
      <c r="CR26"/>
      <c r="CS26"/>
      <c r="CT26"/>
      <c r="CU26"/>
    </row>
    <row r="27" spans="1:99" s="18" customFormat="1" x14ac:dyDescent="0.3">
      <c r="A27" s="35" t="s">
        <v>31</v>
      </c>
      <c r="B27" s="9" t="s">
        <v>105</v>
      </c>
      <c r="C27" s="18">
        <v>22</v>
      </c>
      <c r="D27" s="46">
        <v>79.900398643439559</v>
      </c>
      <c r="E27" s="46">
        <v>99.636051155377572</v>
      </c>
      <c r="F27" s="46">
        <v>3.1945139257046757</v>
      </c>
      <c r="G27" s="46">
        <v>2.5063210381545988</v>
      </c>
      <c r="H27" s="46">
        <v>632.57369899417984</v>
      </c>
      <c r="I27" s="46">
        <v>6.4954438367298497</v>
      </c>
      <c r="J27" s="46">
        <v>1.6063796343317513</v>
      </c>
      <c r="K27" s="46">
        <v>227.81003844824465</v>
      </c>
      <c r="L27" s="46">
        <v>193.42907447130622</v>
      </c>
      <c r="M27" s="46">
        <v>910.61411127192025</v>
      </c>
      <c r="N27" s="46">
        <v>183.16587399259419</v>
      </c>
      <c r="O27" s="46">
        <v>0.19687255186620539</v>
      </c>
      <c r="P27" s="46">
        <v>1.4072228580930899</v>
      </c>
      <c r="Q27" s="46">
        <v>0.9664003321803617</v>
      </c>
      <c r="R27" s="46">
        <v>1.1141634178397606</v>
      </c>
      <c r="S27" s="46">
        <v>26.899322903780181</v>
      </c>
      <c r="T27" s="46">
        <v>9.3848406540838791</v>
      </c>
      <c r="U27" s="46">
        <v>0.67263276752480161</v>
      </c>
      <c r="V27" s="46">
        <v>15110.474440783461</v>
      </c>
      <c r="W27" s="46">
        <v>76.356762277775346</v>
      </c>
      <c r="X27" s="46">
        <v>76.309221377926335</v>
      </c>
      <c r="Y27" s="46">
        <v>457.97466030633063</v>
      </c>
      <c r="Z27" s="46">
        <v>296.72564945244068</v>
      </c>
      <c r="AA27" s="46">
        <v>299.30407939715974</v>
      </c>
      <c r="AB27" s="46">
        <v>1246.3545287279433</v>
      </c>
      <c r="AC27" s="46">
        <v>713.90217858633127</v>
      </c>
      <c r="AD27" s="46">
        <v>7.7573680250948573</v>
      </c>
      <c r="AE27" s="46">
        <v>2.9343725801158467</v>
      </c>
      <c r="AF27" s="46">
        <v>3.4760919883159147</v>
      </c>
      <c r="AG27" s="46">
        <v>1.4932503374748685</v>
      </c>
      <c r="AH27" s="46">
        <v>31.020153239681459</v>
      </c>
      <c r="AI27" s="46">
        <v>1.493382929405739</v>
      </c>
      <c r="AJ27" s="46">
        <v>3.833323710114561</v>
      </c>
      <c r="AK27" s="46">
        <v>25.744484983700801</v>
      </c>
      <c r="AL27" s="46">
        <v>15.046528772896151</v>
      </c>
      <c r="AM27" s="46">
        <v>2.804612858897066</v>
      </c>
      <c r="AN27" s="46">
        <v>1.1816601153834354</v>
      </c>
      <c r="AO27" s="46">
        <v>3.5941609127456209</v>
      </c>
      <c r="AP27" s="46">
        <v>16.582466245429515</v>
      </c>
      <c r="AQ27" s="46">
        <v>6.1615523604345581</v>
      </c>
      <c r="AR27" s="46">
        <v>1.0064951757553382</v>
      </c>
      <c r="AS27" s="46">
        <v>0.72111623403349223</v>
      </c>
      <c r="AT27" s="46">
        <v>0.14624501845386453</v>
      </c>
      <c r="AU27" s="46">
        <v>19.763070665683248</v>
      </c>
      <c r="AV27" s="46">
        <v>293.64415461460698</v>
      </c>
      <c r="AW27" s="46">
        <v>274.54746406836551</v>
      </c>
      <c r="AX27" s="46">
        <v>499.37373969253753</v>
      </c>
      <c r="AY27" s="48">
        <v>701.33619022676862</v>
      </c>
      <c r="AZ27" s="46">
        <v>4.3904133825691698</v>
      </c>
      <c r="BA27" s="46">
        <v>18.370765062988067</v>
      </c>
      <c r="BB27" s="46">
        <v>45.122455201350661</v>
      </c>
      <c r="BC27" s="46">
        <v>9.6670383452120223</v>
      </c>
      <c r="BD27" s="46">
        <v>267.16490026221402</v>
      </c>
      <c r="BE27" s="46">
        <v>3.5708401091085591</v>
      </c>
      <c r="BF27" s="46">
        <v>7.7979006262281683</v>
      </c>
      <c r="BG27" s="46">
        <v>19.931211968101252</v>
      </c>
      <c r="BH27" s="46">
        <v>31.085430080000744</v>
      </c>
      <c r="BI27" s="46">
        <v>116.31030923269896</v>
      </c>
      <c r="BJ27" s="46">
        <v>14.918810684157439</v>
      </c>
      <c r="BK27" s="46">
        <v>120.40394087675234</v>
      </c>
      <c r="BL27" s="46">
        <v>94.923340310639233</v>
      </c>
      <c r="BM27" s="46">
        <v>37.083554048944201</v>
      </c>
      <c r="BN27" s="46">
        <v>94.076892505068784</v>
      </c>
      <c r="BO27" s="46">
        <v>113.06571632590388</v>
      </c>
      <c r="BP27" s="46">
        <v>63.77865197027522</v>
      </c>
      <c r="BQ27" s="46">
        <v>545.1484605432837</v>
      </c>
      <c r="BR27" s="46">
        <v>77.529339453011886</v>
      </c>
      <c r="BS27" s="46">
        <v>7.9860566791466265</v>
      </c>
      <c r="BT27" s="46">
        <v>31.915945471629662</v>
      </c>
      <c r="BU27" s="46">
        <v>89.581739955367482</v>
      </c>
      <c r="BV27" s="46">
        <v>15.024297994362884</v>
      </c>
      <c r="BW27" s="46">
        <v>141.68801243329764</v>
      </c>
      <c r="BX27" s="46">
        <v>0</v>
      </c>
      <c r="BY27" s="72">
        <f t="shared" si="1"/>
        <v>24543.172790084926</v>
      </c>
      <c r="BZ27" s="46">
        <v>5351.6554134196831</v>
      </c>
      <c r="CA27" s="46">
        <v>0.20439015636524591</v>
      </c>
      <c r="CB27" s="46">
        <v>0</v>
      </c>
      <c r="CC27" s="46">
        <v>24299.633170119676</v>
      </c>
      <c r="CD27" s="46">
        <v>72.643596277789399</v>
      </c>
      <c r="CE27" s="46">
        <v>369.69063994322966</v>
      </c>
      <c r="CF27" s="46">
        <v>30093.827209916744</v>
      </c>
      <c r="CG27" s="46">
        <v>54637</v>
      </c>
      <c r="CH27"/>
      <c r="CI27">
        <f t="shared" si="0"/>
        <v>0.55079574665367326</v>
      </c>
      <c r="CJ27"/>
      <c r="CK27"/>
      <c r="CL27"/>
      <c r="CM27"/>
      <c r="CN27"/>
      <c r="CO27"/>
      <c r="CP27"/>
      <c r="CQ27"/>
      <c r="CR27"/>
      <c r="CS27"/>
      <c r="CT27"/>
      <c r="CU27"/>
    </row>
    <row r="28" spans="1:99" s="18" customFormat="1" x14ac:dyDescent="0.3">
      <c r="A28" s="35" t="s">
        <v>32</v>
      </c>
      <c r="B28" s="13" t="s">
        <v>106</v>
      </c>
      <c r="C28" s="18">
        <v>23</v>
      </c>
      <c r="D28" s="46">
        <v>45933.044359638436</v>
      </c>
      <c r="E28" s="46">
        <v>4700.5044163265666</v>
      </c>
      <c r="F28" s="46">
        <v>342.73136390902454</v>
      </c>
      <c r="G28" s="46">
        <v>238.96792391327978</v>
      </c>
      <c r="H28" s="46">
        <v>4857.5133156899028</v>
      </c>
      <c r="I28" s="46">
        <v>340.81703858764217</v>
      </c>
      <c r="J28" s="46">
        <v>131.04423066879949</v>
      </c>
      <c r="K28" s="46">
        <v>458.64651981621552</v>
      </c>
      <c r="L28" s="46">
        <v>172.1912484025066</v>
      </c>
      <c r="M28" s="46">
        <v>1063.8133565738997</v>
      </c>
      <c r="N28" s="46">
        <v>94.697046441751269</v>
      </c>
      <c r="O28" s="46">
        <v>16.378011510186006</v>
      </c>
      <c r="P28" s="46">
        <v>3539.888795553667</v>
      </c>
      <c r="Q28" s="46">
        <v>140.2501878176308</v>
      </c>
      <c r="R28" s="46">
        <v>1473.9022093587721</v>
      </c>
      <c r="S28" s="46">
        <v>677.61342195254645</v>
      </c>
      <c r="T28" s="46">
        <v>4354.276400576402</v>
      </c>
      <c r="U28" s="46">
        <v>67.362735403493403</v>
      </c>
      <c r="V28" s="46">
        <v>2393.0475479893194</v>
      </c>
      <c r="W28" s="46">
        <v>61.87209758267435</v>
      </c>
      <c r="X28" s="46">
        <v>98.627655104761928</v>
      </c>
      <c r="Y28" s="46">
        <v>648.58312906910044</v>
      </c>
      <c r="Z28" s="46">
        <v>32375.576721911151</v>
      </c>
      <c r="AA28" s="46">
        <v>12475.942717223639</v>
      </c>
      <c r="AB28" s="46">
        <v>4409.2644078602816</v>
      </c>
      <c r="AC28" s="46">
        <v>1782.2171736904882</v>
      </c>
      <c r="AD28" s="46">
        <v>16336.883889888046</v>
      </c>
      <c r="AE28" s="46">
        <v>2295.3151360232764</v>
      </c>
      <c r="AF28" s="46">
        <v>973.06272085871444</v>
      </c>
      <c r="AG28" s="46">
        <v>908.00850643377476</v>
      </c>
      <c r="AH28" s="46">
        <v>1236.0285761317223</v>
      </c>
      <c r="AI28" s="46">
        <v>176.46662538129186</v>
      </c>
      <c r="AJ28" s="46">
        <v>2291.575475123389</v>
      </c>
      <c r="AK28" s="46">
        <v>179.95359302721911</v>
      </c>
      <c r="AL28" s="46">
        <v>154.70952198696784</v>
      </c>
      <c r="AM28" s="46">
        <v>1135.6975642494849</v>
      </c>
      <c r="AN28" s="46">
        <v>253.54152761239519</v>
      </c>
      <c r="AO28" s="46">
        <v>1680.149036583515</v>
      </c>
      <c r="AP28" s="46">
        <v>172.49950015048447</v>
      </c>
      <c r="AQ28" s="46">
        <v>136.21436258311925</v>
      </c>
      <c r="AR28" s="46">
        <v>22.250739876667826</v>
      </c>
      <c r="AS28" s="46">
        <v>15.941824790446791</v>
      </c>
      <c r="AT28" s="46">
        <v>1.9475205234391786</v>
      </c>
      <c r="AU28" s="46">
        <v>656.55925163066536</v>
      </c>
      <c r="AV28" s="46">
        <v>483.24643627978298</v>
      </c>
      <c r="AW28" s="46">
        <v>95.956963698845016</v>
      </c>
      <c r="AX28" s="46">
        <v>1195.4936096891383</v>
      </c>
      <c r="AY28" s="47">
        <v>117.98955045004034</v>
      </c>
      <c r="AZ28" s="46">
        <v>2.4453832279960048</v>
      </c>
      <c r="BA28" s="46">
        <v>4.7189595831741658</v>
      </c>
      <c r="BB28" s="46">
        <v>50.015835454144906</v>
      </c>
      <c r="BC28" s="46">
        <v>21.034007298556386</v>
      </c>
      <c r="BD28" s="46">
        <v>166.06271438385446</v>
      </c>
      <c r="BE28" s="46">
        <v>6.597310075905523</v>
      </c>
      <c r="BF28" s="46">
        <v>11.591102799505713</v>
      </c>
      <c r="BG28" s="46">
        <v>36.650030246830845</v>
      </c>
      <c r="BH28" s="46">
        <v>29.675183083945797</v>
      </c>
      <c r="BI28" s="46">
        <v>81.33039216796719</v>
      </c>
      <c r="BJ28" s="46">
        <v>75.323321345095906</v>
      </c>
      <c r="BK28" s="46">
        <v>83.229416160293823</v>
      </c>
      <c r="BL28" s="46">
        <v>53.316174560087184</v>
      </c>
      <c r="BM28" s="46">
        <v>26.321729449122614</v>
      </c>
      <c r="BN28" s="46">
        <v>24.461214920479264</v>
      </c>
      <c r="BO28" s="46">
        <v>117.98116821629961</v>
      </c>
      <c r="BP28" s="46">
        <v>4.1900922783847836</v>
      </c>
      <c r="BQ28" s="46">
        <v>83.092200294350675</v>
      </c>
      <c r="BR28" s="46">
        <v>74.527759464976711</v>
      </c>
      <c r="BS28" s="46">
        <v>72.118322577308518</v>
      </c>
      <c r="BT28" s="46">
        <v>277.19832920651629</v>
      </c>
      <c r="BU28" s="46">
        <v>554.07565329523732</v>
      </c>
      <c r="BV28" s="46">
        <v>57.26041938985324</v>
      </c>
      <c r="BW28" s="46">
        <v>364.80967003077694</v>
      </c>
      <c r="BX28" s="46">
        <v>0</v>
      </c>
      <c r="BY28" s="72">
        <f t="shared" si="1"/>
        <v>155646.29235505522</v>
      </c>
      <c r="BZ28" s="46">
        <v>19441.06574357233</v>
      </c>
      <c r="CA28" s="46">
        <v>11.449278827996304</v>
      </c>
      <c r="CB28" s="46">
        <v>0</v>
      </c>
      <c r="CC28" s="46">
        <v>3542.3545724804844</v>
      </c>
      <c r="CD28" s="46">
        <v>713.9505455643623</v>
      </c>
      <c r="CE28" s="46">
        <v>150.88750449960969</v>
      </c>
      <c r="CF28" s="46">
        <v>23859.707644944781</v>
      </c>
      <c r="CG28" s="46">
        <v>179506</v>
      </c>
      <c r="CH28"/>
      <c r="CI28">
        <f t="shared" si="0"/>
        <v>0.13291871940182937</v>
      </c>
      <c r="CJ28"/>
      <c r="CK28"/>
      <c r="CL28"/>
      <c r="CM28"/>
      <c r="CN28"/>
      <c r="CO28"/>
      <c r="CP28"/>
      <c r="CQ28"/>
      <c r="CR28"/>
      <c r="CS28"/>
      <c r="CT28"/>
      <c r="CU28"/>
    </row>
    <row r="29" spans="1:99" s="5" customFormat="1" x14ac:dyDescent="0.3">
      <c r="A29" s="35" t="s">
        <v>33</v>
      </c>
      <c r="B29" s="11" t="s">
        <v>107</v>
      </c>
      <c r="C29" s="5">
        <v>24</v>
      </c>
      <c r="D29" s="25">
        <v>23436.868191937006</v>
      </c>
      <c r="E29" s="25">
        <v>2659.0458293743441</v>
      </c>
      <c r="F29" s="25">
        <v>87.893458636695129</v>
      </c>
      <c r="G29" s="25">
        <v>1560.7928218944237</v>
      </c>
      <c r="H29" s="25">
        <v>575.39184909017627</v>
      </c>
      <c r="I29" s="25">
        <v>277.16980420078181</v>
      </c>
      <c r="J29" s="25">
        <v>112.62711110644612</v>
      </c>
      <c r="K29" s="25">
        <v>839.47489935650447</v>
      </c>
      <c r="L29" s="25">
        <v>34.242340109106259</v>
      </c>
      <c r="M29" s="25">
        <v>2339.5945956357714</v>
      </c>
      <c r="N29" s="25">
        <v>116.42229199713566</v>
      </c>
      <c r="O29" s="25">
        <v>5.0548920181282329</v>
      </c>
      <c r="P29" s="25">
        <v>306.23554303976846</v>
      </c>
      <c r="Q29" s="25">
        <v>43.171646276788621</v>
      </c>
      <c r="R29" s="25">
        <v>206.63341942890125</v>
      </c>
      <c r="S29" s="25">
        <v>705.30912868817813</v>
      </c>
      <c r="T29" s="25">
        <v>1430.9480741273044</v>
      </c>
      <c r="U29" s="25">
        <v>638.57581674164305</v>
      </c>
      <c r="V29" s="25">
        <v>388.26298998601413</v>
      </c>
      <c r="W29" s="25">
        <v>9.8737706133711924</v>
      </c>
      <c r="X29" s="25">
        <v>2.8454792006437897</v>
      </c>
      <c r="Y29" s="25">
        <v>164.27652533342126</v>
      </c>
      <c r="Z29" s="25">
        <v>2006.776280480615</v>
      </c>
      <c r="AA29" s="25">
        <v>9284.6464714127978</v>
      </c>
      <c r="AB29" s="25">
        <v>1704.2634040976709</v>
      </c>
      <c r="AC29" s="25">
        <v>864.88759356882542</v>
      </c>
      <c r="AD29" s="25">
        <v>2767.0056618200242</v>
      </c>
      <c r="AE29" s="25">
        <v>906.56113969593707</v>
      </c>
      <c r="AF29" s="25">
        <v>446.19847339490462</v>
      </c>
      <c r="AG29" s="25">
        <v>91.701863141986848</v>
      </c>
      <c r="AH29" s="25">
        <v>559.0055764442551</v>
      </c>
      <c r="AI29" s="25">
        <v>194.65755678790595</v>
      </c>
      <c r="AJ29" s="25">
        <v>204.95976057854418</v>
      </c>
      <c r="AK29" s="25">
        <v>175.09465600952271</v>
      </c>
      <c r="AL29" s="25">
        <v>497.86932589120698</v>
      </c>
      <c r="AM29" s="25">
        <v>231.01984241682032</v>
      </c>
      <c r="AN29" s="25">
        <v>111.28724018073264</v>
      </c>
      <c r="AO29" s="25">
        <v>540.55535256141468</v>
      </c>
      <c r="AP29" s="25">
        <v>671.10571636545251</v>
      </c>
      <c r="AQ29" s="25">
        <v>126.61998580241371</v>
      </c>
      <c r="AR29" s="25">
        <v>20.588788629345892</v>
      </c>
      <c r="AS29" s="25">
        <v>14.748137499305241</v>
      </c>
      <c r="AT29" s="25">
        <v>1.7755107518890538</v>
      </c>
      <c r="AU29" s="25">
        <v>331.61133322139011</v>
      </c>
      <c r="AV29" s="25">
        <v>7547.2977031495711</v>
      </c>
      <c r="AW29" s="25">
        <v>879.46696282450614</v>
      </c>
      <c r="AX29" s="25">
        <v>1715.1880233685588</v>
      </c>
      <c r="AY29" s="40">
        <v>224.13310682225537</v>
      </c>
      <c r="AZ29" s="25">
        <v>0.97484303317497201</v>
      </c>
      <c r="BA29" s="25">
        <v>3.420821431224315</v>
      </c>
      <c r="BB29" s="25">
        <v>54.346921519352513</v>
      </c>
      <c r="BC29" s="25">
        <v>27.371451109936658</v>
      </c>
      <c r="BD29" s="25">
        <v>87.896789606737485</v>
      </c>
      <c r="BE29" s="25">
        <v>89.460215174896419</v>
      </c>
      <c r="BF29" s="25">
        <v>113.90617045278515</v>
      </c>
      <c r="BG29" s="25">
        <v>21.41148903564758</v>
      </c>
      <c r="BH29" s="25">
        <v>17.569591346501603</v>
      </c>
      <c r="BI29" s="25">
        <v>66.39866349882702</v>
      </c>
      <c r="BJ29" s="25">
        <v>1157.3310351553157</v>
      </c>
      <c r="BK29" s="25">
        <v>41.759659887863243</v>
      </c>
      <c r="BL29" s="25">
        <v>42.798939307746721</v>
      </c>
      <c r="BM29" s="25">
        <v>35.716778887081304</v>
      </c>
      <c r="BN29" s="25">
        <v>22.450403078188788</v>
      </c>
      <c r="BO29" s="25">
        <v>1733.335625261504</v>
      </c>
      <c r="BP29" s="25">
        <v>2.7201007097894401</v>
      </c>
      <c r="BQ29" s="25">
        <v>227.90156694512359</v>
      </c>
      <c r="BR29" s="25">
        <v>255.68521382474333</v>
      </c>
      <c r="BS29" s="25">
        <v>36.280846208996053</v>
      </c>
      <c r="BT29" s="25">
        <v>668.46402803610079</v>
      </c>
      <c r="BU29" s="25">
        <v>97.554513092514966</v>
      </c>
      <c r="BV29" s="25">
        <v>37.181085693111328</v>
      </c>
      <c r="BW29" s="25">
        <v>119.89123038066489</v>
      </c>
      <c r="BX29" s="25">
        <v>0</v>
      </c>
      <c r="BY29" s="72">
        <f t="shared" si="1"/>
        <v>73021.563928388263</v>
      </c>
      <c r="BZ29" s="25">
        <v>8559.7078149193294</v>
      </c>
      <c r="CA29" s="25">
        <v>16.412403652008503</v>
      </c>
      <c r="CB29" s="25">
        <v>0</v>
      </c>
      <c r="CC29" s="25">
        <v>3234.4272014584262</v>
      </c>
      <c r="CD29" s="25">
        <v>1022.6945528328781</v>
      </c>
      <c r="CE29" s="25">
        <v>2453.0638745786468</v>
      </c>
      <c r="CF29" s="25">
        <v>15286.305847441292</v>
      </c>
      <c r="CG29" s="25">
        <v>88308</v>
      </c>
      <c r="CH29"/>
      <c r="CI29">
        <f t="shared" si="0"/>
        <v>0.17310216342167517</v>
      </c>
      <c r="CJ29"/>
      <c r="CK29"/>
      <c r="CL29"/>
      <c r="CM29"/>
      <c r="CN29"/>
      <c r="CO29"/>
      <c r="CP29"/>
      <c r="CQ29"/>
      <c r="CR29"/>
      <c r="CS29"/>
      <c r="CT29"/>
      <c r="CU29"/>
    </row>
    <row r="30" spans="1:99" s="5" customFormat="1" x14ac:dyDescent="0.3">
      <c r="A30" s="35" t="s">
        <v>34</v>
      </c>
      <c r="B30" s="13" t="s">
        <v>108</v>
      </c>
      <c r="C30" s="5">
        <v>25</v>
      </c>
      <c r="D30" s="25">
        <v>765.32407228554757</v>
      </c>
      <c r="E30" s="25">
        <v>124.11387850179078</v>
      </c>
      <c r="F30" s="25">
        <v>4.1411188153510174</v>
      </c>
      <c r="G30" s="25">
        <v>26.412863045666757</v>
      </c>
      <c r="H30" s="25">
        <v>122.19348830272185</v>
      </c>
      <c r="I30" s="25">
        <v>63.069815311004142</v>
      </c>
      <c r="J30" s="25">
        <v>11.163087907145654</v>
      </c>
      <c r="K30" s="25">
        <v>95.473773292238747</v>
      </c>
      <c r="L30" s="25">
        <v>9.1511033885046196</v>
      </c>
      <c r="M30" s="25">
        <v>192.91991867350174</v>
      </c>
      <c r="N30" s="25">
        <v>34.513375800956148</v>
      </c>
      <c r="O30" s="25">
        <v>3.2668037519040349</v>
      </c>
      <c r="P30" s="25">
        <v>51.801738888519992</v>
      </c>
      <c r="Q30" s="25">
        <v>35.76642807129145</v>
      </c>
      <c r="R30" s="25">
        <v>26.440693725389696</v>
      </c>
      <c r="S30" s="25">
        <v>30.120874219206467</v>
      </c>
      <c r="T30" s="25">
        <v>123.1126632615119</v>
      </c>
      <c r="U30" s="25">
        <v>22.783765951060694</v>
      </c>
      <c r="V30" s="25">
        <v>124.17839587838451</v>
      </c>
      <c r="W30" s="25">
        <v>2.0914553904543145</v>
      </c>
      <c r="X30" s="25">
        <v>0.94011926883268948</v>
      </c>
      <c r="Y30" s="25">
        <v>15.692138604437643</v>
      </c>
      <c r="Z30" s="25">
        <v>448.56543891392897</v>
      </c>
      <c r="AA30" s="25">
        <v>480.65157317625301</v>
      </c>
      <c r="AB30" s="25">
        <v>924.76116878084099</v>
      </c>
      <c r="AC30" s="25">
        <v>75.265260537033612</v>
      </c>
      <c r="AD30" s="25">
        <v>144.47270541708136</v>
      </c>
      <c r="AE30" s="25">
        <v>65.701679774365658</v>
      </c>
      <c r="AF30" s="25">
        <v>37.95752489666986</v>
      </c>
      <c r="AG30" s="25">
        <v>41.675918483687312</v>
      </c>
      <c r="AH30" s="25">
        <v>317.05272978135366</v>
      </c>
      <c r="AI30" s="25">
        <v>29.079180527867894</v>
      </c>
      <c r="AJ30" s="25">
        <v>28.954047476786545</v>
      </c>
      <c r="AK30" s="25">
        <v>43.497999341133976</v>
      </c>
      <c r="AL30" s="25">
        <v>34.73592326046758</v>
      </c>
      <c r="AM30" s="25">
        <v>37.306511748934938</v>
      </c>
      <c r="AN30" s="25">
        <v>9.7057737312474952</v>
      </c>
      <c r="AO30" s="25">
        <v>38.819059029139787</v>
      </c>
      <c r="AP30" s="25">
        <v>24.596692342297754</v>
      </c>
      <c r="AQ30" s="25">
        <v>18.204243080080232</v>
      </c>
      <c r="AR30" s="25">
        <v>2.9736796454142302</v>
      </c>
      <c r="AS30" s="25">
        <v>2.1305304970924372</v>
      </c>
      <c r="AT30" s="25">
        <v>0.64633242431100457</v>
      </c>
      <c r="AU30" s="25">
        <v>42.033846960204116</v>
      </c>
      <c r="AV30" s="25">
        <v>195.92545477331595</v>
      </c>
      <c r="AW30" s="25">
        <v>120.4157439284653</v>
      </c>
      <c r="AX30" s="25">
        <v>1401.1009267267268</v>
      </c>
      <c r="AY30" s="40">
        <v>203.90997113813663</v>
      </c>
      <c r="AZ30" s="25">
        <v>5.5952137081025688</v>
      </c>
      <c r="BA30" s="25">
        <v>1.1265727598851401</v>
      </c>
      <c r="BB30" s="25">
        <v>68.884046741803957</v>
      </c>
      <c r="BC30" s="25">
        <v>53.710385927398235</v>
      </c>
      <c r="BD30" s="25">
        <v>82.24949145659258</v>
      </c>
      <c r="BE30" s="25">
        <v>21.158267396351164</v>
      </c>
      <c r="BF30" s="25">
        <v>34.420095833078832</v>
      </c>
      <c r="BG30" s="25">
        <v>70.625037677671259</v>
      </c>
      <c r="BH30" s="25">
        <v>17.722423926174685</v>
      </c>
      <c r="BI30" s="25">
        <v>36.376816158407671</v>
      </c>
      <c r="BJ30" s="25">
        <v>16.273948589978041</v>
      </c>
      <c r="BK30" s="25">
        <v>190.5955151165258</v>
      </c>
      <c r="BL30" s="25">
        <v>71.454878200582485</v>
      </c>
      <c r="BM30" s="25">
        <v>199.62394567673493</v>
      </c>
      <c r="BN30" s="25">
        <v>71.73330640310796</v>
      </c>
      <c r="BO30" s="25">
        <v>1199.0862876313577</v>
      </c>
      <c r="BP30" s="25">
        <v>1.6549958781979446</v>
      </c>
      <c r="BQ30" s="25">
        <v>159.23256167147863</v>
      </c>
      <c r="BR30" s="25">
        <v>119.9270390654266</v>
      </c>
      <c r="BS30" s="25">
        <v>95.531753477834599</v>
      </c>
      <c r="BT30" s="25">
        <v>94.289859108825453</v>
      </c>
      <c r="BU30" s="25">
        <v>592.29431745727231</v>
      </c>
      <c r="BV30" s="25">
        <v>110.0251636837786</v>
      </c>
      <c r="BW30" s="25">
        <v>795.73451950291633</v>
      </c>
      <c r="BX30" s="25">
        <v>0</v>
      </c>
      <c r="BY30" s="72">
        <f t="shared" si="1"/>
        <v>10764.137931777743</v>
      </c>
      <c r="BZ30" s="25">
        <v>3455.2589383894306</v>
      </c>
      <c r="CA30" s="25">
        <v>35.713769285259886</v>
      </c>
      <c r="CB30" s="25">
        <v>0</v>
      </c>
      <c r="CC30" s="25">
        <v>33581.623776443317</v>
      </c>
      <c r="CD30" s="25">
        <v>524.80293503638927</v>
      </c>
      <c r="CE30" s="25">
        <v>1814.3668191400257</v>
      </c>
      <c r="CF30" s="25">
        <v>39411.766238294418</v>
      </c>
      <c r="CG30" s="25">
        <v>50176</v>
      </c>
      <c r="CH30"/>
      <c r="CI30">
        <f t="shared" si="0"/>
        <v>0.78547046871600801</v>
      </c>
      <c r="CJ30"/>
      <c r="CK30"/>
      <c r="CL30"/>
      <c r="CM30"/>
      <c r="CN30"/>
      <c r="CO30"/>
      <c r="CP30"/>
      <c r="CQ30"/>
      <c r="CR30"/>
      <c r="CS30"/>
      <c r="CT30"/>
      <c r="CU30"/>
    </row>
    <row r="31" spans="1:99" s="5" customFormat="1" x14ac:dyDescent="0.3">
      <c r="A31" s="35" t="s">
        <v>35</v>
      </c>
      <c r="B31" s="11" t="s">
        <v>109</v>
      </c>
      <c r="C31" s="5">
        <v>26</v>
      </c>
      <c r="D31" s="25">
        <v>443.97217151359592</v>
      </c>
      <c r="E31" s="25">
        <v>1869.1641231126855</v>
      </c>
      <c r="F31" s="25">
        <v>14.509689719427843</v>
      </c>
      <c r="G31" s="25">
        <v>21.801574985008322</v>
      </c>
      <c r="H31" s="25">
        <v>344.65019746950128</v>
      </c>
      <c r="I31" s="25">
        <v>12.749822177431822</v>
      </c>
      <c r="J31" s="25">
        <v>2.5974450497443975</v>
      </c>
      <c r="K31" s="25">
        <v>76.787091348360789</v>
      </c>
      <c r="L31" s="25">
        <v>1.3569438674573762</v>
      </c>
      <c r="M31" s="25">
        <v>285.83398368415976</v>
      </c>
      <c r="N31" s="25">
        <v>11.028080155814289</v>
      </c>
      <c r="O31" s="25">
        <v>1.3513649756152128</v>
      </c>
      <c r="P31" s="25">
        <v>11.481965066808659</v>
      </c>
      <c r="Q31" s="25">
        <v>44.242044331893702</v>
      </c>
      <c r="R31" s="25">
        <v>15.518909476881802</v>
      </c>
      <c r="S31" s="25">
        <v>7.8798413056405519</v>
      </c>
      <c r="T31" s="25">
        <v>21.626560099752098</v>
      </c>
      <c r="U31" s="25">
        <v>2.9720982687295496</v>
      </c>
      <c r="V31" s="25">
        <v>12.242890835212263</v>
      </c>
      <c r="W31" s="25">
        <v>0.31444667494117745</v>
      </c>
      <c r="X31" s="25">
        <v>2.0529487493655307E-2</v>
      </c>
      <c r="Y31" s="25">
        <v>7.4184148620428205</v>
      </c>
      <c r="Z31" s="25">
        <v>150.798997275326</v>
      </c>
      <c r="AA31" s="25">
        <v>375.00097328736553</v>
      </c>
      <c r="AB31" s="25">
        <v>53.960868440938519</v>
      </c>
      <c r="AC31" s="25">
        <v>3129.9100339540382</v>
      </c>
      <c r="AD31" s="25">
        <v>38.414583241951156</v>
      </c>
      <c r="AE31" s="25">
        <v>12.782497171358527</v>
      </c>
      <c r="AF31" s="25">
        <v>12.930878239459119</v>
      </c>
      <c r="AG31" s="25">
        <v>7.8937147128118461</v>
      </c>
      <c r="AH31" s="25">
        <v>12.581001969579674</v>
      </c>
      <c r="AI31" s="25">
        <v>7.0458294774843608</v>
      </c>
      <c r="AJ31" s="25">
        <v>9.0717900704220966</v>
      </c>
      <c r="AK31" s="25">
        <v>23.978799357804675</v>
      </c>
      <c r="AL31" s="25">
        <v>21.038799059598425</v>
      </c>
      <c r="AM31" s="25">
        <v>8.1781439128328994</v>
      </c>
      <c r="AN31" s="25">
        <v>2.5045048600577866</v>
      </c>
      <c r="AO31" s="25">
        <v>38.129607978566824</v>
      </c>
      <c r="AP31" s="25">
        <v>10.456296298511003</v>
      </c>
      <c r="AQ31" s="25">
        <v>7.1915975681491329</v>
      </c>
      <c r="AR31" s="25">
        <v>1.1747539962162112</v>
      </c>
      <c r="AS31" s="25">
        <v>0.84166739997684148</v>
      </c>
      <c r="AT31" s="25">
        <v>0.57083643574971177</v>
      </c>
      <c r="AU31" s="25">
        <v>6.7002783705652291</v>
      </c>
      <c r="AV31" s="25">
        <v>38.494486556234271</v>
      </c>
      <c r="AW31" s="25">
        <v>11.011734927339187</v>
      </c>
      <c r="AX31" s="25">
        <v>350.93073802352893</v>
      </c>
      <c r="AY31" s="40">
        <v>15.00196454727465</v>
      </c>
      <c r="AZ31" s="25">
        <v>3.1854828487345221</v>
      </c>
      <c r="BA31" s="25">
        <v>0.89327323344411003</v>
      </c>
      <c r="BB31" s="25">
        <v>12.376354879591545</v>
      </c>
      <c r="BC31" s="25">
        <v>5.1967772626154582</v>
      </c>
      <c r="BD31" s="25">
        <v>57.999276105995435</v>
      </c>
      <c r="BE31" s="25">
        <v>1.0528672043195852</v>
      </c>
      <c r="BF31" s="25">
        <v>3.3242458189919772</v>
      </c>
      <c r="BG31" s="25">
        <v>8.6575109527345422</v>
      </c>
      <c r="BH31" s="25">
        <v>9.9219241877981155</v>
      </c>
      <c r="BI31" s="25">
        <v>18.970806213526092</v>
      </c>
      <c r="BJ31" s="25">
        <v>10.232229131918936</v>
      </c>
      <c r="BK31" s="25">
        <v>22.657946560890359</v>
      </c>
      <c r="BL31" s="25">
        <v>38.805067212527774</v>
      </c>
      <c r="BM31" s="25">
        <v>45.310747131768821</v>
      </c>
      <c r="BN31" s="25">
        <v>20.785824100399655</v>
      </c>
      <c r="BO31" s="25">
        <v>42.917218660616193</v>
      </c>
      <c r="BP31" s="25">
        <v>1.2398895556709761</v>
      </c>
      <c r="BQ31" s="25">
        <v>372.68888795564266</v>
      </c>
      <c r="BR31" s="25">
        <v>319.37331384252718</v>
      </c>
      <c r="BS31" s="25">
        <v>159.336749704027</v>
      </c>
      <c r="BT31" s="25">
        <v>3521.2986065344753</v>
      </c>
      <c r="BU31" s="25">
        <v>8425.784091602638</v>
      </c>
      <c r="BV31" s="25">
        <v>17.09677444069024</v>
      </c>
      <c r="BW31" s="25">
        <v>404.31235908193423</v>
      </c>
      <c r="BX31" s="25">
        <v>0</v>
      </c>
      <c r="BY31" s="72">
        <f t="shared" si="1"/>
        <v>21079.533789824818</v>
      </c>
      <c r="BZ31" s="25">
        <v>3220.0470717150952</v>
      </c>
      <c r="CA31" s="25">
        <v>5793.2843616481869</v>
      </c>
      <c r="CB31" s="25">
        <v>0</v>
      </c>
      <c r="CC31" s="25">
        <v>40030.055492508189</v>
      </c>
      <c r="CD31" s="25">
        <v>1351.8377898639048</v>
      </c>
      <c r="CE31" s="25">
        <v>4769.2414944475986</v>
      </c>
      <c r="CF31" s="25">
        <v>55164.466210182982</v>
      </c>
      <c r="CG31" s="25">
        <v>76244</v>
      </c>
      <c r="CH31"/>
      <c r="CI31">
        <f t="shared" si="0"/>
        <v>0.72352534245557665</v>
      </c>
      <c r="CJ31"/>
      <c r="CK31"/>
      <c r="CL31"/>
      <c r="CM31"/>
      <c r="CN31"/>
      <c r="CO31"/>
      <c r="CP31"/>
      <c r="CQ31"/>
      <c r="CR31"/>
      <c r="CS31"/>
      <c r="CT31"/>
      <c r="CU31"/>
    </row>
    <row r="32" spans="1:99" s="5" customFormat="1" x14ac:dyDescent="0.3">
      <c r="A32" s="35" t="s">
        <v>36</v>
      </c>
      <c r="B32" s="11" t="s">
        <v>110</v>
      </c>
      <c r="C32" s="5">
        <v>27</v>
      </c>
      <c r="D32" s="25">
        <v>698.19120611355686</v>
      </c>
      <c r="E32" s="25">
        <v>235.00732894487612</v>
      </c>
      <c r="F32" s="25">
        <v>46.570392897485277</v>
      </c>
      <c r="G32" s="25">
        <v>145.47520267504802</v>
      </c>
      <c r="H32" s="25">
        <v>191.68712516730781</v>
      </c>
      <c r="I32" s="25">
        <v>734.8401183638382</v>
      </c>
      <c r="J32" s="25">
        <v>72.852895045306624</v>
      </c>
      <c r="K32" s="25">
        <v>2835.2781442329774</v>
      </c>
      <c r="L32" s="25">
        <v>123.23956835726558</v>
      </c>
      <c r="M32" s="25">
        <v>8166.6726624034654</v>
      </c>
      <c r="N32" s="25">
        <v>2823.5616616332836</v>
      </c>
      <c r="O32" s="25">
        <v>5.829172542163934</v>
      </c>
      <c r="P32" s="25">
        <v>242.18885067809185</v>
      </c>
      <c r="Q32" s="25">
        <v>198.43575550260184</v>
      </c>
      <c r="R32" s="25">
        <v>712.23020966267848</v>
      </c>
      <c r="S32" s="25">
        <v>266.74123173073173</v>
      </c>
      <c r="T32" s="25">
        <v>738.6273624387095</v>
      </c>
      <c r="U32" s="25">
        <v>733.41383985966013</v>
      </c>
      <c r="V32" s="25">
        <v>110.29826111510954</v>
      </c>
      <c r="W32" s="25">
        <v>2.8397278939999633</v>
      </c>
      <c r="X32" s="25">
        <v>0.45112675088901755</v>
      </c>
      <c r="Y32" s="25">
        <v>43.249097984475434</v>
      </c>
      <c r="Z32" s="25">
        <v>1403.928516481019</v>
      </c>
      <c r="AA32" s="25">
        <v>719.21446758915226</v>
      </c>
      <c r="AB32" s="25">
        <v>1682.385729724693</v>
      </c>
      <c r="AC32" s="25">
        <v>463.56477141687969</v>
      </c>
      <c r="AD32" s="25">
        <v>14371.991843298307</v>
      </c>
      <c r="AE32" s="25">
        <v>1850.3009085535984</v>
      </c>
      <c r="AF32" s="25">
        <v>520.8080440186443</v>
      </c>
      <c r="AG32" s="25">
        <v>57.315708493171336</v>
      </c>
      <c r="AH32" s="25">
        <v>828.61201432061296</v>
      </c>
      <c r="AI32" s="25">
        <v>912.98050464519679</v>
      </c>
      <c r="AJ32" s="25">
        <v>1826.2680802120797</v>
      </c>
      <c r="AK32" s="25">
        <v>2015.725779141412</v>
      </c>
      <c r="AL32" s="25">
        <v>8176.9329043593352</v>
      </c>
      <c r="AM32" s="25">
        <v>3620.2689161006506</v>
      </c>
      <c r="AN32" s="25">
        <v>922.26891684546194</v>
      </c>
      <c r="AO32" s="25">
        <v>2285.0354996915526</v>
      </c>
      <c r="AP32" s="25">
        <v>1454.4904347081451</v>
      </c>
      <c r="AQ32" s="25">
        <v>257.62247831813414</v>
      </c>
      <c r="AR32" s="25">
        <v>42.082865879443538</v>
      </c>
      <c r="AS32" s="25">
        <v>30.150802995699234</v>
      </c>
      <c r="AT32" s="25">
        <v>7.1900259126368766</v>
      </c>
      <c r="AU32" s="25">
        <v>429.33990256957657</v>
      </c>
      <c r="AV32" s="25">
        <v>12177.286383342467</v>
      </c>
      <c r="AW32" s="25">
        <v>1941.0435905118864</v>
      </c>
      <c r="AX32" s="25">
        <v>6198.7944490538466</v>
      </c>
      <c r="AY32" s="40">
        <v>5894.515874999357</v>
      </c>
      <c r="AZ32" s="25">
        <v>4.6589395894430004</v>
      </c>
      <c r="BA32" s="25">
        <v>696.32353467204223</v>
      </c>
      <c r="BB32" s="25">
        <v>156.37460688129173</v>
      </c>
      <c r="BC32" s="25">
        <v>35.118482091435013</v>
      </c>
      <c r="BD32" s="25">
        <v>615.7715407016625</v>
      </c>
      <c r="BE32" s="25">
        <v>13.98893549175458</v>
      </c>
      <c r="BF32" s="25">
        <v>9.2621639740128554</v>
      </c>
      <c r="BG32" s="25">
        <v>34.376200596067932</v>
      </c>
      <c r="BH32" s="25">
        <v>32.765046656742619</v>
      </c>
      <c r="BI32" s="25">
        <v>107.3241552362624</v>
      </c>
      <c r="BJ32" s="25">
        <v>147.82293033399088</v>
      </c>
      <c r="BK32" s="25">
        <v>554.69942201469837</v>
      </c>
      <c r="BL32" s="25">
        <v>36.239847887767361</v>
      </c>
      <c r="BM32" s="25">
        <v>32.213399284135718</v>
      </c>
      <c r="BN32" s="25">
        <v>323.86813982315834</v>
      </c>
      <c r="BO32" s="25">
        <v>604.7309315345027</v>
      </c>
      <c r="BP32" s="25">
        <v>4.7775075772886808</v>
      </c>
      <c r="BQ32" s="25">
        <v>220.0332257609727</v>
      </c>
      <c r="BR32" s="25">
        <v>214.32989186945926</v>
      </c>
      <c r="BS32" s="25">
        <v>57.369330350965733</v>
      </c>
      <c r="BT32" s="25">
        <v>570.95267173392745</v>
      </c>
      <c r="BU32" s="25">
        <v>669.58857904486888</v>
      </c>
      <c r="BV32" s="25">
        <v>45.98435367952267</v>
      </c>
      <c r="BW32" s="25">
        <v>182.77788191994347</v>
      </c>
      <c r="BX32" s="25">
        <v>0</v>
      </c>
      <c r="BY32" s="72">
        <f t="shared" si="1"/>
        <v>94589.152073882418</v>
      </c>
      <c r="BZ32" s="25">
        <v>9260.7613637163904</v>
      </c>
      <c r="CA32" s="25">
        <v>2.8306752376408211</v>
      </c>
      <c r="CB32" s="25">
        <v>0</v>
      </c>
      <c r="CC32" s="25">
        <v>15552.936104406237</v>
      </c>
      <c r="CD32" s="25">
        <v>1309.9414793030776</v>
      </c>
      <c r="CE32" s="25">
        <v>501.37830351136915</v>
      </c>
      <c r="CF32" s="25">
        <v>26627.847926174709</v>
      </c>
      <c r="CG32" s="25">
        <v>121217</v>
      </c>
      <c r="CH32"/>
      <c r="CI32">
        <f t="shared" si="0"/>
        <v>0.21967090363706995</v>
      </c>
      <c r="CJ32"/>
      <c r="CK32"/>
      <c r="CL32"/>
      <c r="CM32"/>
      <c r="CN32"/>
      <c r="CO32"/>
      <c r="CP32"/>
      <c r="CQ32"/>
      <c r="CR32"/>
      <c r="CS32"/>
      <c r="CT32"/>
      <c r="CU32"/>
    </row>
    <row r="33" spans="1:99" s="5" customFormat="1" x14ac:dyDescent="0.3">
      <c r="A33" s="35" t="s">
        <v>37</v>
      </c>
      <c r="B33" s="11" t="s">
        <v>111</v>
      </c>
      <c r="C33" s="5">
        <v>28</v>
      </c>
      <c r="D33" s="25">
        <v>3226.6687640198024</v>
      </c>
      <c r="E33" s="25">
        <v>1972.1846466853069</v>
      </c>
      <c r="F33" s="25">
        <v>72.877293509869219</v>
      </c>
      <c r="G33" s="25">
        <v>80.016722424721706</v>
      </c>
      <c r="H33" s="25">
        <v>109.45919841985923</v>
      </c>
      <c r="I33" s="25">
        <v>21.621880852486001</v>
      </c>
      <c r="J33" s="25">
        <v>13.352698780297077</v>
      </c>
      <c r="K33" s="25">
        <v>52.312554887290922</v>
      </c>
      <c r="L33" s="25">
        <v>88.041649780684097</v>
      </c>
      <c r="M33" s="25">
        <v>1536.0830523442648</v>
      </c>
      <c r="N33" s="25">
        <v>1582.2384854228314</v>
      </c>
      <c r="O33" s="25">
        <v>1.8768220231117665</v>
      </c>
      <c r="P33" s="25">
        <v>19.839803647830244</v>
      </c>
      <c r="Q33" s="25">
        <v>18.911342306526265</v>
      </c>
      <c r="R33" s="25">
        <v>14.029681776340363</v>
      </c>
      <c r="S33" s="25">
        <v>17.490177036427415</v>
      </c>
      <c r="T33" s="25">
        <v>282.77739773770696</v>
      </c>
      <c r="U33" s="25">
        <v>18.736911839665925</v>
      </c>
      <c r="V33" s="25">
        <v>26.429532859749521</v>
      </c>
      <c r="W33" s="25">
        <v>0.67964277464125677</v>
      </c>
      <c r="X33" s="25">
        <v>0.13850613215398211</v>
      </c>
      <c r="Y33" s="25">
        <v>16.320967501032175</v>
      </c>
      <c r="Z33" s="25">
        <v>717.09186867233325</v>
      </c>
      <c r="AA33" s="25">
        <v>233.06966703324008</v>
      </c>
      <c r="AB33" s="25">
        <v>355.94990063936473</v>
      </c>
      <c r="AC33" s="25">
        <v>84.726938422113179</v>
      </c>
      <c r="AD33" s="25">
        <v>536.72902195180097</v>
      </c>
      <c r="AE33" s="25">
        <v>6686.5697862867073</v>
      </c>
      <c r="AF33" s="25">
        <v>367.26831486127037</v>
      </c>
      <c r="AG33" s="25">
        <v>31.73029883522404</v>
      </c>
      <c r="AH33" s="25">
        <v>183.79941086548772</v>
      </c>
      <c r="AI33" s="25">
        <v>22.689635819994468</v>
      </c>
      <c r="AJ33" s="25">
        <v>295.70222707877946</v>
      </c>
      <c r="AK33" s="25">
        <v>261.0159851513319</v>
      </c>
      <c r="AL33" s="25">
        <v>1978.3926141810778</v>
      </c>
      <c r="AM33" s="25">
        <v>128.52289427386165</v>
      </c>
      <c r="AN33" s="25">
        <v>154.58344410879093</v>
      </c>
      <c r="AO33" s="25">
        <v>460.50864961272919</v>
      </c>
      <c r="AP33" s="25">
        <v>243.22035988888976</v>
      </c>
      <c r="AQ33" s="25">
        <v>1495.2882188879971</v>
      </c>
      <c r="AR33" s="25">
        <v>167.56233981372128</v>
      </c>
      <c r="AS33" s="25">
        <v>117.65398097427043</v>
      </c>
      <c r="AT33" s="25">
        <v>35.35863036801409</v>
      </c>
      <c r="AU33" s="25">
        <v>852.51409957975102</v>
      </c>
      <c r="AV33" s="25">
        <v>42784.119505397124</v>
      </c>
      <c r="AW33" s="25">
        <v>251.57376722144124</v>
      </c>
      <c r="AX33" s="25">
        <v>339.43383395070703</v>
      </c>
      <c r="AY33" s="40">
        <v>33.648526235011985</v>
      </c>
      <c r="AZ33" s="25">
        <v>1.0867094734381257</v>
      </c>
      <c r="BA33" s="25">
        <v>1.2122493018562257</v>
      </c>
      <c r="BB33" s="25">
        <v>29.991674658193084</v>
      </c>
      <c r="BC33" s="25">
        <v>193.48775210266331</v>
      </c>
      <c r="BD33" s="25">
        <v>697.94863584780944</v>
      </c>
      <c r="BE33" s="25">
        <v>4.4716513566204199</v>
      </c>
      <c r="BF33" s="25">
        <v>6.4131467835155966</v>
      </c>
      <c r="BG33" s="25">
        <v>18.124562629642888</v>
      </c>
      <c r="BH33" s="25">
        <v>15.212772014869019</v>
      </c>
      <c r="BI33" s="25">
        <v>38.445138389401741</v>
      </c>
      <c r="BJ33" s="25">
        <v>2315.1624154053834</v>
      </c>
      <c r="BK33" s="25">
        <v>40.037059494106373</v>
      </c>
      <c r="BL33" s="25">
        <v>19.614387119363023</v>
      </c>
      <c r="BM33" s="25">
        <v>10.094006645153572</v>
      </c>
      <c r="BN33" s="25">
        <v>9.9452630649684899</v>
      </c>
      <c r="BO33" s="25">
        <v>141.16937517254061</v>
      </c>
      <c r="BP33" s="25">
        <v>2.0603812178307388</v>
      </c>
      <c r="BQ33" s="25">
        <v>393.17710528430001</v>
      </c>
      <c r="BR33" s="25">
        <v>139.31583223193502</v>
      </c>
      <c r="BS33" s="25">
        <v>33.413336488114204</v>
      </c>
      <c r="BT33" s="25">
        <v>156.09208961815213</v>
      </c>
      <c r="BU33" s="25">
        <v>169.65803116002317</v>
      </c>
      <c r="BV33" s="25">
        <v>26.101550976804859</v>
      </c>
      <c r="BW33" s="25">
        <v>262.04607157909732</v>
      </c>
      <c r="BX33" s="25">
        <v>0</v>
      </c>
      <c r="BY33" s="72">
        <f t="shared" si="1"/>
        <v>72715.092850889429</v>
      </c>
      <c r="BZ33" s="25">
        <v>6379.5178163791115</v>
      </c>
      <c r="CA33" s="25">
        <v>20.93134617736758</v>
      </c>
      <c r="CB33" s="25">
        <v>0</v>
      </c>
      <c r="CC33" s="25">
        <v>3801.7963606619746</v>
      </c>
      <c r="CD33" s="25">
        <v>838.13624005501333</v>
      </c>
      <c r="CE33" s="25">
        <v>132.49279340700829</v>
      </c>
      <c r="CF33" s="25">
        <v>11172.874556680477</v>
      </c>
      <c r="CG33" s="25">
        <v>83888</v>
      </c>
      <c r="CH33"/>
      <c r="CI33">
        <f t="shared" si="0"/>
        <v>0.13318799538289716</v>
      </c>
      <c r="CJ33"/>
      <c r="CK33"/>
      <c r="CL33"/>
      <c r="CM33"/>
      <c r="CN33"/>
      <c r="CO33"/>
      <c r="CP33"/>
      <c r="CQ33"/>
      <c r="CR33"/>
      <c r="CS33"/>
      <c r="CT33"/>
      <c r="CU33"/>
    </row>
    <row r="34" spans="1:99" s="5" customFormat="1" x14ac:dyDescent="0.3">
      <c r="A34" s="35" t="s">
        <v>38</v>
      </c>
      <c r="B34" s="11" t="s">
        <v>112</v>
      </c>
      <c r="C34" s="5">
        <v>29</v>
      </c>
      <c r="D34" s="25">
        <v>262.77487490120808</v>
      </c>
      <c r="E34" s="25">
        <v>389.14382094835344</v>
      </c>
      <c r="F34" s="25">
        <v>24.861677123088111</v>
      </c>
      <c r="G34" s="25">
        <v>113.51703967096056</v>
      </c>
      <c r="H34" s="25">
        <v>3616.2850138062472</v>
      </c>
      <c r="I34" s="25">
        <v>64.496318466896241</v>
      </c>
      <c r="J34" s="25">
        <v>85.483991748870636</v>
      </c>
      <c r="K34" s="25">
        <v>355.10058144947982</v>
      </c>
      <c r="L34" s="25">
        <v>4.7280076742069888</v>
      </c>
      <c r="M34" s="25">
        <v>200.57533441688471</v>
      </c>
      <c r="N34" s="25">
        <v>156.43377122094105</v>
      </c>
      <c r="O34" s="25">
        <v>1.2409764476693355</v>
      </c>
      <c r="P34" s="25">
        <v>30.136722312705164</v>
      </c>
      <c r="Q34" s="25">
        <v>8.0622740441151652</v>
      </c>
      <c r="R34" s="25">
        <v>13.431865682368388</v>
      </c>
      <c r="S34" s="25">
        <v>33.806226133621998</v>
      </c>
      <c r="T34" s="25">
        <v>236.38040773334802</v>
      </c>
      <c r="U34" s="25">
        <v>6.9742808921860036</v>
      </c>
      <c r="V34" s="25">
        <v>66.478280704690562</v>
      </c>
      <c r="W34" s="25">
        <v>1.7183629213929548</v>
      </c>
      <c r="X34" s="25">
        <v>1.1909279822380454</v>
      </c>
      <c r="Y34" s="25">
        <v>7.4335377451803559</v>
      </c>
      <c r="Z34" s="25">
        <v>143.92891343511951</v>
      </c>
      <c r="AA34" s="25">
        <v>90.576787952850779</v>
      </c>
      <c r="AB34" s="25">
        <v>67.684946322771268</v>
      </c>
      <c r="AC34" s="25">
        <v>24.284205695667726</v>
      </c>
      <c r="AD34" s="25">
        <v>1085.0757056905613</v>
      </c>
      <c r="AE34" s="25">
        <v>918.01495045593583</v>
      </c>
      <c r="AF34" s="25">
        <v>14070.167484113746</v>
      </c>
      <c r="AG34" s="25">
        <v>865.5929831333525</v>
      </c>
      <c r="AH34" s="25">
        <v>19426.164634091354</v>
      </c>
      <c r="AI34" s="25">
        <v>103.61819134564952</v>
      </c>
      <c r="AJ34" s="25">
        <v>3103.4381576164037</v>
      </c>
      <c r="AK34" s="25">
        <v>8993.6737730102705</v>
      </c>
      <c r="AL34" s="25">
        <v>6495.5526987204094</v>
      </c>
      <c r="AM34" s="25">
        <v>8849.4907759703383</v>
      </c>
      <c r="AN34" s="25">
        <v>896.68640931363495</v>
      </c>
      <c r="AO34" s="25">
        <v>1379.4853913523034</v>
      </c>
      <c r="AP34" s="25">
        <v>1483.4772812125625</v>
      </c>
      <c r="AQ34" s="25">
        <v>317.09454163488385</v>
      </c>
      <c r="AR34" s="25">
        <v>48.841654763107798</v>
      </c>
      <c r="AS34" s="25">
        <v>34.900789974945432</v>
      </c>
      <c r="AT34" s="25">
        <v>18.590943744459455</v>
      </c>
      <c r="AU34" s="25">
        <v>146.56725510669389</v>
      </c>
      <c r="AV34" s="25">
        <v>14400.858593455139</v>
      </c>
      <c r="AW34" s="25">
        <v>81.855239860334919</v>
      </c>
      <c r="AX34" s="25">
        <v>1901.4122131718241</v>
      </c>
      <c r="AY34" s="40">
        <v>60.413187154614938</v>
      </c>
      <c r="AZ34" s="25">
        <v>1.4900687416786664</v>
      </c>
      <c r="BA34" s="25">
        <v>1.6712751649615303</v>
      </c>
      <c r="BB34" s="25">
        <v>42.736558296703052</v>
      </c>
      <c r="BC34" s="25">
        <v>20.594870079057586</v>
      </c>
      <c r="BD34" s="25">
        <v>158.90557154996668</v>
      </c>
      <c r="BE34" s="25">
        <v>2.3018929355692039</v>
      </c>
      <c r="BF34" s="25">
        <v>6.1660230515715053</v>
      </c>
      <c r="BG34" s="25">
        <v>27.881213618922335</v>
      </c>
      <c r="BH34" s="25">
        <v>50.211721861632164</v>
      </c>
      <c r="BI34" s="25">
        <v>63.325796415418466</v>
      </c>
      <c r="BJ34" s="25">
        <v>69.94535818607865</v>
      </c>
      <c r="BK34" s="25">
        <v>63.394797487021648</v>
      </c>
      <c r="BL34" s="25">
        <v>38.642701920171497</v>
      </c>
      <c r="BM34" s="25">
        <v>13.404671992392238</v>
      </c>
      <c r="BN34" s="25">
        <v>268.2220937387342</v>
      </c>
      <c r="BO34" s="25">
        <v>60.127341360609051</v>
      </c>
      <c r="BP34" s="25">
        <v>6.5359951349295251</v>
      </c>
      <c r="BQ34" s="25">
        <v>225.94611889172501</v>
      </c>
      <c r="BR34" s="25">
        <v>45.68987250199735</v>
      </c>
      <c r="BS34" s="25">
        <v>57.425109941081196</v>
      </c>
      <c r="BT34" s="25">
        <v>23.138290164487152</v>
      </c>
      <c r="BU34" s="25">
        <v>36.675005037113721</v>
      </c>
      <c r="BV34" s="25">
        <v>44.724982916536767</v>
      </c>
      <c r="BW34" s="25">
        <v>49.112857699699489</v>
      </c>
      <c r="BX34" s="25">
        <v>0</v>
      </c>
      <c r="BY34" s="72">
        <f t="shared" si="1"/>
        <v>92065.972191013629</v>
      </c>
      <c r="BZ34" s="25">
        <v>46158.066289483351</v>
      </c>
      <c r="CA34" s="25">
        <v>0.14070934149824033</v>
      </c>
      <c r="CB34" s="25">
        <v>0</v>
      </c>
      <c r="CC34" s="25">
        <v>1916.0339776157098</v>
      </c>
      <c r="CD34" s="25">
        <v>796.3263504396059</v>
      </c>
      <c r="CE34" s="25">
        <v>9128.4929998032985</v>
      </c>
      <c r="CF34" s="25">
        <v>57999.060326683466</v>
      </c>
      <c r="CG34" s="25">
        <v>150065</v>
      </c>
      <c r="CH34"/>
      <c r="CI34">
        <f t="shared" si="0"/>
        <v>0.38649292191172802</v>
      </c>
      <c r="CJ34"/>
      <c r="CK34"/>
      <c r="CL34"/>
      <c r="CM34"/>
      <c r="CN34"/>
      <c r="CO34"/>
      <c r="CP34"/>
      <c r="CQ34"/>
      <c r="CR34"/>
      <c r="CS34"/>
      <c r="CT34"/>
      <c r="CU34"/>
    </row>
    <row r="35" spans="1:99" s="5" customFormat="1" x14ac:dyDescent="0.3">
      <c r="A35" s="35" t="s">
        <v>39</v>
      </c>
      <c r="B35" s="13" t="s">
        <v>113</v>
      </c>
      <c r="C35" s="5">
        <v>30</v>
      </c>
      <c r="D35" s="25">
        <v>327.99913936802051</v>
      </c>
      <c r="E35" s="25">
        <v>72.250793338860731</v>
      </c>
      <c r="F35" s="25">
        <v>4.8815266886388011</v>
      </c>
      <c r="G35" s="25">
        <v>10.375022654183512</v>
      </c>
      <c r="H35" s="25">
        <v>180.42286532008069</v>
      </c>
      <c r="I35" s="25">
        <v>29.021051387653834</v>
      </c>
      <c r="J35" s="25">
        <v>102.39930347838519</v>
      </c>
      <c r="K35" s="25">
        <v>354.40531758858458</v>
      </c>
      <c r="L35" s="25">
        <v>7.2109333412315229</v>
      </c>
      <c r="M35" s="25">
        <v>602.09009563007453</v>
      </c>
      <c r="N35" s="25">
        <v>32.250182638806891</v>
      </c>
      <c r="O35" s="25">
        <v>1.249238110229435</v>
      </c>
      <c r="P35" s="25">
        <v>17.706035821288815</v>
      </c>
      <c r="Q35" s="25">
        <v>11.292353214133229</v>
      </c>
      <c r="R35" s="25">
        <v>15.895323620406913</v>
      </c>
      <c r="S35" s="25">
        <v>6.2209216869208346</v>
      </c>
      <c r="T35" s="25">
        <v>418.18347196756122</v>
      </c>
      <c r="U35" s="25">
        <v>226.12039413865162</v>
      </c>
      <c r="V35" s="25">
        <v>12.350050514104892</v>
      </c>
      <c r="W35" s="25">
        <v>0.31704527153795725</v>
      </c>
      <c r="X35" s="25">
        <v>1.4715075875442175E-2</v>
      </c>
      <c r="Y35" s="25">
        <v>4.8119872977488161</v>
      </c>
      <c r="Z35" s="25">
        <v>1343.6894181396908</v>
      </c>
      <c r="AA35" s="25">
        <v>360.21696983007155</v>
      </c>
      <c r="AB35" s="25">
        <v>79.745506097122131</v>
      </c>
      <c r="AC35" s="25">
        <v>29.644662270870597</v>
      </c>
      <c r="AD35" s="25">
        <v>126.34320164265912</v>
      </c>
      <c r="AE35" s="25">
        <v>182.45188893447718</v>
      </c>
      <c r="AF35" s="25">
        <v>2111.108676181344</v>
      </c>
      <c r="AG35" s="25">
        <v>11749.075941649333</v>
      </c>
      <c r="AH35" s="25">
        <v>2337.2706167083024</v>
      </c>
      <c r="AI35" s="25">
        <v>167.97259126204719</v>
      </c>
      <c r="AJ35" s="25">
        <v>6409.1056619833316</v>
      </c>
      <c r="AK35" s="25">
        <v>1968.9882410056684</v>
      </c>
      <c r="AL35" s="25">
        <v>757.11977571910666</v>
      </c>
      <c r="AM35" s="25">
        <v>4903.931180969942</v>
      </c>
      <c r="AN35" s="25">
        <v>964.62693919228559</v>
      </c>
      <c r="AO35" s="25">
        <v>2079.0499101657547</v>
      </c>
      <c r="AP35" s="25">
        <v>1657.283728959869</v>
      </c>
      <c r="AQ35" s="25">
        <v>69.002081610024248</v>
      </c>
      <c r="AR35" s="25">
        <v>11.271552718358691</v>
      </c>
      <c r="AS35" s="25">
        <v>8.0756469020062092</v>
      </c>
      <c r="AT35" s="25">
        <v>5.7094104798331182</v>
      </c>
      <c r="AU35" s="25">
        <v>151.00308742831047</v>
      </c>
      <c r="AV35" s="25">
        <v>2671.7048955719752</v>
      </c>
      <c r="AW35" s="25">
        <v>671.10615408548813</v>
      </c>
      <c r="AX35" s="25">
        <v>636.6349535863468</v>
      </c>
      <c r="AY35" s="40">
        <v>91.163800065008417</v>
      </c>
      <c r="AZ35" s="25">
        <v>1.8181176656353912</v>
      </c>
      <c r="BA35" s="25">
        <v>1.8591240708545662</v>
      </c>
      <c r="BB35" s="25">
        <v>42.485350775409039</v>
      </c>
      <c r="BC35" s="25">
        <v>18.822651646658375</v>
      </c>
      <c r="BD35" s="25">
        <v>102.32219762667414</v>
      </c>
      <c r="BE35" s="25">
        <v>3.0964801188327877</v>
      </c>
      <c r="BF35" s="25">
        <v>7.3669021801213646</v>
      </c>
      <c r="BG35" s="25">
        <v>35.696866995587122</v>
      </c>
      <c r="BH35" s="25">
        <v>27.292073316278188</v>
      </c>
      <c r="BI35" s="25">
        <v>75.757469827224114</v>
      </c>
      <c r="BJ35" s="25">
        <v>78.546779463190731</v>
      </c>
      <c r="BK35" s="25">
        <v>77.794108543142215</v>
      </c>
      <c r="BL35" s="25">
        <v>15.782527297828176</v>
      </c>
      <c r="BM35" s="25">
        <v>17.582062203019539</v>
      </c>
      <c r="BN35" s="25">
        <v>18.870314441633383</v>
      </c>
      <c r="BO35" s="25">
        <v>61.924189362876774</v>
      </c>
      <c r="BP35" s="25">
        <v>4.3873217304488907</v>
      </c>
      <c r="BQ35" s="25">
        <v>65.879991597722096</v>
      </c>
      <c r="BR35" s="25">
        <v>18.172085755498685</v>
      </c>
      <c r="BS35" s="25">
        <v>68.052447976203183</v>
      </c>
      <c r="BT35" s="25">
        <v>29.028014235441432</v>
      </c>
      <c r="BU35" s="25">
        <v>117.57291313680243</v>
      </c>
      <c r="BV35" s="25">
        <v>53.270977373438818</v>
      </c>
      <c r="BW35" s="25">
        <v>82.363751686010772</v>
      </c>
      <c r="BX35" s="25">
        <v>0</v>
      </c>
      <c r="BY35" s="72">
        <f t="shared" si="1"/>
        <v>45006.508980338731</v>
      </c>
      <c r="BZ35" s="25">
        <v>24409.736203094599</v>
      </c>
      <c r="CA35" s="25">
        <v>0.72163790854097531</v>
      </c>
      <c r="CB35" s="25">
        <v>0</v>
      </c>
      <c r="CC35" s="25">
        <v>2076.5017925826296</v>
      </c>
      <c r="CD35" s="25">
        <v>474.42621675924852</v>
      </c>
      <c r="CE35" s="25">
        <v>1180.1051693774962</v>
      </c>
      <c r="CF35" s="25">
        <v>28141.491019722518</v>
      </c>
      <c r="CG35" s="25">
        <v>73148</v>
      </c>
      <c r="CH35"/>
      <c r="CI35">
        <f t="shared" si="0"/>
        <v>0.38471989691751679</v>
      </c>
      <c r="CJ35"/>
      <c r="CK35"/>
      <c r="CL35"/>
      <c r="CM35"/>
      <c r="CN35"/>
      <c r="CO35"/>
      <c r="CP35"/>
      <c r="CQ35"/>
      <c r="CR35"/>
      <c r="CS35"/>
      <c r="CT35"/>
      <c r="CU35"/>
    </row>
    <row r="36" spans="1:99" s="5" customFormat="1" x14ac:dyDescent="0.3">
      <c r="A36" s="35" t="s">
        <v>40</v>
      </c>
      <c r="B36" s="11" t="s">
        <v>114</v>
      </c>
      <c r="C36" s="5">
        <v>31</v>
      </c>
      <c r="D36" s="25">
        <v>499.03628505811298</v>
      </c>
      <c r="E36" s="25">
        <v>637.12694209635652</v>
      </c>
      <c r="F36" s="25">
        <v>57.088750630363855</v>
      </c>
      <c r="G36" s="25">
        <v>52.952040829475806</v>
      </c>
      <c r="H36" s="25">
        <v>1814.6536215008716</v>
      </c>
      <c r="I36" s="25">
        <v>970.82498575716988</v>
      </c>
      <c r="J36" s="25">
        <v>218.88176946240205</v>
      </c>
      <c r="K36" s="25">
        <v>2499.7225235243782</v>
      </c>
      <c r="L36" s="25">
        <v>62.75998562979516</v>
      </c>
      <c r="M36" s="25">
        <v>2501.0728529116341</v>
      </c>
      <c r="N36" s="25">
        <v>3555.6146147296681</v>
      </c>
      <c r="O36" s="25">
        <v>16.308338771807708</v>
      </c>
      <c r="P36" s="25">
        <v>79.145719613613068</v>
      </c>
      <c r="Q36" s="25">
        <v>77.703656720160751</v>
      </c>
      <c r="R36" s="25">
        <v>60.610064535476013</v>
      </c>
      <c r="S36" s="25">
        <v>496.23164713675953</v>
      </c>
      <c r="T36" s="25">
        <v>162.77405936276381</v>
      </c>
      <c r="U36" s="25">
        <v>29.804839803181981</v>
      </c>
      <c r="V36" s="25">
        <v>328.88779661054275</v>
      </c>
      <c r="W36" s="25">
        <v>8.4721673703899363</v>
      </c>
      <c r="X36" s="25">
        <v>1.5267308346648152</v>
      </c>
      <c r="Y36" s="25">
        <v>64.505842004050564</v>
      </c>
      <c r="Z36" s="25">
        <v>525.29841647542776</v>
      </c>
      <c r="AA36" s="25">
        <v>703.8833960647429</v>
      </c>
      <c r="AB36" s="25">
        <v>951.83371164547657</v>
      </c>
      <c r="AC36" s="25">
        <v>152.41254261647069</v>
      </c>
      <c r="AD36" s="25">
        <v>348.73827152680923</v>
      </c>
      <c r="AE36" s="25">
        <v>220.63956139277727</v>
      </c>
      <c r="AF36" s="25">
        <v>2342.1473751097342</v>
      </c>
      <c r="AG36" s="25">
        <v>326.6653644321986</v>
      </c>
      <c r="AH36" s="25">
        <v>7361.8054361951226</v>
      </c>
      <c r="AI36" s="25">
        <v>902.08353170762268</v>
      </c>
      <c r="AJ36" s="25">
        <v>2162.8145510773961</v>
      </c>
      <c r="AK36" s="25">
        <v>4771.1427326245075</v>
      </c>
      <c r="AL36" s="25">
        <v>3775.924864909698</v>
      </c>
      <c r="AM36" s="25">
        <v>2345.50367768453</v>
      </c>
      <c r="AN36" s="25">
        <v>1733.9023951047222</v>
      </c>
      <c r="AO36" s="25">
        <v>1303.9481297997327</v>
      </c>
      <c r="AP36" s="25">
        <v>3247.3970161486754</v>
      </c>
      <c r="AQ36" s="25">
        <v>2060.5089523095462</v>
      </c>
      <c r="AR36" s="25">
        <v>336.58600930139283</v>
      </c>
      <c r="AS36" s="25">
        <v>241.15131527941159</v>
      </c>
      <c r="AT36" s="25">
        <v>97.752219723145572</v>
      </c>
      <c r="AU36" s="25">
        <v>490.86422926250992</v>
      </c>
      <c r="AV36" s="25">
        <v>19392.368145482073</v>
      </c>
      <c r="AW36" s="25">
        <v>394.15467546623591</v>
      </c>
      <c r="AX36" s="25">
        <v>1607.2339617656201</v>
      </c>
      <c r="AY36" s="40">
        <v>165.62452290215185</v>
      </c>
      <c r="AZ36" s="25">
        <v>11.291258408826058</v>
      </c>
      <c r="BA36" s="25">
        <v>4.9721684573621596</v>
      </c>
      <c r="BB36" s="25">
        <v>39.906178766243947</v>
      </c>
      <c r="BC36" s="25">
        <v>145.16607066701616</v>
      </c>
      <c r="BD36" s="25">
        <v>2131.8181059376038</v>
      </c>
      <c r="BE36" s="25">
        <v>3.6640066010629329</v>
      </c>
      <c r="BF36" s="25">
        <v>14.896721986389956</v>
      </c>
      <c r="BG36" s="25">
        <v>37.318672141584791</v>
      </c>
      <c r="BH36" s="25">
        <v>19.608032537303366</v>
      </c>
      <c r="BI36" s="25">
        <v>30.890878483922169</v>
      </c>
      <c r="BJ36" s="25">
        <v>417.59228118910988</v>
      </c>
      <c r="BK36" s="25">
        <v>42.951420057865775</v>
      </c>
      <c r="BL36" s="25">
        <v>29.159298362870132</v>
      </c>
      <c r="BM36" s="25">
        <v>9.5612587580921069</v>
      </c>
      <c r="BN36" s="25">
        <v>20.303370527721775</v>
      </c>
      <c r="BO36" s="25">
        <v>345.61408488534687</v>
      </c>
      <c r="BP36" s="25">
        <v>82.701262208247783</v>
      </c>
      <c r="BQ36" s="25">
        <v>962.37641768483877</v>
      </c>
      <c r="BR36" s="25">
        <v>83.657045495636225</v>
      </c>
      <c r="BS36" s="25">
        <v>24.911509409303836</v>
      </c>
      <c r="BT36" s="25">
        <v>117.28027098763397</v>
      </c>
      <c r="BU36" s="25">
        <v>70.172173948849206</v>
      </c>
      <c r="BV36" s="25">
        <v>22.595159042015471</v>
      </c>
      <c r="BW36" s="25">
        <v>109.12298613270755</v>
      </c>
      <c r="BX36" s="25">
        <v>0</v>
      </c>
      <c r="BY36" s="72">
        <f t="shared" si="1"/>
        <v>76935.620873578911</v>
      </c>
      <c r="BZ36" s="25">
        <v>7329.3582152390518</v>
      </c>
      <c r="CA36" s="25">
        <v>1.2784448741840122</v>
      </c>
      <c r="CB36" s="25">
        <v>0</v>
      </c>
      <c r="CC36" s="25">
        <v>12109.882380664789</v>
      </c>
      <c r="CD36" s="25">
        <v>7061.8193036540324</v>
      </c>
      <c r="CE36" s="25">
        <v>-1483.9592179850076</v>
      </c>
      <c r="CF36" s="25">
        <v>25018.379126447049</v>
      </c>
      <c r="CG36" s="25">
        <v>101954</v>
      </c>
      <c r="CH36"/>
      <c r="CI36">
        <f t="shared" si="0"/>
        <v>0.24538889230875738</v>
      </c>
      <c r="CJ36"/>
      <c r="CK36"/>
      <c r="CL36"/>
      <c r="CM36"/>
      <c r="CN36"/>
      <c r="CO36"/>
      <c r="CP36"/>
      <c r="CQ36"/>
      <c r="CR36"/>
      <c r="CS36"/>
      <c r="CT36"/>
      <c r="CU36"/>
    </row>
    <row r="37" spans="1:99" s="5" customFormat="1" x14ac:dyDescent="0.3">
      <c r="A37" s="35" t="s">
        <v>41</v>
      </c>
      <c r="B37" s="13" t="s">
        <v>115</v>
      </c>
      <c r="C37" s="5">
        <v>32</v>
      </c>
      <c r="D37" s="25">
        <v>12.419133851114781</v>
      </c>
      <c r="E37" s="25">
        <v>8.6898044381552335</v>
      </c>
      <c r="F37" s="25">
        <v>1.193485766770126</v>
      </c>
      <c r="G37" s="25">
        <v>5.3596247328811897</v>
      </c>
      <c r="H37" s="25">
        <v>366.70280766656447</v>
      </c>
      <c r="I37" s="25">
        <v>98.368227072380691</v>
      </c>
      <c r="J37" s="25">
        <v>16.221482210325796</v>
      </c>
      <c r="K37" s="25">
        <v>38.201054868243702</v>
      </c>
      <c r="L37" s="25">
        <v>1.8804611435075813</v>
      </c>
      <c r="M37" s="25">
        <v>35.313877374417935</v>
      </c>
      <c r="N37" s="25">
        <v>13.801931887626946</v>
      </c>
      <c r="O37" s="25">
        <v>1.5691739301562229</v>
      </c>
      <c r="P37" s="25">
        <v>9.1187669154443896</v>
      </c>
      <c r="Q37" s="25">
        <v>13.362504628405015</v>
      </c>
      <c r="R37" s="25">
        <v>9.6102571319475718</v>
      </c>
      <c r="S37" s="25">
        <v>7.0166850551536983</v>
      </c>
      <c r="T37" s="25">
        <v>14.734427884322697</v>
      </c>
      <c r="U37" s="25">
        <v>217.35962171619289</v>
      </c>
      <c r="V37" s="25">
        <v>10.095832255490841</v>
      </c>
      <c r="W37" s="25">
        <v>0.25943691379120065</v>
      </c>
      <c r="X37" s="25">
        <v>2.2207382365984345E-2</v>
      </c>
      <c r="Y37" s="25">
        <v>2.2880449947914063</v>
      </c>
      <c r="Z37" s="25">
        <v>13.940670389707927</v>
      </c>
      <c r="AA37" s="25">
        <v>9.389810474770961</v>
      </c>
      <c r="AB37" s="25">
        <v>8.6718497932143528</v>
      </c>
      <c r="AC37" s="25">
        <v>10.054823041195542</v>
      </c>
      <c r="AD37" s="25">
        <v>30.206007482815028</v>
      </c>
      <c r="AE37" s="25">
        <v>13.468237256816359</v>
      </c>
      <c r="AF37" s="25">
        <v>21.050127137193687</v>
      </c>
      <c r="AG37" s="25">
        <v>13.073065052326756</v>
      </c>
      <c r="AH37" s="25">
        <v>21.162403636587065</v>
      </c>
      <c r="AI37" s="25">
        <v>17405.685058288047</v>
      </c>
      <c r="AJ37" s="25">
        <v>547.87496786344434</v>
      </c>
      <c r="AK37" s="25">
        <v>756.88150604138093</v>
      </c>
      <c r="AL37" s="25">
        <v>323.88078119482907</v>
      </c>
      <c r="AM37" s="25">
        <v>225.81662299211283</v>
      </c>
      <c r="AN37" s="25">
        <v>97.633183718986601</v>
      </c>
      <c r="AO37" s="25">
        <v>79.034593730625289</v>
      </c>
      <c r="AP37" s="25">
        <v>854.92363846403157</v>
      </c>
      <c r="AQ37" s="25">
        <v>234.8485338184515</v>
      </c>
      <c r="AR37" s="25">
        <v>38.362721355631727</v>
      </c>
      <c r="AS37" s="25">
        <v>27.485458269075718</v>
      </c>
      <c r="AT37" s="25">
        <v>41.949119742265481</v>
      </c>
      <c r="AU37" s="25">
        <v>20.914070381251214</v>
      </c>
      <c r="AV37" s="25">
        <v>562.15288096803124</v>
      </c>
      <c r="AW37" s="25">
        <v>43.245687941383004</v>
      </c>
      <c r="AX37" s="25">
        <v>351.46919372388192</v>
      </c>
      <c r="AY37" s="40">
        <v>65.044062061216493</v>
      </c>
      <c r="AZ37" s="25">
        <v>7.1038037479330667</v>
      </c>
      <c r="BA37" s="25">
        <v>7.0741323737925699</v>
      </c>
      <c r="BB37" s="25">
        <v>219.06182080899765</v>
      </c>
      <c r="BC37" s="25">
        <v>4.2994957026716278</v>
      </c>
      <c r="BD37" s="25">
        <v>20.580154453052806</v>
      </c>
      <c r="BE37" s="25">
        <v>3.3640291246609078</v>
      </c>
      <c r="BF37" s="25">
        <v>288.6825985085332</v>
      </c>
      <c r="BG37" s="25">
        <v>289.90217680210674</v>
      </c>
      <c r="BH37" s="25">
        <v>2116.4629209784416</v>
      </c>
      <c r="BI37" s="25">
        <v>378.52008471981327</v>
      </c>
      <c r="BJ37" s="25">
        <v>18.640704685552716</v>
      </c>
      <c r="BK37" s="25">
        <v>386.96176542391458</v>
      </c>
      <c r="BL37" s="25">
        <v>723.15010419488692</v>
      </c>
      <c r="BM37" s="25">
        <v>136.4608649774008</v>
      </c>
      <c r="BN37" s="25">
        <v>50.407471974589576</v>
      </c>
      <c r="BO37" s="25">
        <v>1365.297785232762</v>
      </c>
      <c r="BP37" s="25">
        <v>145.45213225507948</v>
      </c>
      <c r="BQ37" s="25">
        <v>318.43830111754886</v>
      </c>
      <c r="BR37" s="25">
        <v>583.98243536789414</v>
      </c>
      <c r="BS37" s="25">
        <v>135.66739203606176</v>
      </c>
      <c r="BT37" s="25">
        <v>234.52423390824742</v>
      </c>
      <c r="BU37" s="25">
        <v>296.78207143792031</v>
      </c>
      <c r="BV37" s="25">
        <v>68.816515037834662</v>
      </c>
      <c r="BW37" s="25">
        <v>876.65294613592084</v>
      </c>
      <c r="BX37" s="25">
        <v>0</v>
      </c>
      <c r="BY37" s="72">
        <f t="shared" si="1"/>
        <v>31378.09386564494</v>
      </c>
      <c r="BZ37" s="25">
        <v>4359.5439623499396</v>
      </c>
      <c r="CA37" s="25">
        <v>0.84224591553946704</v>
      </c>
      <c r="CB37" s="25">
        <v>0</v>
      </c>
      <c r="CC37" s="25">
        <v>38106.281061939466</v>
      </c>
      <c r="CD37" s="25">
        <v>27834.343811004135</v>
      </c>
      <c r="CE37" s="25">
        <v>1864.8950531489645</v>
      </c>
      <c r="CF37" s="25">
        <v>72165.906134358025</v>
      </c>
      <c r="CG37" s="25">
        <v>103544</v>
      </c>
      <c r="CH37"/>
      <c r="CI37">
        <f t="shared" si="0"/>
        <v>0.69695884005213271</v>
      </c>
      <c r="CJ37"/>
      <c r="CK37"/>
      <c r="CL37"/>
      <c r="CM37"/>
      <c r="CN37"/>
      <c r="CO37"/>
      <c r="CP37"/>
      <c r="CQ37"/>
      <c r="CR37"/>
      <c r="CS37"/>
      <c r="CT37"/>
      <c r="CU37"/>
    </row>
    <row r="38" spans="1:99" s="5" customFormat="1" x14ac:dyDescent="0.3">
      <c r="A38" s="35" t="s">
        <v>42</v>
      </c>
      <c r="B38" s="11" t="s">
        <v>116</v>
      </c>
      <c r="C38" s="5">
        <v>33</v>
      </c>
      <c r="D38" s="25">
        <v>61.471443243496033</v>
      </c>
      <c r="E38" s="25">
        <v>100.9510779909469</v>
      </c>
      <c r="F38" s="25">
        <v>8.5343875154979525</v>
      </c>
      <c r="G38" s="25">
        <v>33.536284585432739</v>
      </c>
      <c r="H38" s="25">
        <v>351.44181560196319</v>
      </c>
      <c r="I38" s="25">
        <v>105.93191251051248</v>
      </c>
      <c r="J38" s="25">
        <v>28.623827608599345</v>
      </c>
      <c r="K38" s="25">
        <v>106.00237764710496</v>
      </c>
      <c r="L38" s="25">
        <v>20.203186585972457</v>
      </c>
      <c r="M38" s="25">
        <v>138.23009502943813</v>
      </c>
      <c r="N38" s="25">
        <v>54.237113790431863</v>
      </c>
      <c r="O38" s="25">
        <v>3.1297543523975815</v>
      </c>
      <c r="P38" s="25">
        <v>41.057799766490078</v>
      </c>
      <c r="Q38" s="25">
        <v>12.68651278034104</v>
      </c>
      <c r="R38" s="25">
        <v>14.12203476557268</v>
      </c>
      <c r="S38" s="25">
        <v>37.24508463607885</v>
      </c>
      <c r="T38" s="25">
        <v>94.046313324054367</v>
      </c>
      <c r="U38" s="25">
        <v>25.089968767362564</v>
      </c>
      <c r="V38" s="25">
        <v>24.563620027522102</v>
      </c>
      <c r="W38" s="25">
        <v>0.63389096304002268</v>
      </c>
      <c r="X38" s="25">
        <v>0.15812753103878166</v>
      </c>
      <c r="Y38" s="25">
        <v>17.644357479480224</v>
      </c>
      <c r="Z38" s="25">
        <v>128.517484352172</v>
      </c>
      <c r="AA38" s="25">
        <v>37.106257302072869</v>
      </c>
      <c r="AB38" s="25">
        <v>27.521789477193956</v>
      </c>
      <c r="AC38" s="25">
        <v>24.029436324972785</v>
      </c>
      <c r="AD38" s="25">
        <v>122.22623729916268</v>
      </c>
      <c r="AE38" s="25">
        <v>144.97496097091033</v>
      </c>
      <c r="AF38" s="25">
        <v>174.91861915213437</v>
      </c>
      <c r="AG38" s="25">
        <v>232.204389607129</v>
      </c>
      <c r="AH38" s="25">
        <v>169.67039921750245</v>
      </c>
      <c r="AI38" s="25">
        <v>1981.3495340623881</v>
      </c>
      <c r="AJ38" s="25">
        <v>7205.7318152088583</v>
      </c>
      <c r="AK38" s="25">
        <v>2445.063188035022</v>
      </c>
      <c r="AL38" s="25">
        <v>1174.943316230971</v>
      </c>
      <c r="AM38" s="25">
        <v>1006.4146357238128</v>
      </c>
      <c r="AN38" s="25">
        <v>328.24985372252911</v>
      </c>
      <c r="AO38" s="25">
        <v>282.22592215397947</v>
      </c>
      <c r="AP38" s="25">
        <v>2468.8556613926908</v>
      </c>
      <c r="AQ38" s="25">
        <v>4211.3386971755426</v>
      </c>
      <c r="AR38" s="25">
        <v>687.92600212197374</v>
      </c>
      <c r="AS38" s="25">
        <v>492.87330917570256</v>
      </c>
      <c r="AT38" s="25">
        <v>799.26302757061512</v>
      </c>
      <c r="AU38" s="25">
        <v>198.71648585839202</v>
      </c>
      <c r="AV38" s="25">
        <v>7560.7586165971779</v>
      </c>
      <c r="AW38" s="25">
        <v>469.43587383769659</v>
      </c>
      <c r="AX38" s="25">
        <v>1152.1672158094475</v>
      </c>
      <c r="AY38" s="40">
        <v>1150.8759877231025</v>
      </c>
      <c r="AZ38" s="25">
        <v>34.987697777754953</v>
      </c>
      <c r="BA38" s="25">
        <v>8.9950211061220422</v>
      </c>
      <c r="BB38" s="25">
        <v>126.21429420642849</v>
      </c>
      <c r="BC38" s="25">
        <v>36.283964031310575</v>
      </c>
      <c r="BD38" s="25">
        <v>80.774348153953326</v>
      </c>
      <c r="BE38" s="25">
        <v>10.321334342613552</v>
      </c>
      <c r="BF38" s="25">
        <v>54.167703651936158</v>
      </c>
      <c r="BG38" s="25">
        <v>627.47281614248459</v>
      </c>
      <c r="BH38" s="25">
        <v>55.847398921744265</v>
      </c>
      <c r="BI38" s="25">
        <v>84.703040578208757</v>
      </c>
      <c r="BJ38" s="25">
        <v>433.5383297501993</v>
      </c>
      <c r="BK38" s="25">
        <v>614.46180476424547</v>
      </c>
      <c r="BL38" s="25">
        <v>70.262747582605186</v>
      </c>
      <c r="BM38" s="25">
        <v>48.605598818059967</v>
      </c>
      <c r="BN38" s="25">
        <v>45.073338130913605</v>
      </c>
      <c r="BO38" s="25">
        <v>663.14429293179364</v>
      </c>
      <c r="BP38" s="25">
        <v>6.2717719731465991</v>
      </c>
      <c r="BQ38" s="25">
        <v>131.14882308832696</v>
      </c>
      <c r="BR38" s="25">
        <v>61.569511472027592</v>
      </c>
      <c r="BS38" s="25">
        <v>29.235817579768533</v>
      </c>
      <c r="BT38" s="25">
        <v>32.201740803634472</v>
      </c>
      <c r="BU38" s="25">
        <v>36.545806143206093</v>
      </c>
      <c r="BV38" s="25">
        <v>79.163102429354211</v>
      </c>
      <c r="BW38" s="25">
        <v>789.54653894132332</v>
      </c>
      <c r="BX38" s="25">
        <v>0</v>
      </c>
      <c r="BY38" s="72">
        <f t="shared" si="1"/>
        <v>40117.436545927085</v>
      </c>
      <c r="BZ38" s="25">
        <v>8160.608236693969</v>
      </c>
      <c r="CA38" s="25">
        <v>1.0854720629864254</v>
      </c>
      <c r="CB38" s="25">
        <v>0</v>
      </c>
      <c r="CC38" s="25">
        <v>18247.815276959202</v>
      </c>
      <c r="CD38" s="25">
        <v>14696.133219116911</v>
      </c>
      <c r="CE38" s="25">
        <v>-1278.0787507290102</v>
      </c>
      <c r="CF38" s="25">
        <v>39827.563454104071</v>
      </c>
      <c r="CG38" s="25">
        <v>79945</v>
      </c>
      <c r="CH38"/>
      <c r="CI38">
        <f t="shared" si="0"/>
        <v>0.49818704677095593</v>
      </c>
      <c r="CJ38"/>
      <c r="CK38"/>
      <c r="CL38"/>
      <c r="CM38"/>
      <c r="CN38"/>
      <c r="CO38"/>
      <c r="CP38"/>
      <c r="CQ38"/>
      <c r="CR38"/>
      <c r="CS38"/>
      <c r="CT38"/>
      <c r="CU38"/>
    </row>
    <row r="39" spans="1:99" s="5" customFormat="1" x14ac:dyDescent="0.3">
      <c r="A39" s="35" t="s">
        <v>43</v>
      </c>
      <c r="B39" s="11" t="s">
        <v>117</v>
      </c>
      <c r="C39" s="5">
        <v>34</v>
      </c>
      <c r="D39" s="25">
        <v>59.522305703606065</v>
      </c>
      <c r="E39" s="25">
        <v>52.217786105288837</v>
      </c>
      <c r="F39" s="25">
        <v>7.7379426650681999</v>
      </c>
      <c r="G39" s="25">
        <v>121.83013377807498</v>
      </c>
      <c r="H39" s="25">
        <v>2981.3187232983764</v>
      </c>
      <c r="I39" s="25">
        <v>3358.5304734187052</v>
      </c>
      <c r="J39" s="25">
        <v>647.24610176666101</v>
      </c>
      <c r="K39" s="25">
        <v>116.75762496976985</v>
      </c>
      <c r="L39" s="25">
        <v>9.5497742493645656</v>
      </c>
      <c r="M39" s="25">
        <v>134.22487336695494</v>
      </c>
      <c r="N39" s="25">
        <v>105.79099949407707</v>
      </c>
      <c r="O39" s="25">
        <v>2.9828610761777705</v>
      </c>
      <c r="P39" s="25">
        <v>20.954038704035376</v>
      </c>
      <c r="Q39" s="25">
        <v>16.0117665591914</v>
      </c>
      <c r="R39" s="25">
        <v>17.830644563412736</v>
      </c>
      <c r="S39" s="25">
        <v>83.835356791768419</v>
      </c>
      <c r="T39" s="25">
        <v>66.499360523187249</v>
      </c>
      <c r="U39" s="25">
        <v>27.971484305499192</v>
      </c>
      <c r="V39" s="25">
        <v>124.42443945135997</v>
      </c>
      <c r="W39" s="25">
        <v>3.2068614775039497</v>
      </c>
      <c r="X39" s="25">
        <v>0.64315817129398389</v>
      </c>
      <c r="Y39" s="25">
        <v>14.664866993787584</v>
      </c>
      <c r="Z39" s="25">
        <v>55.365175312124499</v>
      </c>
      <c r="AA39" s="25">
        <v>42.928805361589461</v>
      </c>
      <c r="AB39" s="25">
        <v>38.4222462567935</v>
      </c>
      <c r="AC39" s="25">
        <v>23.58168466678584</v>
      </c>
      <c r="AD39" s="25">
        <v>146.51909149651729</v>
      </c>
      <c r="AE39" s="25">
        <v>63.810019097951141</v>
      </c>
      <c r="AF39" s="25">
        <v>227.46372146208054</v>
      </c>
      <c r="AG39" s="25">
        <v>109.64969949828244</v>
      </c>
      <c r="AH39" s="25">
        <v>293.6266731396156</v>
      </c>
      <c r="AI39" s="25">
        <v>187.07604213725611</v>
      </c>
      <c r="AJ39" s="25">
        <v>561.552991324191</v>
      </c>
      <c r="AK39" s="25">
        <v>13998.183884661225</v>
      </c>
      <c r="AL39" s="25">
        <v>1347.7857506206824</v>
      </c>
      <c r="AM39" s="25">
        <v>250.3072976290847</v>
      </c>
      <c r="AN39" s="25">
        <v>400.60780466117706</v>
      </c>
      <c r="AO39" s="25">
        <v>86.468517165453292</v>
      </c>
      <c r="AP39" s="25">
        <v>8156.5291072832433</v>
      </c>
      <c r="AQ39" s="25">
        <v>183.8773062557928</v>
      </c>
      <c r="AR39" s="25">
        <v>29.480190946558871</v>
      </c>
      <c r="AS39" s="25">
        <v>21.121456700492327</v>
      </c>
      <c r="AT39" s="25">
        <v>28.673874343909777</v>
      </c>
      <c r="AU39" s="25">
        <v>87.632478652176914</v>
      </c>
      <c r="AV39" s="25">
        <v>3082.2212027772262</v>
      </c>
      <c r="AW39" s="25">
        <v>347.09497939889587</v>
      </c>
      <c r="AX39" s="25">
        <v>492.90872146548861</v>
      </c>
      <c r="AY39" s="40">
        <v>188.18252456487215</v>
      </c>
      <c r="AZ39" s="25">
        <v>114.1317287125715</v>
      </c>
      <c r="BA39" s="25">
        <v>16.756327513669412</v>
      </c>
      <c r="BB39" s="25">
        <v>183.7210541682006</v>
      </c>
      <c r="BC39" s="25">
        <v>10.695788746995476</v>
      </c>
      <c r="BD39" s="25">
        <v>78.820000487197191</v>
      </c>
      <c r="BE39" s="25">
        <v>9.4137410961183203</v>
      </c>
      <c r="BF39" s="25">
        <v>7.8433874607846139</v>
      </c>
      <c r="BG39" s="25">
        <v>56.01575252421209</v>
      </c>
      <c r="BH39" s="25">
        <v>39.266320030685463</v>
      </c>
      <c r="BI39" s="25">
        <v>17.499684418311713</v>
      </c>
      <c r="BJ39" s="25">
        <v>30.905608576877551</v>
      </c>
      <c r="BK39" s="25">
        <v>36.413597653372676</v>
      </c>
      <c r="BL39" s="25">
        <v>40.176682657267463</v>
      </c>
      <c r="BM39" s="25">
        <v>12.242518732631936</v>
      </c>
      <c r="BN39" s="25">
        <v>21.569957732316201</v>
      </c>
      <c r="BO39" s="25">
        <v>1179.0029429730471</v>
      </c>
      <c r="BP39" s="25">
        <v>5.7246072672928889</v>
      </c>
      <c r="BQ39" s="25">
        <v>111.69726973593008</v>
      </c>
      <c r="BR39" s="25">
        <v>25.460223271399052</v>
      </c>
      <c r="BS39" s="25">
        <v>5.0073719347400694</v>
      </c>
      <c r="BT39" s="25">
        <v>117.48267827292875</v>
      </c>
      <c r="BU39" s="25">
        <v>49.931723664466446</v>
      </c>
      <c r="BV39" s="25">
        <v>13.370874267205979</v>
      </c>
      <c r="BW39" s="25">
        <v>42.232026044923728</v>
      </c>
      <c r="BX39" s="25">
        <v>0</v>
      </c>
      <c r="BY39" s="72">
        <f t="shared" si="1"/>
        <v>40650.204692255793</v>
      </c>
      <c r="BZ39" s="25">
        <v>26105.19647079541</v>
      </c>
      <c r="CA39" s="25">
        <v>1.829221439477124</v>
      </c>
      <c r="CB39" s="25">
        <v>0</v>
      </c>
      <c r="CC39" s="25">
        <v>4346.8636411665539</v>
      </c>
      <c r="CD39" s="25">
        <v>59157.235988138818</v>
      </c>
      <c r="CE39" s="25">
        <v>-948.33001378563677</v>
      </c>
      <c r="CF39" s="25">
        <v>88662.795307754626</v>
      </c>
      <c r="CG39" s="25">
        <v>129313</v>
      </c>
      <c r="CH39"/>
      <c r="CI39">
        <f t="shared" si="0"/>
        <v>0.68564487180526801</v>
      </c>
      <c r="CJ39"/>
      <c r="CK39"/>
      <c r="CL39"/>
      <c r="CM39"/>
      <c r="CN39"/>
      <c r="CO39"/>
      <c r="CP39"/>
      <c r="CQ39"/>
      <c r="CR39"/>
      <c r="CS39"/>
      <c r="CT39"/>
      <c r="CU39"/>
    </row>
    <row r="40" spans="1:99" s="5" customFormat="1" x14ac:dyDescent="0.3">
      <c r="A40" s="35" t="s">
        <v>44</v>
      </c>
      <c r="B40" s="11" t="s">
        <v>118</v>
      </c>
      <c r="C40" s="5">
        <v>35</v>
      </c>
      <c r="D40" s="25">
        <v>6.0793326431152925</v>
      </c>
      <c r="E40" s="25">
        <v>4.2341402793009095</v>
      </c>
      <c r="F40" s="25">
        <v>0.45060294483418861</v>
      </c>
      <c r="G40" s="25">
        <v>1.7532064596121533</v>
      </c>
      <c r="H40" s="25">
        <v>22.732493646363995</v>
      </c>
      <c r="I40" s="25">
        <v>35.923445268958368</v>
      </c>
      <c r="J40" s="25">
        <v>4.6230340424648242</v>
      </c>
      <c r="K40" s="25">
        <v>6.0310656150077255</v>
      </c>
      <c r="L40" s="25">
        <v>39.384321213520785</v>
      </c>
      <c r="M40" s="25">
        <v>6.3633747517004942</v>
      </c>
      <c r="N40" s="25">
        <v>7.4156679627781834</v>
      </c>
      <c r="O40" s="25">
        <v>0.4853673891484559</v>
      </c>
      <c r="P40" s="25">
        <v>0.89219765450299382</v>
      </c>
      <c r="Q40" s="25">
        <v>0.72350440715786468</v>
      </c>
      <c r="R40" s="25">
        <v>0.89559605558574462</v>
      </c>
      <c r="S40" s="25">
        <v>1.5390856550522856</v>
      </c>
      <c r="T40" s="25">
        <v>2.2391794342057389</v>
      </c>
      <c r="U40" s="25">
        <v>0.13638293945280502</v>
      </c>
      <c r="V40" s="25">
        <v>0.50357185243508829</v>
      </c>
      <c r="W40" s="25">
        <v>1.295805255644086E-2</v>
      </c>
      <c r="X40" s="25">
        <v>1.7921972661052677E-3</v>
      </c>
      <c r="Y40" s="25">
        <v>0.39143869470761683</v>
      </c>
      <c r="Z40" s="25">
        <v>5.1554650903360315</v>
      </c>
      <c r="AA40" s="25">
        <v>24.655903412295473</v>
      </c>
      <c r="AB40" s="25">
        <v>3.0129772937813186</v>
      </c>
      <c r="AC40" s="25">
        <v>7.0694448061405017</v>
      </c>
      <c r="AD40" s="25">
        <v>6.0070207472078385</v>
      </c>
      <c r="AE40" s="25">
        <v>9.1046686902495484</v>
      </c>
      <c r="AF40" s="25">
        <v>3.6755743774222056</v>
      </c>
      <c r="AG40" s="25">
        <v>5.3585330825795729</v>
      </c>
      <c r="AH40" s="25">
        <v>7.6734366181145788</v>
      </c>
      <c r="AI40" s="25">
        <v>42.135878464386984</v>
      </c>
      <c r="AJ40" s="25">
        <v>130.55867196330829</v>
      </c>
      <c r="AK40" s="25">
        <v>139.03215919780203</v>
      </c>
      <c r="AL40" s="25">
        <v>6401.0291995062835</v>
      </c>
      <c r="AM40" s="25">
        <v>198.18236285527331</v>
      </c>
      <c r="AN40" s="25">
        <v>27.306349159842785</v>
      </c>
      <c r="AO40" s="25">
        <v>6.955028087194794</v>
      </c>
      <c r="AP40" s="25">
        <v>89.22255793834951</v>
      </c>
      <c r="AQ40" s="25">
        <v>86.668171491859326</v>
      </c>
      <c r="AR40" s="25">
        <v>14.15732454993543</v>
      </c>
      <c r="AS40" s="25">
        <v>10.143194730941259</v>
      </c>
      <c r="AT40" s="25">
        <v>15.485616608259518</v>
      </c>
      <c r="AU40" s="25">
        <v>13.526570934637117</v>
      </c>
      <c r="AV40" s="25">
        <v>188.27528297895037</v>
      </c>
      <c r="AW40" s="25">
        <v>532.17208085673667</v>
      </c>
      <c r="AX40" s="25">
        <v>94.656438781178892</v>
      </c>
      <c r="AY40" s="40">
        <v>864.60320895691905</v>
      </c>
      <c r="AZ40" s="25">
        <v>0.83914315631735381</v>
      </c>
      <c r="BA40" s="25">
        <v>8.1858906758950745E-2</v>
      </c>
      <c r="BB40" s="25">
        <v>9.1036561840329675</v>
      </c>
      <c r="BC40" s="25">
        <v>1.6401264875792059</v>
      </c>
      <c r="BD40" s="25">
        <v>8.1053616704011695</v>
      </c>
      <c r="BE40" s="25">
        <v>0.29355293855328496</v>
      </c>
      <c r="BF40" s="25">
        <v>1.8669431820610858</v>
      </c>
      <c r="BG40" s="25">
        <v>15.046584400360741</v>
      </c>
      <c r="BH40" s="25">
        <v>4.206258609986504</v>
      </c>
      <c r="BI40" s="25">
        <v>5.7782215604884071</v>
      </c>
      <c r="BJ40" s="25">
        <v>10.632691936448024</v>
      </c>
      <c r="BK40" s="25">
        <v>14.295464906277772</v>
      </c>
      <c r="BL40" s="25">
        <v>34.022490097580679</v>
      </c>
      <c r="BM40" s="25">
        <v>1.6650914908455441</v>
      </c>
      <c r="BN40" s="25">
        <v>14.797823088620525</v>
      </c>
      <c r="BO40" s="25">
        <v>21.056968342396452</v>
      </c>
      <c r="BP40" s="25">
        <v>2.196008256563204</v>
      </c>
      <c r="BQ40" s="25">
        <v>54.143997285643749</v>
      </c>
      <c r="BR40" s="25">
        <v>8.0172920945857413</v>
      </c>
      <c r="BS40" s="25">
        <v>3.329808523440775</v>
      </c>
      <c r="BT40" s="25">
        <v>14.693655894817354</v>
      </c>
      <c r="BU40" s="25">
        <v>10.723095359283748</v>
      </c>
      <c r="BV40" s="25">
        <v>4.0666521346822817</v>
      </c>
      <c r="BW40" s="25">
        <v>10.757810926212755</v>
      </c>
      <c r="BX40" s="25">
        <v>0</v>
      </c>
      <c r="BY40" s="72">
        <f t="shared" si="1"/>
        <v>9319.9954377736558</v>
      </c>
      <c r="BZ40" s="25">
        <v>31565.598555046839</v>
      </c>
      <c r="CA40" s="25">
        <v>0</v>
      </c>
      <c r="CB40" s="25">
        <v>0</v>
      </c>
      <c r="CC40" s="25">
        <v>74047.929024189856</v>
      </c>
      <c r="CD40" s="25">
        <v>71777.155606281944</v>
      </c>
      <c r="CE40" s="25">
        <v>1204.3213767128063</v>
      </c>
      <c r="CF40" s="25">
        <v>178595.00456223145</v>
      </c>
      <c r="CG40" s="25">
        <v>187915</v>
      </c>
      <c r="CH40"/>
      <c r="CI40">
        <f t="shared" si="0"/>
        <v>0.95040313206626104</v>
      </c>
      <c r="CJ40"/>
      <c r="CK40"/>
      <c r="CL40"/>
      <c r="CM40"/>
      <c r="CN40"/>
      <c r="CO40"/>
      <c r="CP40"/>
      <c r="CQ40"/>
      <c r="CR40"/>
      <c r="CS40"/>
      <c r="CT40"/>
      <c r="CU40"/>
    </row>
    <row r="41" spans="1:99" s="5" customFormat="1" x14ac:dyDescent="0.3">
      <c r="A41" s="35" t="s">
        <v>45</v>
      </c>
      <c r="B41" s="11" t="s">
        <v>119</v>
      </c>
      <c r="C41" s="5">
        <v>36</v>
      </c>
      <c r="D41" s="25">
        <v>23.030769629208717</v>
      </c>
      <c r="E41" s="25">
        <v>21.334763428006642</v>
      </c>
      <c r="F41" s="25">
        <v>1.7539911411837736</v>
      </c>
      <c r="G41" s="25">
        <v>4.3114620373138086</v>
      </c>
      <c r="H41" s="25">
        <v>133.67925358866589</v>
      </c>
      <c r="I41" s="25">
        <v>118.35306042140583</v>
      </c>
      <c r="J41" s="25">
        <v>20.491406594920392</v>
      </c>
      <c r="K41" s="25">
        <v>58.822250853589146</v>
      </c>
      <c r="L41" s="25">
        <v>3.6580655989026454</v>
      </c>
      <c r="M41" s="25">
        <v>77.508676051511131</v>
      </c>
      <c r="N41" s="25">
        <v>78.143529112663003</v>
      </c>
      <c r="O41" s="25">
        <v>0.70233329744813222</v>
      </c>
      <c r="P41" s="25">
        <v>8.1067602183074658</v>
      </c>
      <c r="Q41" s="25">
        <v>3.9768991010187786</v>
      </c>
      <c r="R41" s="25">
        <v>6.6684836628326378</v>
      </c>
      <c r="S41" s="25">
        <v>12.730870567110621</v>
      </c>
      <c r="T41" s="25">
        <v>9.2106179336940119</v>
      </c>
      <c r="U41" s="25">
        <v>7.2701764040418322</v>
      </c>
      <c r="V41" s="25">
        <v>6.7603660837117481</v>
      </c>
      <c r="W41" s="25">
        <v>0.17408278972224633</v>
      </c>
      <c r="X41" s="25">
        <v>2.8862715455859316E-2</v>
      </c>
      <c r="Y41" s="25">
        <v>2.3484311284074915</v>
      </c>
      <c r="Z41" s="25">
        <v>19.637024268064614</v>
      </c>
      <c r="AA41" s="25">
        <v>17.09776631679464</v>
      </c>
      <c r="AB41" s="25">
        <v>24.773852900607473</v>
      </c>
      <c r="AC41" s="25">
        <v>9.820390171430228</v>
      </c>
      <c r="AD41" s="25">
        <v>63.16321689365504</v>
      </c>
      <c r="AE41" s="25">
        <v>25.632333748347094</v>
      </c>
      <c r="AF41" s="25">
        <v>59.722249486700498</v>
      </c>
      <c r="AG41" s="25">
        <v>25.274921115880044</v>
      </c>
      <c r="AH41" s="25">
        <v>160.67153291879316</v>
      </c>
      <c r="AI41" s="25">
        <v>149.98137675042946</v>
      </c>
      <c r="AJ41" s="25">
        <v>285.45643584851399</v>
      </c>
      <c r="AK41" s="25">
        <v>590.95514679980465</v>
      </c>
      <c r="AL41" s="25">
        <v>41768.119698194343</v>
      </c>
      <c r="AM41" s="25">
        <v>11118.72493870409</v>
      </c>
      <c r="AN41" s="25">
        <v>88.067706926733123</v>
      </c>
      <c r="AO41" s="25">
        <v>48.305878453495758</v>
      </c>
      <c r="AP41" s="25">
        <v>391.5589705473754</v>
      </c>
      <c r="AQ41" s="25">
        <v>178.96091064583609</v>
      </c>
      <c r="AR41" s="25">
        <v>29.233427337313508</v>
      </c>
      <c r="AS41" s="25">
        <v>20.944659782949238</v>
      </c>
      <c r="AT41" s="25">
        <v>27.99468308644564</v>
      </c>
      <c r="AU41" s="25">
        <v>22.002569535951483</v>
      </c>
      <c r="AV41" s="25">
        <v>786.42206006416041</v>
      </c>
      <c r="AW41" s="25">
        <v>16757.380610384294</v>
      </c>
      <c r="AX41" s="25">
        <v>271.92690386794874</v>
      </c>
      <c r="AY41" s="40">
        <v>11241.326851182903</v>
      </c>
      <c r="AZ41" s="25">
        <v>4.2981168519444219</v>
      </c>
      <c r="BA41" s="25">
        <v>3.3999873134724803</v>
      </c>
      <c r="BB41" s="25">
        <v>22.831216726047206</v>
      </c>
      <c r="BC41" s="25">
        <v>9.7792439959294306</v>
      </c>
      <c r="BD41" s="25">
        <v>66.440220699295025</v>
      </c>
      <c r="BE41" s="25">
        <v>0.9692352588187495</v>
      </c>
      <c r="BF41" s="25">
        <v>4.7494570258082378</v>
      </c>
      <c r="BG41" s="25">
        <v>32.283956554095894</v>
      </c>
      <c r="BH41" s="25">
        <v>11.675920574090959</v>
      </c>
      <c r="BI41" s="25">
        <v>25.117535659091725</v>
      </c>
      <c r="BJ41" s="25">
        <v>33.107385669635867</v>
      </c>
      <c r="BK41" s="25">
        <v>42.753067014498214</v>
      </c>
      <c r="BL41" s="25">
        <v>61.705269956035742</v>
      </c>
      <c r="BM41" s="25">
        <v>6.1094552845915722</v>
      </c>
      <c r="BN41" s="25">
        <v>178.64411219393531</v>
      </c>
      <c r="BO41" s="25">
        <v>86.122547399955891</v>
      </c>
      <c r="BP41" s="25">
        <v>3.4288450741843426</v>
      </c>
      <c r="BQ41" s="25">
        <v>944.29532162300757</v>
      </c>
      <c r="BR41" s="25">
        <v>245.02647863352792</v>
      </c>
      <c r="BS41" s="25">
        <v>20.880374625890653</v>
      </c>
      <c r="BT41" s="25">
        <v>122.23661869936019</v>
      </c>
      <c r="BU41" s="25">
        <v>19.06369890094042</v>
      </c>
      <c r="BV41" s="25">
        <v>18.253064329760541</v>
      </c>
      <c r="BW41" s="25">
        <v>36.18062033752885</v>
      </c>
      <c r="BX41" s="25">
        <v>0</v>
      </c>
      <c r="BY41" s="72">
        <f t="shared" si="1"/>
        <v>86781.572978693453</v>
      </c>
      <c r="BZ41" s="25">
        <v>16209.850370734868</v>
      </c>
      <c r="CA41" s="25">
        <v>0</v>
      </c>
      <c r="CB41" s="25">
        <v>0</v>
      </c>
      <c r="CC41" s="25">
        <v>1499.9348819154825</v>
      </c>
      <c r="CD41" s="25">
        <v>3584.2263505479905</v>
      </c>
      <c r="CE41" s="25">
        <v>-2083.5845818673261</v>
      </c>
      <c r="CF41" s="25">
        <v>19210.427021331016</v>
      </c>
      <c r="CG41" s="25">
        <v>105992</v>
      </c>
      <c r="CH41"/>
      <c r="CI41">
        <f t="shared" si="0"/>
        <v>0.18124412239915291</v>
      </c>
      <c r="CJ41"/>
      <c r="CK41"/>
      <c r="CL41"/>
      <c r="CM41"/>
      <c r="CN41"/>
      <c r="CO41"/>
      <c r="CP41"/>
      <c r="CQ41"/>
      <c r="CR41"/>
      <c r="CS41"/>
      <c r="CT41"/>
      <c r="CU41"/>
    </row>
    <row r="42" spans="1:99" s="5" customFormat="1" x14ac:dyDescent="0.3">
      <c r="A42" s="35" t="s">
        <v>46</v>
      </c>
      <c r="B42" s="11" t="s">
        <v>120</v>
      </c>
      <c r="C42" s="5">
        <v>37</v>
      </c>
      <c r="D42" s="25">
        <v>4.9868211495342329</v>
      </c>
      <c r="E42" s="25">
        <v>4.6069195410432195</v>
      </c>
      <c r="F42" s="25">
        <v>0.78082668028628288</v>
      </c>
      <c r="G42" s="25">
        <v>4.0935082752388299</v>
      </c>
      <c r="H42" s="25">
        <v>36.555408577894092</v>
      </c>
      <c r="I42" s="25">
        <v>28.323997559732756</v>
      </c>
      <c r="J42" s="25">
        <v>6.1643923228497508</v>
      </c>
      <c r="K42" s="25">
        <v>23.872375159693842</v>
      </c>
      <c r="L42" s="25">
        <v>2.6165250884680926</v>
      </c>
      <c r="M42" s="25">
        <v>22.287293821742143</v>
      </c>
      <c r="N42" s="25">
        <v>22.019794969376246</v>
      </c>
      <c r="O42" s="25">
        <v>0.951991038742527</v>
      </c>
      <c r="P42" s="25">
        <v>1.516282348817972</v>
      </c>
      <c r="Q42" s="25">
        <v>2.8505447222716263</v>
      </c>
      <c r="R42" s="25">
        <v>2.5595446686656871</v>
      </c>
      <c r="S42" s="25">
        <v>5.8027436843184077</v>
      </c>
      <c r="T42" s="25">
        <v>16.310046908766967</v>
      </c>
      <c r="U42" s="25">
        <v>5.2951023901787542</v>
      </c>
      <c r="V42" s="25">
        <v>6.1149038706905152</v>
      </c>
      <c r="W42" s="25">
        <v>0.15842795053563921</v>
      </c>
      <c r="X42" s="25">
        <v>6.3786200199413431E-2</v>
      </c>
      <c r="Y42" s="25">
        <v>3.9122942593283057</v>
      </c>
      <c r="Z42" s="25">
        <v>12.464991613664969</v>
      </c>
      <c r="AA42" s="25">
        <v>7.1965891240332542</v>
      </c>
      <c r="AB42" s="25">
        <v>8.3193813814717483</v>
      </c>
      <c r="AC42" s="25">
        <v>12.611800614114907</v>
      </c>
      <c r="AD42" s="25">
        <v>13.78068441035977</v>
      </c>
      <c r="AE42" s="25">
        <v>14.683612440308503</v>
      </c>
      <c r="AF42" s="25">
        <v>64.432299023918844</v>
      </c>
      <c r="AG42" s="25">
        <v>14.514972550016264</v>
      </c>
      <c r="AH42" s="25">
        <v>65.749304626838622</v>
      </c>
      <c r="AI42" s="25">
        <v>9.1707604277193493</v>
      </c>
      <c r="AJ42" s="25">
        <v>29.363735830143359</v>
      </c>
      <c r="AK42" s="25">
        <v>80.378690411628156</v>
      </c>
      <c r="AL42" s="25">
        <v>266.06433068103144</v>
      </c>
      <c r="AM42" s="25">
        <v>94.115435593740415</v>
      </c>
      <c r="AN42" s="25">
        <v>480.05988990730475</v>
      </c>
      <c r="AO42" s="25">
        <v>14.790079925163909</v>
      </c>
      <c r="AP42" s="25">
        <v>151.11749226844694</v>
      </c>
      <c r="AQ42" s="25">
        <v>22.426805250168904</v>
      </c>
      <c r="AR42" s="25">
        <v>3.6634390120329217</v>
      </c>
      <c r="AS42" s="25">
        <v>2.6247173435143485</v>
      </c>
      <c r="AT42" s="25">
        <v>1.8076843233351139</v>
      </c>
      <c r="AU42" s="25">
        <v>8.5592197567344641</v>
      </c>
      <c r="AV42" s="25">
        <v>134.34873154656916</v>
      </c>
      <c r="AW42" s="25">
        <v>104.3287185956416</v>
      </c>
      <c r="AX42" s="25">
        <v>47.185007596141773</v>
      </c>
      <c r="AY42" s="40">
        <v>114.28495397222106</v>
      </c>
      <c r="AZ42" s="25">
        <v>8.1753187737252304</v>
      </c>
      <c r="BA42" s="25">
        <v>3.5093606022635617</v>
      </c>
      <c r="BB42" s="25">
        <v>15.741988103756668</v>
      </c>
      <c r="BC42" s="25">
        <v>0.98892850526239373</v>
      </c>
      <c r="BD42" s="25">
        <v>13.772883960977339</v>
      </c>
      <c r="BE42" s="25">
        <v>2.0275665806359684</v>
      </c>
      <c r="BF42" s="25">
        <v>0.96708398221640157</v>
      </c>
      <c r="BG42" s="25">
        <v>5.6539211026815748</v>
      </c>
      <c r="BH42" s="25">
        <v>9.7449629974355858</v>
      </c>
      <c r="BI42" s="25">
        <v>2.8835222526933015</v>
      </c>
      <c r="BJ42" s="25">
        <v>3.4121952982324646</v>
      </c>
      <c r="BK42" s="25">
        <v>5.8203609723868146</v>
      </c>
      <c r="BL42" s="25">
        <v>29.50740973456119</v>
      </c>
      <c r="BM42" s="25">
        <v>1.2495467255479826</v>
      </c>
      <c r="BN42" s="25">
        <v>7.0318623976594559</v>
      </c>
      <c r="BO42" s="25">
        <v>10.740795794175268</v>
      </c>
      <c r="BP42" s="25">
        <v>1.4258653238884478</v>
      </c>
      <c r="BQ42" s="25">
        <v>27.065816749540872</v>
      </c>
      <c r="BR42" s="25">
        <v>3.2530216082114078</v>
      </c>
      <c r="BS42" s="25">
        <v>1.0348088976519616</v>
      </c>
      <c r="BT42" s="25">
        <v>6.8796707652408386</v>
      </c>
      <c r="BU42" s="25">
        <v>6.9804331328033218</v>
      </c>
      <c r="BV42" s="25">
        <v>3.1204937570298665</v>
      </c>
      <c r="BW42" s="25">
        <v>9.3914333435010597</v>
      </c>
      <c r="BX42" s="25">
        <v>0</v>
      </c>
      <c r="BY42" s="72">
        <f t="shared" si="1"/>
        <v>2160.2661107767194</v>
      </c>
      <c r="BZ42" s="25">
        <v>43140.492653138856</v>
      </c>
      <c r="CA42" s="25">
        <v>0.20503361189743591</v>
      </c>
      <c r="CB42" s="25">
        <v>0</v>
      </c>
      <c r="CC42" s="25">
        <v>762.43633239786652</v>
      </c>
      <c r="CD42" s="25">
        <v>3022.7646692592871</v>
      </c>
      <c r="CE42" s="25">
        <v>-7273.1647991816653</v>
      </c>
      <c r="CF42" s="25">
        <v>39652.733889226234</v>
      </c>
      <c r="CG42" s="25">
        <v>41813</v>
      </c>
      <c r="CH42"/>
      <c r="CI42">
        <f t="shared" si="0"/>
        <v>0.94833506060857231</v>
      </c>
      <c r="CJ42"/>
      <c r="CK42"/>
      <c r="CL42"/>
      <c r="CM42"/>
      <c r="CN42"/>
      <c r="CO42"/>
      <c r="CP42"/>
      <c r="CQ42"/>
      <c r="CR42"/>
      <c r="CS42"/>
      <c r="CT42"/>
      <c r="CU42"/>
    </row>
    <row r="43" spans="1:99" s="5" customFormat="1" x14ac:dyDescent="0.3">
      <c r="A43" s="35" t="s">
        <v>47</v>
      </c>
      <c r="B43" s="11" t="s">
        <v>121</v>
      </c>
      <c r="C43" s="5">
        <v>38</v>
      </c>
      <c r="D43" s="25">
        <v>45.782288437245711</v>
      </c>
      <c r="E43" s="25">
        <v>29.239596913345242</v>
      </c>
      <c r="F43" s="25">
        <v>8.4320166405944832</v>
      </c>
      <c r="G43" s="25">
        <v>11.028587123657127</v>
      </c>
      <c r="H43" s="25">
        <v>80.655808675524071</v>
      </c>
      <c r="I43" s="25">
        <v>51.780234565585253</v>
      </c>
      <c r="J43" s="25">
        <v>8.1537520245893482</v>
      </c>
      <c r="K43" s="25">
        <v>70.003355856703521</v>
      </c>
      <c r="L43" s="25">
        <v>6.0434286287507843</v>
      </c>
      <c r="M43" s="25">
        <v>135.22112072819303</v>
      </c>
      <c r="N43" s="25">
        <v>76.098550648828109</v>
      </c>
      <c r="O43" s="25">
        <v>1.0050290181196722</v>
      </c>
      <c r="P43" s="25">
        <v>56.971174720237016</v>
      </c>
      <c r="Q43" s="25">
        <v>747.44728718589477</v>
      </c>
      <c r="R43" s="25">
        <v>163.13019854927774</v>
      </c>
      <c r="S43" s="25">
        <v>36.447294084671327</v>
      </c>
      <c r="T43" s="25">
        <v>22.146178253166504</v>
      </c>
      <c r="U43" s="25">
        <v>12.187559668481464</v>
      </c>
      <c r="V43" s="25">
        <v>29.950776492129563</v>
      </c>
      <c r="W43" s="25">
        <v>0.77037961564342716</v>
      </c>
      <c r="X43" s="25">
        <v>0.15650270436539049</v>
      </c>
      <c r="Y43" s="25">
        <v>3.1970506395294347</v>
      </c>
      <c r="Z43" s="25">
        <v>86.057607100965313</v>
      </c>
      <c r="AA43" s="25">
        <v>59.958222590080375</v>
      </c>
      <c r="AB43" s="25">
        <v>36.090306193794547</v>
      </c>
      <c r="AC43" s="25">
        <v>51.91197983661484</v>
      </c>
      <c r="AD43" s="25">
        <v>169.57606088592962</v>
      </c>
      <c r="AE43" s="25">
        <v>102.00533712396278</v>
      </c>
      <c r="AF43" s="25">
        <v>36.054503029592446</v>
      </c>
      <c r="AG43" s="25">
        <v>7.2052213003160466</v>
      </c>
      <c r="AH43" s="25">
        <v>89.485080536444698</v>
      </c>
      <c r="AI43" s="25">
        <v>61.480600967481401</v>
      </c>
      <c r="AJ43" s="25">
        <v>56.137189229721017</v>
      </c>
      <c r="AK43" s="25">
        <v>375.52821609189743</v>
      </c>
      <c r="AL43" s="25">
        <v>252.09890296761094</v>
      </c>
      <c r="AM43" s="25">
        <v>398.46123699916501</v>
      </c>
      <c r="AN43" s="25">
        <v>38.40365429506231</v>
      </c>
      <c r="AO43" s="25">
        <v>1960.1198644993181</v>
      </c>
      <c r="AP43" s="25">
        <v>165.5925563050794</v>
      </c>
      <c r="AQ43" s="25">
        <v>61.710357013717321</v>
      </c>
      <c r="AR43" s="25">
        <v>10.080442881128995</v>
      </c>
      <c r="AS43" s="25">
        <v>7.2222611522943634</v>
      </c>
      <c r="AT43" s="25">
        <v>6.0937967564972286</v>
      </c>
      <c r="AU43" s="25">
        <v>33.800583613346866</v>
      </c>
      <c r="AV43" s="25">
        <v>874.03621709689321</v>
      </c>
      <c r="AW43" s="25">
        <v>39.292437919857846</v>
      </c>
      <c r="AX43" s="25">
        <v>438.45063461684435</v>
      </c>
      <c r="AY43" s="40">
        <v>72.534590593157205</v>
      </c>
      <c r="AZ43" s="25">
        <v>53.474975030195026</v>
      </c>
      <c r="BA43" s="25">
        <v>1.8863702697401237</v>
      </c>
      <c r="BB43" s="25">
        <v>118.97152528898459</v>
      </c>
      <c r="BC43" s="25">
        <v>11.606562876415598</v>
      </c>
      <c r="BD43" s="25">
        <v>53.666761308420881</v>
      </c>
      <c r="BE43" s="25">
        <v>4.2463808734715762</v>
      </c>
      <c r="BF43" s="25">
        <v>30.04267614873508</v>
      </c>
      <c r="BG43" s="25">
        <v>8.160663636983907</v>
      </c>
      <c r="BH43" s="25">
        <v>52.216172275063364</v>
      </c>
      <c r="BI43" s="25">
        <v>124.57994644583015</v>
      </c>
      <c r="BJ43" s="25">
        <v>104.80804677786166</v>
      </c>
      <c r="BK43" s="25">
        <v>167.06610060286647</v>
      </c>
      <c r="BL43" s="25">
        <v>205.39394308036344</v>
      </c>
      <c r="BM43" s="25">
        <v>186.64130578892917</v>
      </c>
      <c r="BN43" s="25">
        <v>301.35842301516743</v>
      </c>
      <c r="BO43" s="25">
        <v>143.94754620854138</v>
      </c>
      <c r="BP43" s="25">
        <v>11.161014046942418</v>
      </c>
      <c r="BQ43" s="25">
        <v>469.840919301241</v>
      </c>
      <c r="BR43" s="25">
        <v>551.23724144244261</v>
      </c>
      <c r="BS43" s="25">
        <v>25.479786843630265</v>
      </c>
      <c r="BT43" s="25">
        <v>1456.9750726247385</v>
      </c>
      <c r="BU43" s="25">
        <v>8046.0911888969458</v>
      </c>
      <c r="BV43" s="25">
        <v>96.158920656638017</v>
      </c>
      <c r="BW43" s="25">
        <v>86.087862256028302</v>
      </c>
      <c r="BX43" s="25">
        <v>0</v>
      </c>
      <c r="BY43" s="72">
        <f t="shared" si="1"/>
        <v>19396.335438467486</v>
      </c>
      <c r="BZ43" s="25">
        <v>3585.1584726113724</v>
      </c>
      <c r="CA43" s="25">
        <v>13.779791673091975</v>
      </c>
      <c r="CB43" s="25">
        <v>0</v>
      </c>
      <c r="CC43" s="25">
        <v>43100.800641060887</v>
      </c>
      <c r="CD43" s="25">
        <v>10150.493355155131</v>
      </c>
      <c r="CE43" s="25">
        <v>-1011.6289519688544</v>
      </c>
      <c r="CF43" s="25">
        <v>55838.603308531652</v>
      </c>
      <c r="CG43" s="25">
        <v>75235</v>
      </c>
      <c r="CH43"/>
      <c r="CI43">
        <f t="shared" si="0"/>
        <v>0.74218918466846084</v>
      </c>
      <c r="CJ43"/>
      <c r="CK43"/>
      <c r="CL43"/>
      <c r="CM43"/>
      <c r="CN43"/>
      <c r="CO43"/>
      <c r="CP43"/>
      <c r="CQ43"/>
      <c r="CR43"/>
      <c r="CS43"/>
      <c r="CT43"/>
      <c r="CU43"/>
    </row>
    <row r="44" spans="1:99" s="5" customFormat="1" x14ac:dyDescent="0.3">
      <c r="A44" s="35" t="s">
        <v>48</v>
      </c>
      <c r="B44" s="11" t="s">
        <v>122</v>
      </c>
      <c r="C44" s="5">
        <v>39</v>
      </c>
      <c r="D44" s="25">
        <v>95.999296681132464</v>
      </c>
      <c r="E44" s="25">
        <v>40.232594579558715</v>
      </c>
      <c r="F44" s="25">
        <v>86.09328184228761</v>
      </c>
      <c r="G44" s="25">
        <v>716.65195262567761</v>
      </c>
      <c r="H44" s="25">
        <v>3124.6300625370091</v>
      </c>
      <c r="I44" s="25">
        <v>1811.8295405689137</v>
      </c>
      <c r="J44" s="25">
        <v>682.14345655019474</v>
      </c>
      <c r="K44" s="25">
        <v>1147.1754610464577</v>
      </c>
      <c r="L44" s="25">
        <v>428.95832119905316</v>
      </c>
      <c r="M44" s="25">
        <v>665.69625867036598</v>
      </c>
      <c r="N44" s="25">
        <v>393.03264327304981</v>
      </c>
      <c r="O44" s="25">
        <v>12.305103637098773</v>
      </c>
      <c r="P44" s="25">
        <v>145.60212215246301</v>
      </c>
      <c r="Q44" s="25">
        <v>260.75603821784591</v>
      </c>
      <c r="R44" s="25">
        <v>168.16769926545578</v>
      </c>
      <c r="S44" s="25">
        <v>627.01736232719929</v>
      </c>
      <c r="T44" s="25">
        <v>2982.1012032257213</v>
      </c>
      <c r="U44" s="25">
        <v>1057.8342209006767</v>
      </c>
      <c r="V44" s="25">
        <v>620.66820095066282</v>
      </c>
      <c r="W44" s="25">
        <v>16.245734676674889</v>
      </c>
      <c r="X44" s="25">
        <v>12.915451439657728</v>
      </c>
      <c r="Y44" s="25">
        <v>778.15252442762608</v>
      </c>
      <c r="Z44" s="25">
        <v>1193.254417593294</v>
      </c>
      <c r="AA44" s="25">
        <v>534.26246660551578</v>
      </c>
      <c r="AB44" s="25">
        <v>157.71895599651921</v>
      </c>
      <c r="AC44" s="25">
        <v>621.45429989604781</v>
      </c>
      <c r="AD44" s="25">
        <v>554.3408438984851</v>
      </c>
      <c r="AE44" s="25">
        <v>2308.8231723313834</v>
      </c>
      <c r="AF44" s="25">
        <v>8729.3708884533844</v>
      </c>
      <c r="AG44" s="25">
        <v>1976.9636269964024</v>
      </c>
      <c r="AH44" s="25">
        <v>777.57051779516905</v>
      </c>
      <c r="AI44" s="25">
        <v>82.550318001962964</v>
      </c>
      <c r="AJ44" s="25">
        <v>458.15064711375845</v>
      </c>
      <c r="AK44" s="25">
        <v>1494.2985041274596</v>
      </c>
      <c r="AL44" s="25">
        <v>217.14626183967025</v>
      </c>
      <c r="AM44" s="25">
        <v>688.96154088669778</v>
      </c>
      <c r="AN44" s="25">
        <v>423.04824263360138</v>
      </c>
      <c r="AO44" s="25">
        <v>717.61152138013824</v>
      </c>
      <c r="AP44" s="25">
        <v>1073.442535639173</v>
      </c>
      <c r="AQ44" s="25">
        <v>1338.9613134551741</v>
      </c>
      <c r="AR44" s="25">
        <v>218.72054697927086</v>
      </c>
      <c r="AS44" s="25">
        <v>156.70510991279417</v>
      </c>
      <c r="AT44" s="25">
        <v>93.043618673964673</v>
      </c>
      <c r="AU44" s="25">
        <v>1187.090911745606</v>
      </c>
      <c r="AV44" s="25">
        <v>1957.5838891590849</v>
      </c>
      <c r="AW44" s="25">
        <v>735.16436650407445</v>
      </c>
      <c r="AX44" s="25">
        <v>4433.1198376557068</v>
      </c>
      <c r="AY44" s="40">
        <v>1319.0597394837819</v>
      </c>
      <c r="AZ44" s="25">
        <v>1781.7765364328345</v>
      </c>
      <c r="BA44" s="25">
        <v>768.3377038181635</v>
      </c>
      <c r="BB44" s="25">
        <v>3303.0994470395349</v>
      </c>
      <c r="BC44" s="25">
        <v>6.9671588698732334</v>
      </c>
      <c r="BD44" s="25">
        <v>292.83002362657419</v>
      </c>
      <c r="BE44" s="25">
        <v>404.22868151253954</v>
      </c>
      <c r="BF44" s="25">
        <v>154.53953860291639</v>
      </c>
      <c r="BG44" s="25">
        <v>393.52931220105557</v>
      </c>
      <c r="BH44" s="25">
        <v>1214.7449309694282</v>
      </c>
      <c r="BI44" s="25">
        <v>293.29376236333752</v>
      </c>
      <c r="BJ44" s="25">
        <v>155.80858758442469</v>
      </c>
      <c r="BK44" s="25">
        <v>871.89488192017279</v>
      </c>
      <c r="BL44" s="25">
        <v>175.41422656771934</v>
      </c>
      <c r="BM44" s="25">
        <v>151.98634605649491</v>
      </c>
      <c r="BN44" s="25">
        <v>956.83750310888684</v>
      </c>
      <c r="BO44" s="25">
        <v>919.48580131640881</v>
      </c>
      <c r="BP44" s="25">
        <v>224.93923811412708</v>
      </c>
      <c r="BQ44" s="25">
        <v>1063.5660838465978</v>
      </c>
      <c r="BR44" s="25">
        <v>152.45371925648601</v>
      </c>
      <c r="BS44" s="25">
        <v>1.5982707974041468</v>
      </c>
      <c r="BT44" s="25">
        <v>991.79393921623057</v>
      </c>
      <c r="BU44" s="25">
        <v>574.06167577908013</v>
      </c>
      <c r="BV44" s="25">
        <v>526.48429562594583</v>
      </c>
      <c r="BW44" s="25">
        <v>569.91556142450429</v>
      </c>
      <c r="BX44" s="25">
        <v>0</v>
      </c>
      <c r="BY44" s="72">
        <f t="shared" si="1"/>
        <v>65272.213851603665</v>
      </c>
      <c r="BZ44" s="25">
        <v>4025.5921183981891</v>
      </c>
      <c r="CA44" s="25">
        <v>0.69952644059125191</v>
      </c>
      <c r="CB44" s="25">
        <v>0</v>
      </c>
      <c r="CC44" s="25">
        <v>770.6196783729273</v>
      </c>
      <c r="CD44" s="25">
        <v>9962.6097184136033</v>
      </c>
      <c r="CE44" s="25">
        <v>-63.734893227631026</v>
      </c>
      <c r="CF44" s="25">
        <v>14695.786148397679</v>
      </c>
      <c r="CG44" s="25">
        <v>79968</v>
      </c>
      <c r="CH44"/>
      <c r="CI44">
        <f t="shared" si="0"/>
        <v>0.18377083518904661</v>
      </c>
      <c r="CJ44"/>
      <c r="CK44"/>
      <c r="CL44"/>
      <c r="CM44"/>
      <c r="CN44"/>
      <c r="CO44"/>
      <c r="CP44"/>
      <c r="CQ44"/>
      <c r="CR44"/>
      <c r="CS44"/>
      <c r="CT44"/>
      <c r="CU44"/>
    </row>
    <row r="45" spans="1:99" s="18" customFormat="1" x14ac:dyDescent="0.3">
      <c r="A45" s="35" t="s">
        <v>49</v>
      </c>
      <c r="B45" s="4" t="s">
        <v>123</v>
      </c>
      <c r="C45" s="18">
        <v>40</v>
      </c>
      <c r="D45" s="46">
        <v>6395.2848420511436</v>
      </c>
      <c r="E45" s="46">
        <v>3669.191102193688</v>
      </c>
      <c r="F45" s="46">
        <v>323.32533505968428</v>
      </c>
      <c r="G45" s="46">
        <v>428.97571920001906</v>
      </c>
      <c r="H45" s="46">
        <v>249.12162279682406</v>
      </c>
      <c r="I45" s="46">
        <v>811.37785061707632</v>
      </c>
      <c r="J45" s="46">
        <v>272.83286268342215</v>
      </c>
      <c r="K45" s="46">
        <v>881.4067680355048</v>
      </c>
      <c r="L45" s="46">
        <v>55.54508054019044</v>
      </c>
      <c r="M45" s="46">
        <v>1747.4393465696521</v>
      </c>
      <c r="N45" s="46">
        <v>343.95120347653966</v>
      </c>
      <c r="O45" s="46">
        <v>27.165011246407275</v>
      </c>
      <c r="P45" s="46">
        <v>709.91225811816378</v>
      </c>
      <c r="Q45" s="46">
        <v>115.15108572556116</v>
      </c>
      <c r="R45" s="46">
        <v>144.75464421456547</v>
      </c>
      <c r="S45" s="46">
        <v>505.05656660149418</v>
      </c>
      <c r="T45" s="46">
        <v>1086.1980523218085</v>
      </c>
      <c r="U45" s="46">
        <v>77.841970404323575</v>
      </c>
      <c r="V45" s="46">
        <v>17.978287610272929</v>
      </c>
      <c r="W45" s="46">
        <v>0.38697918666622177</v>
      </c>
      <c r="X45" s="46">
        <v>1.8961224790417248E-2</v>
      </c>
      <c r="Y45" s="46">
        <v>54.932393285651408</v>
      </c>
      <c r="Z45" s="46">
        <v>1641.2751239942309</v>
      </c>
      <c r="AA45" s="46">
        <v>251.37967919043862</v>
      </c>
      <c r="AB45" s="46">
        <v>80.845610978814676</v>
      </c>
      <c r="AC45" s="46">
        <v>115.83358679282772</v>
      </c>
      <c r="AD45" s="46">
        <v>846.65337572872818</v>
      </c>
      <c r="AE45" s="46">
        <v>2854.4839302405439</v>
      </c>
      <c r="AF45" s="46">
        <v>1959.9920932796974</v>
      </c>
      <c r="AG45" s="46">
        <v>1834.870637334395</v>
      </c>
      <c r="AH45" s="46">
        <v>862.60401116109608</v>
      </c>
      <c r="AI45" s="46">
        <v>117.35017037558748</v>
      </c>
      <c r="AJ45" s="46">
        <v>398.86574666063683</v>
      </c>
      <c r="AK45" s="46">
        <v>431.75039602487624</v>
      </c>
      <c r="AL45" s="46">
        <v>415.45654108400561</v>
      </c>
      <c r="AM45" s="46">
        <v>900.339338092704</v>
      </c>
      <c r="AN45" s="46">
        <v>175.55883179475919</v>
      </c>
      <c r="AO45" s="46">
        <v>267.98770675658233</v>
      </c>
      <c r="AP45" s="46">
        <v>217.26177002052285</v>
      </c>
      <c r="AQ45" s="46">
        <v>56040.996010442221</v>
      </c>
      <c r="AR45" s="46">
        <v>2248.7232711605329</v>
      </c>
      <c r="AS45" s="46">
        <v>2.3733184303615484</v>
      </c>
      <c r="AT45" s="46">
        <v>3224.3241024390813</v>
      </c>
      <c r="AU45" s="46">
        <v>3664.4363186817113</v>
      </c>
      <c r="AV45" s="46">
        <v>473.83276661455142</v>
      </c>
      <c r="AW45" s="46">
        <v>1333.350375603304</v>
      </c>
      <c r="AX45" s="46">
        <v>17447.128176802285</v>
      </c>
      <c r="AY45" s="48">
        <v>26.3774484024107</v>
      </c>
      <c r="AZ45" s="46">
        <v>53.922481575237569</v>
      </c>
      <c r="BA45" s="46">
        <v>38.803575606969062</v>
      </c>
      <c r="BB45" s="46">
        <v>1181.1446132868057</v>
      </c>
      <c r="BC45" s="46">
        <v>1186.4213504458387</v>
      </c>
      <c r="BD45" s="46">
        <v>1700.4757738361636</v>
      </c>
      <c r="BE45" s="46">
        <v>98.902912421035069</v>
      </c>
      <c r="BF45" s="46">
        <v>335.6281199531112</v>
      </c>
      <c r="BG45" s="46">
        <v>1531.1591204565723</v>
      </c>
      <c r="BH45" s="46">
        <v>595.99822168586786</v>
      </c>
      <c r="BI45" s="46">
        <v>2001.6851401712015</v>
      </c>
      <c r="BJ45" s="46">
        <v>618.68950591094335</v>
      </c>
      <c r="BK45" s="46">
        <v>1104.1971387987751</v>
      </c>
      <c r="BL45" s="46">
        <v>268.65885483073032</v>
      </c>
      <c r="BM45" s="46">
        <v>202.2699884988684</v>
      </c>
      <c r="BN45" s="46">
        <v>164.1814310579839</v>
      </c>
      <c r="BO45" s="46">
        <v>6287.5566551167794</v>
      </c>
      <c r="BP45" s="46">
        <v>89.37397936722536</v>
      </c>
      <c r="BQ45" s="46">
        <v>4731.856904244738</v>
      </c>
      <c r="BR45" s="46">
        <v>1531.872385454642</v>
      </c>
      <c r="BS45" s="46">
        <v>1968.1986246776944</v>
      </c>
      <c r="BT45" s="46">
        <v>1013.6437461149346</v>
      </c>
      <c r="BU45" s="46">
        <v>1538.7878278866106</v>
      </c>
      <c r="BV45" s="46">
        <v>916.34217629072509</v>
      </c>
      <c r="BW45" s="46">
        <v>2497.6159097856694</v>
      </c>
      <c r="BX45" s="46">
        <v>0</v>
      </c>
      <c r="BY45" s="72">
        <f t="shared" si="1"/>
        <v>147409.28471872551</v>
      </c>
      <c r="BZ45" s="46">
        <v>74.173163542265797</v>
      </c>
      <c r="CA45" s="46">
        <v>0</v>
      </c>
      <c r="CB45" s="46">
        <v>0</v>
      </c>
      <c r="CC45" s="46">
        <v>92106.415628982795</v>
      </c>
      <c r="CD45" s="46">
        <v>179.78295665382799</v>
      </c>
      <c r="CE45" s="46">
        <v>-8028.2998607546597</v>
      </c>
      <c r="CF45" s="46">
        <v>84332.071888424252</v>
      </c>
      <c r="CG45" s="46">
        <v>231741.35660714976</v>
      </c>
      <c r="CH45"/>
      <c r="CI45">
        <f t="shared" si="0"/>
        <v>0.36390600764189368</v>
      </c>
      <c r="CJ45"/>
      <c r="CK45"/>
      <c r="CL45"/>
      <c r="CM45"/>
      <c r="CN45"/>
      <c r="CO45"/>
      <c r="CP45"/>
      <c r="CQ45"/>
      <c r="CR45"/>
      <c r="CS45"/>
      <c r="CT45"/>
      <c r="CU45"/>
    </row>
    <row r="46" spans="1:99" s="18" customFormat="1" x14ac:dyDescent="0.3">
      <c r="A46" s="35" t="s">
        <v>50</v>
      </c>
      <c r="B46" s="4" t="s">
        <v>124</v>
      </c>
      <c r="C46" s="18">
        <v>41</v>
      </c>
      <c r="D46" s="46">
        <v>1400.0172235451139</v>
      </c>
      <c r="E46" s="46">
        <v>803.22910957502359</v>
      </c>
      <c r="F46" s="46">
        <v>70.75275793752688</v>
      </c>
      <c r="G46" s="46">
        <v>21.195726764161069</v>
      </c>
      <c r="H46" s="46">
        <v>12.199259806034101</v>
      </c>
      <c r="I46" s="46">
        <v>40.075277110737119</v>
      </c>
      <c r="J46" s="46">
        <v>13.479532257438787</v>
      </c>
      <c r="K46" s="46">
        <v>190.31440517120922</v>
      </c>
      <c r="L46" s="46">
        <v>11.676093085631189</v>
      </c>
      <c r="M46" s="46">
        <v>380.54681347562149</v>
      </c>
      <c r="N46" s="46">
        <v>74.965026320641769</v>
      </c>
      <c r="O46" s="46">
        <v>5.8558789304925387</v>
      </c>
      <c r="P46" s="46">
        <v>154.29860212490846</v>
      </c>
      <c r="Q46" s="46">
        <v>23.836707510015554</v>
      </c>
      <c r="R46" s="46">
        <v>31.317968215000686</v>
      </c>
      <c r="S46" s="46">
        <v>110.40196734449107</v>
      </c>
      <c r="T46" s="46">
        <v>237.12579059888785</v>
      </c>
      <c r="U46" s="46">
        <v>7.7863479085375547</v>
      </c>
      <c r="V46" s="46">
        <v>1.5752700790749781</v>
      </c>
      <c r="W46" s="46">
        <v>3.2926073950023886E-2</v>
      </c>
      <c r="X46" s="46">
        <v>1.8735492585510666E-3</v>
      </c>
      <c r="Y46" s="46">
        <v>5.2719440437416694</v>
      </c>
      <c r="Z46" s="46">
        <v>165.2805081705267</v>
      </c>
      <c r="AA46" s="46">
        <v>25.21065694985635</v>
      </c>
      <c r="AB46" s="46">
        <v>7.9065920444664792</v>
      </c>
      <c r="AC46" s="46">
        <v>11.251018747073257</v>
      </c>
      <c r="AD46" s="46">
        <v>84.821010061106719</v>
      </c>
      <c r="AE46" s="46">
        <v>287.6814772084943</v>
      </c>
      <c r="AF46" s="46">
        <v>197.27343089664228</v>
      </c>
      <c r="AG46" s="46">
        <v>185.02013796801486</v>
      </c>
      <c r="AH46" s="46">
        <v>86.6674232251235</v>
      </c>
      <c r="AI46" s="46">
        <v>11.571197580866773</v>
      </c>
      <c r="AJ46" s="46">
        <v>40.036437247477579</v>
      </c>
      <c r="AK46" s="46">
        <v>43.156590866034414</v>
      </c>
      <c r="AL46" s="46">
        <v>41.649136682680606</v>
      </c>
      <c r="AM46" s="46">
        <v>90.469355239364148</v>
      </c>
      <c r="AN46" s="46">
        <v>17.616358624088001</v>
      </c>
      <c r="AO46" s="46">
        <v>26.709257415213148</v>
      </c>
      <c r="AP46" s="46">
        <v>10.720945718595928</v>
      </c>
      <c r="AQ46" s="46">
        <v>2329.3415319767278</v>
      </c>
      <c r="AR46" s="46">
        <v>8887.7402538823953</v>
      </c>
      <c r="AS46" s="46">
        <v>8.8882234982647274E-2</v>
      </c>
      <c r="AT46" s="46">
        <v>705.61464953902191</v>
      </c>
      <c r="AU46" s="46">
        <v>181.02949201916158</v>
      </c>
      <c r="AV46" s="46">
        <v>99.604798039048049</v>
      </c>
      <c r="AW46" s="46">
        <v>278.12074764016967</v>
      </c>
      <c r="AX46" s="46">
        <v>3669.2503475272042</v>
      </c>
      <c r="AY46" s="48">
        <v>0.99072064053320175</v>
      </c>
      <c r="AZ46" s="46">
        <v>11.526444101193297</v>
      </c>
      <c r="BA46" s="46">
        <v>8.0967208861890239</v>
      </c>
      <c r="BB46" s="46">
        <v>115.34938975458087</v>
      </c>
      <c r="BC46" s="46">
        <v>255.11247467713582</v>
      </c>
      <c r="BD46" s="46">
        <v>350.9225077203759</v>
      </c>
      <c r="BE46" s="46">
        <v>20.97852137756318</v>
      </c>
      <c r="BF46" s="46">
        <v>71.731833997546161</v>
      </c>
      <c r="BG46" s="46">
        <v>326.84620129538564</v>
      </c>
      <c r="BH46" s="46">
        <v>123.48327725766521</v>
      </c>
      <c r="BI46" s="46">
        <v>418.54052636651534</v>
      </c>
      <c r="BJ46" s="46">
        <v>127.2719886937218</v>
      </c>
      <c r="BK46" s="46">
        <v>222.23551952040407</v>
      </c>
      <c r="BL46" s="46">
        <v>54.978845367364066</v>
      </c>
      <c r="BM46" s="46">
        <v>40.20660984178518</v>
      </c>
      <c r="BN46" s="46">
        <v>31.779413204633123</v>
      </c>
      <c r="BO46" s="46">
        <v>1363.2727716625741</v>
      </c>
      <c r="BP46" s="46">
        <v>18.58963394214252</v>
      </c>
      <c r="BQ46" s="46">
        <v>473.71504157564732</v>
      </c>
      <c r="BR46" s="46">
        <v>153.72295707852274</v>
      </c>
      <c r="BS46" s="46">
        <v>412.88237624392127</v>
      </c>
      <c r="BT46" s="46">
        <v>101.67510794586833</v>
      </c>
      <c r="BU46" s="46">
        <v>327.24696915959009</v>
      </c>
      <c r="BV46" s="46">
        <v>186.63241979049721</v>
      </c>
      <c r="BW46" s="46">
        <v>533.07785938852112</v>
      </c>
      <c r="BX46" s="46">
        <v>0</v>
      </c>
      <c r="BY46" s="72">
        <f t="shared" si="1"/>
        <v>26830.65487042172</v>
      </c>
      <c r="BZ46" s="46">
        <v>0</v>
      </c>
      <c r="CA46" s="46">
        <v>0</v>
      </c>
      <c r="CB46" s="46">
        <v>0</v>
      </c>
      <c r="CC46" s="46">
        <v>6979.057831786</v>
      </c>
      <c r="CD46" s="46">
        <v>6.1148535336989696</v>
      </c>
      <c r="CE46" s="46">
        <v>668.92538538760505</v>
      </c>
      <c r="CF46" s="46">
        <v>7654.0980707073031</v>
      </c>
      <c r="CG46" s="46">
        <v>34484.752941129023</v>
      </c>
      <c r="CH46"/>
      <c r="CI46">
        <f t="shared" si="0"/>
        <v>0.22195600715986191</v>
      </c>
      <c r="CJ46"/>
      <c r="CK46"/>
      <c r="CL46"/>
      <c r="CM46"/>
      <c r="CN46"/>
      <c r="CO46"/>
      <c r="CP46"/>
      <c r="CQ46"/>
      <c r="CR46"/>
      <c r="CS46"/>
      <c r="CT46"/>
      <c r="CU46"/>
    </row>
    <row r="47" spans="1:99" s="18" customFormat="1" x14ac:dyDescent="0.3">
      <c r="A47" s="35" t="s">
        <v>51</v>
      </c>
      <c r="B47" s="4" t="s">
        <v>125</v>
      </c>
      <c r="C47" s="18">
        <v>42</v>
      </c>
      <c r="D47" s="46">
        <v>2.1140917685023908</v>
      </c>
      <c r="E47" s="46">
        <v>1.2134196489175375</v>
      </c>
      <c r="F47" s="46">
        <v>0.10864495942257006</v>
      </c>
      <c r="G47" s="46">
        <v>0.1519773584299916</v>
      </c>
      <c r="H47" s="46">
        <v>0.19472275347510684</v>
      </c>
      <c r="I47" s="46">
        <v>0.28765797874156102</v>
      </c>
      <c r="J47" s="46">
        <v>9.7766048925944718E-2</v>
      </c>
      <c r="K47" s="46">
        <v>0.45386221373432289</v>
      </c>
      <c r="L47" s="46">
        <v>4.8693555247294087E-2</v>
      </c>
      <c r="M47" s="46">
        <v>0.70205867100052566</v>
      </c>
      <c r="N47" s="46">
        <v>0.12925739537315478</v>
      </c>
      <c r="O47" s="46">
        <v>1.3660813130261081E-2</v>
      </c>
      <c r="P47" s="46">
        <v>0.30567924307621946</v>
      </c>
      <c r="Q47" s="46">
        <v>0.12478766008522055</v>
      </c>
      <c r="R47" s="46">
        <v>6.9926296055521656E-2</v>
      </c>
      <c r="S47" s="46">
        <v>0.17644551127634889</v>
      </c>
      <c r="T47" s="46">
        <v>0.39893559875776191</v>
      </c>
      <c r="U47" s="46">
        <v>3.8227025541392727E-2</v>
      </c>
      <c r="V47" s="46">
        <v>4.9649387249920178E-2</v>
      </c>
      <c r="W47" s="46">
        <v>1.2482045627834981E-3</v>
      </c>
      <c r="X47" s="46">
        <v>1.3554722007665964E-5</v>
      </c>
      <c r="Y47" s="46">
        <v>6.7787742612850976E-2</v>
      </c>
      <c r="Z47" s="46">
        <v>0.59821907206758762</v>
      </c>
      <c r="AA47" s="46">
        <v>0.10981400755719953</v>
      </c>
      <c r="AB47" s="46">
        <v>6.8236554158800256E-2</v>
      </c>
      <c r="AC47" s="46">
        <v>0.10189907168626587</v>
      </c>
      <c r="AD47" s="46">
        <v>0.38972656732607602</v>
      </c>
      <c r="AE47" s="46">
        <v>1.008438596509883</v>
      </c>
      <c r="AF47" s="46">
        <v>0.73898058396320909</v>
      </c>
      <c r="AG47" s="46">
        <v>0.62350639954471254</v>
      </c>
      <c r="AH47" s="46">
        <v>0.35355807304863207</v>
      </c>
      <c r="AI47" s="46">
        <v>8.4922891636711295E-2</v>
      </c>
      <c r="AJ47" s="46">
        <v>0.16114737985577476</v>
      </c>
      <c r="AK47" s="46">
        <v>0.19648170477553736</v>
      </c>
      <c r="AL47" s="46">
        <v>0.16855949222823208</v>
      </c>
      <c r="AM47" s="46">
        <v>0.35746092489849074</v>
      </c>
      <c r="AN47" s="46">
        <v>7.3893667626261456E-2</v>
      </c>
      <c r="AO47" s="46">
        <v>0.1480368016098797</v>
      </c>
      <c r="AP47" s="46">
        <v>8.7934444559198827E-2</v>
      </c>
      <c r="AQ47" s="46">
        <v>16645.383086888502</v>
      </c>
      <c r="AR47" s="46">
        <v>0.20782398995164733</v>
      </c>
      <c r="AS47" s="46">
        <v>2.7647368420133069E-2</v>
      </c>
      <c r="AT47" s="46">
        <v>1.0805067646843851</v>
      </c>
      <c r="AU47" s="46">
        <v>1.3287705438090009</v>
      </c>
      <c r="AV47" s="46">
        <v>0.41526764393622018</v>
      </c>
      <c r="AW47" s="46">
        <v>1.3202834066005704</v>
      </c>
      <c r="AX47" s="46">
        <v>15.351602225585239</v>
      </c>
      <c r="AY47" s="47">
        <v>0.31437856129634317</v>
      </c>
      <c r="AZ47" s="46">
        <v>3.544987174588593E-2</v>
      </c>
      <c r="BA47" s="46">
        <v>3.8255371596953712E-2</v>
      </c>
      <c r="BB47" s="46">
        <v>1.0927636755986576</v>
      </c>
      <c r="BC47" s="46">
        <v>0.68689011918802567</v>
      </c>
      <c r="BD47" s="46">
        <v>1.9254964466497269</v>
      </c>
      <c r="BE47" s="46">
        <v>7.5540548393522602E-2</v>
      </c>
      <c r="BF47" s="46">
        <v>0.22225649225220545</v>
      </c>
      <c r="BG47" s="46">
        <v>1.0349144805183543</v>
      </c>
      <c r="BH47" s="46">
        <v>0.63671621250046229</v>
      </c>
      <c r="BI47" s="46">
        <v>1.9172753678401568</v>
      </c>
      <c r="BJ47" s="46">
        <v>0.72645642258958343</v>
      </c>
      <c r="BK47" s="46">
        <v>1.6103736920188405</v>
      </c>
      <c r="BL47" s="46">
        <v>0.28202501419976095</v>
      </c>
      <c r="BM47" s="46">
        <v>0.3271418800214434</v>
      </c>
      <c r="BN47" s="46">
        <v>0.31819807204010597</v>
      </c>
      <c r="BO47" s="46">
        <v>2.9174939524490915</v>
      </c>
      <c r="BP47" s="46">
        <v>9.1885624623398957E-2</v>
      </c>
      <c r="BQ47" s="46">
        <v>2.2552452249922998</v>
      </c>
      <c r="BR47" s="46">
        <v>0.66347015475166826</v>
      </c>
      <c r="BS47" s="46">
        <v>1.7997554308709072</v>
      </c>
      <c r="BT47" s="46">
        <v>0.44691178520480601</v>
      </c>
      <c r="BU47" s="46">
        <v>1.1222598207278118</v>
      </c>
      <c r="BV47" s="46">
        <v>1.1954726632300301</v>
      </c>
      <c r="BW47" s="46">
        <v>1.7001468066787</v>
      </c>
      <c r="BX47" s="46">
        <v>0</v>
      </c>
      <c r="BY47" s="72">
        <f t="shared" si="1"/>
        <v>16700.571092145357</v>
      </c>
      <c r="BZ47" s="46">
        <v>0</v>
      </c>
      <c r="CA47" s="46">
        <v>0</v>
      </c>
      <c r="CB47" s="46">
        <v>0</v>
      </c>
      <c r="CC47" s="46">
        <v>19.733519849987101</v>
      </c>
      <c r="CD47" s="46">
        <v>24.2059345392449</v>
      </c>
      <c r="CE47" s="46">
        <v>9.2252057330644703</v>
      </c>
      <c r="CF47" s="46">
        <v>53.164660122296482</v>
      </c>
      <c r="CG47" s="46">
        <v>16753.735752267654</v>
      </c>
      <c r="CH47"/>
      <c r="CI47">
        <f t="shared" si="0"/>
        <v>3.1733018180796204E-3</v>
      </c>
      <c r="CJ47"/>
      <c r="CK47"/>
      <c r="CL47"/>
      <c r="CM47"/>
      <c r="CN47"/>
      <c r="CO47"/>
      <c r="CP47"/>
      <c r="CQ47"/>
      <c r="CR47"/>
      <c r="CS47"/>
      <c r="CT47"/>
      <c r="CU47"/>
    </row>
    <row r="48" spans="1:99" s="18" customFormat="1" x14ac:dyDescent="0.3">
      <c r="A48" s="35" t="s">
        <v>52</v>
      </c>
      <c r="B48" s="4" t="s">
        <v>126</v>
      </c>
      <c r="C48" s="18">
        <v>43</v>
      </c>
      <c r="D48" s="46">
        <v>521.81884440368481</v>
      </c>
      <c r="E48" s="46">
        <v>299.38343174810808</v>
      </c>
      <c r="F48" s="46">
        <v>26.375641157672085</v>
      </c>
      <c r="G48" s="46">
        <v>222.35899791484294</v>
      </c>
      <c r="H48" s="46">
        <v>124.64050516210364</v>
      </c>
      <c r="I48" s="46">
        <v>420.04605321631823</v>
      </c>
      <c r="J48" s="46">
        <v>141.3595571129872</v>
      </c>
      <c r="K48" s="46">
        <v>519.34739635040523</v>
      </c>
      <c r="L48" s="46">
        <v>31.757555455318581</v>
      </c>
      <c r="M48" s="46">
        <v>1039.529371796581</v>
      </c>
      <c r="N48" s="46">
        <v>204.81090642455376</v>
      </c>
      <c r="O48" s="46">
        <v>15.978871574331789</v>
      </c>
      <c r="P48" s="46">
        <v>442.64807427367293</v>
      </c>
      <c r="Q48" s="46">
        <v>67.95582985819307</v>
      </c>
      <c r="R48" s="46">
        <v>89.795921323571989</v>
      </c>
      <c r="S48" s="46">
        <v>316.94613878766728</v>
      </c>
      <c r="T48" s="46">
        <v>753.03007667585541</v>
      </c>
      <c r="U48" s="46">
        <v>49.397585644490086</v>
      </c>
      <c r="V48" s="46">
        <v>22.319131437219447</v>
      </c>
      <c r="W48" s="46">
        <v>0.45692501861861456</v>
      </c>
      <c r="X48" s="46">
        <v>2.8617789902563241E-2</v>
      </c>
      <c r="Y48" s="46">
        <v>79.176542560397252</v>
      </c>
      <c r="Z48" s="46">
        <v>2551.5810357386217</v>
      </c>
      <c r="AA48" s="46">
        <v>388.32409738831029</v>
      </c>
      <c r="AB48" s="46">
        <v>120.10695926216833</v>
      </c>
      <c r="AC48" s="46">
        <v>170.33375745636798</v>
      </c>
      <c r="AD48" s="46">
        <v>1305.7145939516126</v>
      </c>
      <c r="AE48" s="46">
        <v>263.63484190803092</v>
      </c>
      <c r="AF48" s="46">
        <v>1804.7351374705336</v>
      </c>
      <c r="AG48" s="46">
        <v>576.36351450617769</v>
      </c>
      <c r="AH48" s="46">
        <v>269.6070084195224</v>
      </c>
      <c r="AI48" s="46">
        <v>35.74702752033749</v>
      </c>
      <c r="AJ48" s="46">
        <v>124.52314955857504</v>
      </c>
      <c r="AK48" s="46">
        <v>133.99114934874666</v>
      </c>
      <c r="AL48" s="46">
        <v>129.49633580856297</v>
      </c>
      <c r="AM48" s="46">
        <v>281.47073729641568</v>
      </c>
      <c r="AN48" s="46">
        <v>54.778669565608368</v>
      </c>
      <c r="AO48" s="46">
        <v>82.837970217174771</v>
      </c>
      <c r="AP48" s="46">
        <v>65.805057212278143</v>
      </c>
      <c r="AQ48" s="46">
        <v>8230.2788707269774</v>
      </c>
      <c r="AR48" s="46">
        <v>496.4710179174823</v>
      </c>
      <c r="AS48" s="46">
        <v>0.10289925566487136</v>
      </c>
      <c r="AT48" s="46">
        <v>698.16099711610798</v>
      </c>
      <c r="AU48" s="46">
        <v>351.25028049389886</v>
      </c>
      <c r="AV48" s="46">
        <v>46.310899070192555</v>
      </c>
      <c r="AW48" s="46">
        <v>129.61330996575714</v>
      </c>
      <c r="AX48" s="46">
        <v>1705.5087227755357</v>
      </c>
      <c r="AY48" s="48">
        <v>1553.3183672703592</v>
      </c>
      <c r="AZ48" s="46">
        <v>4.3409965979291956</v>
      </c>
      <c r="BA48" s="46">
        <v>3.081680454868656</v>
      </c>
      <c r="BB48" s="46">
        <v>115.57832172798365</v>
      </c>
      <c r="BC48" s="46">
        <v>117.74710619134743</v>
      </c>
      <c r="BD48" s="46">
        <v>164.10575946455157</v>
      </c>
      <c r="BE48" s="46">
        <v>9.7246253200549191</v>
      </c>
      <c r="BF48" s="46">
        <v>33.171278592186262</v>
      </c>
      <c r="BG48" s="46">
        <v>151.2081806653739</v>
      </c>
      <c r="BH48" s="46">
        <v>57.679251451756187</v>
      </c>
      <c r="BI48" s="46">
        <v>194.90167100174267</v>
      </c>
      <c r="BJ48" s="46">
        <v>59.578899526608964</v>
      </c>
      <c r="BK48" s="46">
        <v>104.77869212299335</v>
      </c>
      <c r="BL48" s="46">
        <v>25.835397529835245</v>
      </c>
      <c r="BM48" s="46">
        <v>19.034478989945264</v>
      </c>
      <c r="BN48" s="46">
        <v>15.181498160332605</v>
      </c>
      <c r="BO48" s="46">
        <v>627.58400535281521</v>
      </c>
      <c r="BP48" s="46">
        <v>8.6712270809647887</v>
      </c>
      <c r="BQ48" s="46">
        <v>449.38657747942591</v>
      </c>
      <c r="BR48" s="46">
        <v>145.78473232147695</v>
      </c>
      <c r="BS48" s="46">
        <v>192.06581076532112</v>
      </c>
      <c r="BT48" s="46">
        <v>96.429983490523171</v>
      </c>
      <c r="BU48" s="46">
        <v>151.56913404909545</v>
      </c>
      <c r="BV48" s="46">
        <v>87.650661730195651</v>
      </c>
      <c r="BW48" s="46">
        <v>246.61920882367775</v>
      </c>
      <c r="BX48" s="46">
        <v>0</v>
      </c>
      <c r="BY48" s="72">
        <f t="shared" si="1"/>
        <v>30040.937561798513</v>
      </c>
      <c r="BZ48" s="46">
        <v>3.4783577584564198</v>
      </c>
      <c r="CA48" s="46">
        <v>0</v>
      </c>
      <c r="CB48" s="46">
        <v>0</v>
      </c>
      <c r="CC48" s="46">
        <v>2661.4744216102399</v>
      </c>
      <c r="CD48" s="46">
        <v>75.878454015630993</v>
      </c>
      <c r="CE48" s="46">
        <v>7377.3859042707199</v>
      </c>
      <c r="CF48" s="46">
        <v>10118.217137655047</v>
      </c>
      <c r="CG48" s="46">
        <v>40159.15469945356</v>
      </c>
      <c r="CH48"/>
      <c r="CI48">
        <f t="shared" si="0"/>
        <v>0.25195294107604121</v>
      </c>
      <c r="CJ48"/>
      <c r="CK48"/>
      <c r="CL48"/>
      <c r="CM48"/>
      <c r="CN48"/>
      <c r="CO48"/>
      <c r="CP48"/>
      <c r="CQ48"/>
      <c r="CR48"/>
      <c r="CS48"/>
      <c r="CT48"/>
      <c r="CU48"/>
    </row>
    <row r="49" spans="1:99" s="5" customFormat="1" x14ac:dyDescent="0.3">
      <c r="A49" s="35" t="s">
        <v>53</v>
      </c>
      <c r="B49" s="11" t="s">
        <v>127</v>
      </c>
      <c r="C49" s="5">
        <v>44</v>
      </c>
      <c r="D49" s="25">
        <v>11.385935985274436</v>
      </c>
      <c r="E49" s="25">
        <v>2.6792019065488377</v>
      </c>
      <c r="F49" s="25">
        <v>1.477176096947511</v>
      </c>
      <c r="G49" s="25">
        <v>27.466778099537997</v>
      </c>
      <c r="H49" s="25">
        <v>76.39341714586493</v>
      </c>
      <c r="I49" s="25">
        <v>276.98821854047941</v>
      </c>
      <c r="J49" s="25">
        <v>58.205986552434929</v>
      </c>
      <c r="K49" s="25">
        <v>185.26808359632767</v>
      </c>
      <c r="L49" s="25">
        <v>57.976760215508698</v>
      </c>
      <c r="M49" s="25">
        <v>355.73583064350282</v>
      </c>
      <c r="N49" s="25">
        <v>498.03067105678667</v>
      </c>
      <c r="O49" s="25">
        <v>1.152869068502594</v>
      </c>
      <c r="P49" s="25">
        <v>68.904850336306779</v>
      </c>
      <c r="Q49" s="25">
        <v>30.051704559662081</v>
      </c>
      <c r="R49" s="25">
        <v>25.257569020744263</v>
      </c>
      <c r="S49" s="25">
        <v>261.20949047728482</v>
      </c>
      <c r="T49" s="25">
        <v>342.45194239240118</v>
      </c>
      <c r="U49" s="25">
        <v>6.4445517898716611</v>
      </c>
      <c r="V49" s="25">
        <v>412.65920008026944</v>
      </c>
      <c r="W49" s="25">
        <v>10.63000086302589</v>
      </c>
      <c r="X49" s="25">
        <v>1.9108335777401728</v>
      </c>
      <c r="Y49" s="25">
        <v>33.482582879987305</v>
      </c>
      <c r="Z49" s="25">
        <v>701.73744945232147</v>
      </c>
      <c r="AA49" s="25">
        <v>472.51164491328899</v>
      </c>
      <c r="AB49" s="25">
        <v>142.9637987561735</v>
      </c>
      <c r="AC49" s="25">
        <v>84.158642888035033</v>
      </c>
      <c r="AD49" s="25">
        <v>535.38413341082946</v>
      </c>
      <c r="AE49" s="25">
        <v>692.40927836909123</v>
      </c>
      <c r="AF49" s="25">
        <v>4649.6417093644268</v>
      </c>
      <c r="AG49" s="25">
        <v>2358.9360126241581</v>
      </c>
      <c r="AH49" s="25">
        <v>175.02493561481899</v>
      </c>
      <c r="AI49" s="25">
        <v>19.434433703053454</v>
      </c>
      <c r="AJ49" s="25">
        <v>59.444772706659933</v>
      </c>
      <c r="AK49" s="25">
        <v>86.920770037207603</v>
      </c>
      <c r="AL49" s="25">
        <v>126.88606689578958</v>
      </c>
      <c r="AM49" s="25">
        <v>311.10131164303669</v>
      </c>
      <c r="AN49" s="25">
        <v>92.757888905697897</v>
      </c>
      <c r="AO49" s="25">
        <v>79.472996583448349</v>
      </c>
      <c r="AP49" s="25">
        <v>29.881987478666833</v>
      </c>
      <c r="AQ49" s="25">
        <v>67.031585055573885</v>
      </c>
      <c r="AR49" s="25">
        <v>10.949670316022512</v>
      </c>
      <c r="AS49" s="25">
        <v>7.845030172422657</v>
      </c>
      <c r="AT49" s="25">
        <v>1.1739003575789004</v>
      </c>
      <c r="AU49" s="25">
        <v>1062.6781449527298</v>
      </c>
      <c r="AV49" s="25">
        <v>277.72858696960748</v>
      </c>
      <c r="AW49" s="25">
        <v>429.16433058271144</v>
      </c>
      <c r="AX49" s="25">
        <v>4258.8786036149886</v>
      </c>
      <c r="AY49" s="40">
        <v>343.79743351162188</v>
      </c>
      <c r="AZ49" s="25">
        <v>9.7945590589226175</v>
      </c>
      <c r="BA49" s="25">
        <v>8.2109751469891457</v>
      </c>
      <c r="BB49" s="25">
        <v>809.59566521293823</v>
      </c>
      <c r="BC49" s="25">
        <v>445.84402458133093</v>
      </c>
      <c r="BD49" s="25">
        <v>1269.9302326013269</v>
      </c>
      <c r="BE49" s="25">
        <v>25.678695660313274</v>
      </c>
      <c r="BF49" s="25">
        <v>57.186367724128694</v>
      </c>
      <c r="BG49" s="25">
        <v>49.700454115368991</v>
      </c>
      <c r="BH49" s="25">
        <v>122.75778744682799</v>
      </c>
      <c r="BI49" s="25">
        <v>472.7688459856891</v>
      </c>
      <c r="BJ49" s="25">
        <v>432.01442194773057</v>
      </c>
      <c r="BK49" s="25">
        <v>606.85135544814943</v>
      </c>
      <c r="BL49" s="25">
        <v>73.331234477903976</v>
      </c>
      <c r="BM49" s="25">
        <v>39.840043899426355</v>
      </c>
      <c r="BN49" s="25">
        <v>52.186026759690435</v>
      </c>
      <c r="BO49" s="25">
        <v>5777.2928626361463</v>
      </c>
      <c r="BP49" s="25">
        <v>31.682272632844551</v>
      </c>
      <c r="BQ49" s="25">
        <v>10413.963511517219</v>
      </c>
      <c r="BR49" s="25">
        <v>1380.3932614420371</v>
      </c>
      <c r="BS49" s="25">
        <v>276.10958537336415</v>
      </c>
      <c r="BT49" s="25">
        <v>1532.3417178410789</v>
      </c>
      <c r="BU49" s="25">
        <v>2210.7472141368899</v>
      </c>
      <c r="BV49" s="25">
        <v>124.7403971501829</v>
      </c>
      <c r="BW49" s="25">
        <v>2031.1036862129154</v>
      </c>
      <c r="BX49" s="25">
        <v>0</v>
      </c>
      <c r="BY49" s="72">
        <f t="shared" si="1"/>
        <v>48077.743972774399</v>
      </c>
      <c r="BZ49" s="25">
        <v>24.483588934090676</v>
      </c>
      <c r="CA49" s="25">
        <v>7.567895966005847E-2</v>
      </c>
      <c r="CB49" s="25">
        <v>0</v>
      </c>
      <c r="CC49" s="25">
        <v>33927.859585955033</v>
      </c>
      <c r="CD49" s="25">
        <v>34.004921992859849</v>
      </c>
      <c r="CE49" s="25">
        <v>155.82622566054073</v>
      </c>
      <c r="CF49" s="25">
        <v>34142.250001502187</v>
      </c>
      <c r="CG49" s="25">
        <v>82220</v>
      </c>
      <c r="CH49"/>
      <c r="CI49">
        <f t="shared" si="0"/>
        <v>0.4152548042021672</v>
      </c>
      <c r="CJ49"/>
      <c r="CK49"/>
      <c r="CL49"/>
      <c r="CM49"/>
      <c r="CN49"/>
      <c r="CO49"/>
      <c r="CP49"/>
      <c r="CQ49"/>
      <c r="CR49"/>
      <c r="CS49"/>
      <c r="CT49"/>
      <c r="CU49"/>
    </row>
    <row r="50" spans="1:99" s="5" customFormat="1" x14ac:dyDescent="0.3">
      <c r="A50" s="35" t="s">
        <v>54</v>
      </c>
      <c r="B50" s="13" t="s">
        <v>128</v>
      </c>
      <c r="C50" s="5">
        <v>45</v>
      </c>
      <c r="D50" s="25">
        <v>104.44437799575309</v>
      </c>
      <c r="E50" s="25">
        <v>188.15897807636571</v>
      </c>
      <c r="F50" s="25">
        <v>12.143414890044884</v>
      </c>
      <c r="G50" s="25">
        <v>6.7017627372241373</v>
      </c>
      <c r="H50" s="25">
        <v>2129.1012085362008</v>
      </c>
      <c r="I50" s="25">
        <v>1976.3194834801707</v>
      </c>
      <c r="J50" s="25">
        <v>297.8028543692983</v>
      </c>
      <c r="K50" s="25">
        <v>11.045395852960475</v>
      </c>
      <c r="L50" s="25">
        <v>8.5788605790336394</v>
      </c>
      <c r="M50" s="25">
        <v>26.166897952772889</v>
      </c>
      <c r="N50" s="25">
        <v>5.5606197568396496</v>
      </c>
      <c r="O50" s="25">
        <v>0.75902274958898563</v>
      </c>
      <c r="P50" s="25">
        <v>25.310311767506914</v>
      </c>
      <c r="Q50" s="25">
        <v>4.4915832145390713</v>
      </c>
      <c r="R50" s="25">
        <v>1.747297147881032</v>
      </c>
      <c r="S50" s="25">
        <v>2.1934295800055317</v>
      </c>
      <c r="T50" s="25">
        <v>36.091911312794949</v>
      </c>
      <c r="U50" s="25">
        <v>20.367000673598167</v>
      </c>
      <c r="V50" s="25">
        <v>33.996864112439361</v>
      </c>
      <c r="W50" s="25">
        <v>0.87185730741528222</v>
      </c>
      <c r="X50" s="25">
        <v>5.5708767566477633E-3</v>
      </c>
      <c r="Y50" s="25">
        <v>30.079174622546024</v>
      </c>
      <c r="Z50" s="25">
        <v>75.628418984406466</v>
      </c>
      <c r="AA50" s="25">
        <v>8.4548561744811295</v>
      </c>
      <c r="AB50" s="25">
        <v>2.7737366601298268</v>
      </c>
      <c r="AC50" s="25">
        <v>5.1263300538650238</v>
      </c>
      <c r="AD50" s="25">
        <v>13.091309114593802</v>
      </c>
      <c r="AE50" s="25">
        <v>29.82842117534112</v>
      </c>
      <c r="AF50" s="25">
        <v>140.4383482720915</v>
      </c>
      <c r="AG50" s="25">
        <v>1994.8901051356327</v>
      </c>
      <c r="AH50" s="25">
        <v>68.820009743395374</v>
      </c>
      <c r="AI50" s="25">
        <v>84.541967435014499</v>
      </c>
      <c r="AJ50" s="25">
        <v>13.950060352383382</v>
      </c>
      <c r="AK50" s="25">
        <v>78.407544094695751</v>
      </c>
      <c r="AL50" s="25">
        <v>276.34445370649644</v>
      </c>
      <c r="AM50" s="25">
        <v>40.157532101152768</v>
      </c>
      <c r="AN50" s="25">
        <v>200.37671608509396</v>
      </c>
      <c r="AO50" s="25">
        <v>21.959668456431778</v>
      </c>
      <c r="AP50" s="25">
        <v>7.8919568344397035</v>
      </c>
      <c r="AQ50" s="25">
        <v>16.786776535950032</v>
      </c>
      <c r="AR50" s="25">
        <v>2.7421351976833641</v>
      </c>
      <c r="AS50" s="25">
        <v>1.9646375408408165</v>
      </c>
      <c r="AT50" s="25">
        <v>1.1312394354986428</v>
      </c>
      <c r="AU50" s="25">
        <v>4766.0306906556561</v>
      </c>
      <c r="AV50" s="25">
        <v>57477.263457093395</v>
      </c>
      <c r="AW50" s="25">
        <v>536.31096736743245</v>
      </c>
      <c r="AX50" s="25">
        <v>1171.2009835576889</v>
      </c>
      <c r="AY50" s="40">
        <v>314.30678974316061</v>
      </c>
      <c r="AZ50" s="25">
        <v>18.552863362263849</v>
      </c>
      <c r="BA50" s="25">
        <v>33.163819075336576</v>
      </c>
      <c r="BB50" s="25">
        <v>1570.886932558853</v>
      </c>
      <c r="BC50" s="25">
        <v>302.024184243224</v>
      </c>
      <c r="BD50" s="25">
        <v>546.24782075340784</v>
      </c>
      <c r="BE50" s="25">
        <v>15.626072307322612</v>
      </c>
      <c r="BF50" s="25">
        <v>234.13783300186475</v>
      </c>
      <c r="BG50" s="25">
        <v>4200.0960474358781</v>
      </c>
      <c r="BH50" s="25">
        <v>902.15740920408973</v>
      </c>
      <c r="BI50" s="25">
        <v>1220.1516136015259</v>
      </c>
      <c r="BJ50" s="25">
        <v>1941.8476114544337</v>
      </c>
      <c r="BK50" s="25">
        <v>323.17734658713493</v>
      </c>
      <c r="BL50" s="25">
        <v>688.46328546029667</v>
      </c>
      <c r="BM50" s="25">
        <v>17.059034159374335</v>
      </c>
      <c r="BN50" s="25">
        <v>213.38180308225006</v>
      </c>
      <c r="BO50" s="25">
        <v>3273.4101162213587</v>
      </c>
      <c r="BP50" s="25">
        <v>14.270600698343774</v>
      </c>
      <c r="BQ50" s="25">
        <v>15438.557869050681</v>
      </c>
      <c r="BR50" s="25">
        <v>1371.6160086401294</v>
      </c>
      <c r="BS50" s="25">
        <v>457.95439779208516</v>
      </c>
      <c r="BT50" s="25">
        <v>3510.4327797310111</v>
      </c>
      <c r="BU50" s="25">
        <v>33.634583103201265</v>
      </c>
      <c r="BV50" s="25">
        <v>149.18486688961508</v>
      </c>
      <c r="BW50" s="25">
        <v>352.21458555372539</v>
      </c>
      <c r="BX50" s="25">
        <v>0</v>
      </c>
      <c r="BY50" s="72">
        <f t="shared" si="1"/>
        <v>109100.60647306612</v>
      </c>
      <c r="BZ50" s="25">
        <v>3991.5566844752116</v>
      </c>
      <c r="CA50" s="25">
        <v>0</v>
      </c>
      <c r="CB50" s="25">
        <v>0</v>
      </c>
      <c r="CC50" s="25">
        <v>963.46863162834723</v>
      </c>
      <c r="CD50" s="25">
        <v>438017.36821087886</v>
      </c>
      <c r="CE50" s="25">
        <v>0</v>
      </c>
      <c r="CF50" s="25">
        <v>442972.39352698246</v>
      </c>
      <c r="CG50" s="25">
        <v>552073</v>
      </c>
      <c r="CH50"/>
      <c r="CI50">
        <f t="shared" si="0"/>
        <v>0.80238010829542916</v>
      </c>
      <c r="CJ50"/>
      <c r="CK50"/>
      <c r="CL50"/>
      <c r="CM50"/>
      <c r="CN50"/>
      <c r="CO50"/>
      <c r="CP50"/>
      <c r="CQ50"/>
      <c r="CR50"/>
      <c r="CS50"/>
      <c r="CT50"/>
      <c r="CU50"/>
    </row>
    <row r="51" spans="1:99" s="5" customFormat="1" x14ac:dyDescent="0.3">
      <c r="A51" s="35" t="s">
        <v>55</v>
      </c>
      <c r="B51" s="11" t="s">
        <v>129</v>
      </c>
      <c r="C51" s="5">
        <v>46</v>
      </c>
      <c r="D51" s="25">
        <v>213.37480103832794</v>
      </c>
      <c r="E51" s="25">
        <v>44.765363093675312</v>
      </c>
      <c r="F51" s="25">
        <v>20.017807714492882</v>
      </c>
      <c r="G51" s="25">
        <v>61.762281315343984</v>
      </c>
      <c r="H51" s="25">
        <v>200.03361236079127</v>
      </c>
      <c r="I51" s="25">
        <v>1188.7545472264649</v>
      </c>
      <c r="J51" s="25">
        <v>87.962170525103176</v>
      </c>
      <c r="K51" s="25">
        <v>26.83165522550852</v>
      </c>
      <c r="L51" s="25">
        <v>21.104617555213629</v>
      </c>
      <c r="M51" s="25">
        <v>45.302600211638676</v>
      </c>
      <c r="N51" s="25">
        <v>41.953652935806936</v>
      </c>
      <c r="O51" s="25">
        <v>0.55653701350820239</v>
      </c>
      <c r="P51" s="25">
        <v>5.0787063910581844</v>
      </c>
      <c r="Q51" s="25">
        <v>1.7204557394325104</v>
      </c>
      <c r="R51" s="25">
        <v>5.1833937244737598</v>
      </c>
      <c r="S51" s="25">
        <v>2.1249755801720234</v>
      </c>
      <c r="T51" s="25">
        <v>11.237133882404294</v>
      </c>
      <c r="U51" s="25">
        <v>1.3627497741262395</v>
      </c>
      <c r="V51" s="25">
        <v>8.0836759866511194</v>
      </c>
      <c r="W51" s="25">
        <v>0.20730790379976882</v>
      </c>
      <c r="X51" s="25">
        <v>1.3322615398619008E-3</v>
      </c>
      <c r="Y51" s="25">
        <v>9.5977519962707216</v>
      </c>
      <c r="Z51" s="25">
        <v>8.2785612285069607</v>
      </c>
      <c r="AA51" s="25">
        <v>18.52958757181959</v>
      </c>
      <c r="AB51" s="25">
        <v>2.8651066338464566</v>
      </c>
      <c r="AC51" s="25">
        <v>53.26247082751614</v>
      </c>
      <c r="AD51" s="25">
        <v>242.92391132263256</v>
      </c>
      <c r="AE51" s="25">
        <v>322.63818096142745</v>
      </c>
      <c r="AF51" s="25">
        <v>22.299600349084447</v>
      </c>
      <c r="AG51" s="25">
        <v>59.935414824624345</v>
      </c>
      <c r="AH51" s="25">
        <v>8.9730046844383899</v>
      </c>
      <c r="AI51" s="25">
        <v>564.6815077901415</v>
      </c>
      <c r="AJ51" s="25">
        <v>34.453139461017706</v>
      </c>
      <c r="AK51" s="25">
        <v>2581.1766351062402</v>
      </c>
      <c r="AL51" s="25">
        <v>14341.55838378254</v>
      </c>
      <c r="AM51" s="25">
        <v>3300.3373134390467</v>
      </c>
      <c r="AN51" s="25">
        <v>983.16666526052234</v>
      </c>
      <c r="AO51" s="25">
        <v>52.330694355244297</v>
      </c>
      <c r="AP51" s="25">
        <v>301.31336943600428</v>
      </c>
      <c r="AQ51" s="25">
        <v>307.70658297023147</v>
      </c>
      <c r="AR51" s="25">
        <v>50.264149875025154</v>
      </c>
      <c r="AS51" s="25">
        <v>36.012387677438824</v>
      </c>
      <c r="AT51" s="25">
        <v>20.778222294571197</v>
      </c>
      <c r="AU51" s="25">
        <v>785.35759982255843</v>
      </c>
      <c r="AV51" s="25">
        <v>473.88532155061534</v>
      </c>
      <c r="AW51" s="25">
        <v>6440.170059070414</v>
      </c>
      <c r="AX51" s="25">
        <v>3989.5370378023049</v>
      </c>
      <c r="AY51" s="40">
        <v>10881.125533085664</v>
      </c>
      <c r="AZ51" s="25">
        <v>16.998841306626257</v>
      </c>
      <c r="BA51" s="25">
        <v>37.881388843951967</v>
      </c>
      <c r="BB51" s="25">
        <v>468.52787033164481</v>
      </c>
      <c r="BC51" s="25">
        <v>0.85423412175968472</v>
      </c>
      <c r="BD51" s="25">
        <v>127.65474750974724</v>
      </c>
      <c r="BE51" s="25">
        <v>7.9318225706842913</v>
      </c>
      <c r="BF51" s="25">
        <v>63.957248925881871</v>
      </c>
      <c r="BG51" s="25">
        <v>42.991332419774345</v>
      </c>
      <c r="BH51" s="25">
        <v>17.659687764729792</v>
      </c>
      <c r="BI51" s="25">
        <v>105.19948954504332</v>
      </c>
      <c r="BJ51" s="25">
        <v>25.894499030955213</v>
      </c>
      <c r="BK51" s="25">
        <v>4.5107129366356569</v>
      </c>
      <c r="BL51" s="25">
        <v>104.63291894372357</v>
      </c>
      <c r="BM51" s="25">
        <v>24.997551249211742</v>
      </c>
      <c r="BN51" s="25">
        <v>985.30411581027749</v>
      </c>
      <c r="BO51" s="25">
        <v>69.08566996402034</v>
      </c>
      <c r="BP51" s="25">
        <v>169.90306121994516</v>
      </c>
      <c r="BQ51" s="25">
        <v>2105.9906583047068</v>
      </c>
      <c r="BR51" s="25">
        <v>386.81705052489747</v>
      </c>
      <c r="BS51" s="25">
        <v>10.290896307426587</v>
      </c>
      <c r="BT51" s="25">
        <v>1115.0396035565848</v>
      </c>
      <c r="BU51" s="25">
        <v>756.98635480200608</v>
      </c>
      <c r="BV51" s="25">
        <v>48.775690198333443</v>
      </c>
      <c r="BW51" s="25">
        <v>56.266082128551538</v>
      </c>
      <c r="BX51" s="25">
        <v>0</v>
      </c>
      <c r="BY51" s="72">
        <f t="shared" si="1"/>
        <v>54634.729098956406</v>
      </c>
      <c r="BZ51" s="25">
        <v>13664.824970330388</v>
      </c>
      <c r="CA51" s="25">
        <v>0.20101334499748616</v>
      </c>
      <c r="CB51" s="25">
        <v>0</v>
      </c>
      <c r="CC51" s="25">
        <v>83335.689843752582</v>
      </c>
      <c r="CD51" s="25">
        <v>23505.118287990615</v>
      </c>
      <c r="CE51" s="25">
        <v>-47.563214374699541</v>
      </c>
      <c r="CF51" s="25">
        <v>120458.2709010439</v>
      </c>
      <c r="CG51" s="25">
        <v>175093</v>
      </c>
      <c r="CH51"/>
      <c r="CI51">
        <f t="shared" si="0"/>
        <v>0.68796737106020167</v>
      </c>
      <c r="CJ51"/>
      <c r="CK51"/>
      <c r="CL51"/>
      <c r="CM51"/>
      <c r="CN51"/>
      <c r="CO51"/>
      <c r="CP51"/>
      <c r="CQ51"/>
      <c r="CR51"/>
      <c r="CS51"/>
      <c r="CT51"/>
      <c r="CU51"/>
    </row>
    <row r="52" spans="1:99" s="5" customFormat="1" x14ac:dyDescent="0.3">
      <c r="A52" s="35" t="s">
        <v>56</v>
      </c>
      <c r="B52" s="11" t="s">
        <v>130</v>
      </c>
      <c r="C52" s="5">
        <v>47</v>
      </c>
      <c r="D52" s="25">
        <v>20065.541706563621</v>
      </c>
      <c r="E52" s="25">
        <v>10578.299785838793</v>
      </c>
      <c r="F52" s="25">
        <v>921.82921251614709</v>
      </c>
      <c r="G52" s="25">
        <v>706.51262849657394</v>
      </c>
      <c r="H52" s="25">
        <v>5517.4566938904163</v>
      </c>
      <c r="I52" s="25">
        <v>2970.1372374260145</v>
      </c>
      <c r="J52" s="25">
        <v>754.48005385188662</v>
      </c>
      <c r="K52" s="25">
        <v>33868.094291948582</v>
      </c>
      <c r="L52" s="25">
        <v>822.1010947530882</v>
      </c>
      <c r="M52" s="25">
        <v>33523.526065624763</v>
      </c>
      <c r="N52" s="25">
        <v>6301.9199192604456</v>
      </c>
      <c r="O52" s="25">
        <v>2229.3668409412026</v>
      </c>
      <c r="P52" s="25">
        <v>5179.4487849168536</v>
      </c>
      <c r="Q52" s="25">
        <v>6931.9009539894305</v>
      </c>
      <c r="R52" s="25">
        <v>5598.3531478971108</v>
      </c>
      <c r="S52" s="25">
        <v>2431.9729433450375</v>
      </c>
      <c r="T52" s="25">
        <v>7897.9729107214971</v>
      </c>
      <c r="U52" s="25">
        <v>1623.316593676898</v>
      </c>
      <c r="V52" s="25">
        <v>22262.355117920535</v>
      </c>
      <c r="W52" s="25">
        <v>567.16528087012659</v>
      </c>
      <c r="X52" s="25">
        <v>67.456585823462035</v>
      </c>
      <c r="Y52" s="25">
        <v>2076.0696515024588</v>
      </c>
      <c r="Z52" s="25">
        <v>10203.639387131579</v>
      </c>
      <c r="AA52" s="25">
        <v>6324.7889013458134</v>
      </c>
      <c r="AB52" s="25">
        <v>4149.2998470587772</v>
      </c>
      <c r="AC52" s="25">
        <v>4998.2658447644781</v>
      </c>
      <c r="AD52" s="25">
        <v>9399.1905089403172</v>
      </c>
      <c r="AE52" s="25">
        <v>6500.766194258531</v>
      </c>
      <c r="AF52" s="25">
        <v>7645.9370009666663</v>
      </c>
      <c r="AG52" s="25">
        <v>4695.2800829161752</v>
      </c>
      <c r="AH52" s="25">
        <v>7185.1642708040781</v>
      </c>
      <c r="AI52" s="25">
        <v>11261.649944928764</v>
      </c>
      <c r="AJ52" s="25">
        <v>7021.0688273661181</v>
      </c>
      <c r="AK52" s="25">
        <v>12401.701450999752</v>
      </c>
      <c r="AL52" s="25">
        <v>5613.1896610773765</v>
      </c>
      <c r="AM52" s="25">
        <v>5033.881228588315</v>
      </c>
      <c r="AN52" s="25">
        <v>1692.0256145105111</v>
      </c>
      <c r="AO52" s="25">
        <v>6771.1089491394687</v>
      </c>
      <c r="AP52" s="25">
        <v>6343.2247555907634</v>
      </c>
      <c r="AQ52" s="25">
        <v>3470.2671279758006</v>
      </c>
      <c r="AR52" s="25">
        <v>566.2875932681585</v>
      </c>
      <c r="AS52" s="25">
        <v>405.72392841422777</v>
      </c>
      <c r="AT52" s="25">
        <v>241.06616049123929</v>
      </c>
      <c r="AU52" s="25">
        <v>1369.5878911629823</v>
      </c>
      <c r="AV52" s="25">
        <v>32538.159260872741</v>
      </c>
      <c r="AW52" s="25">
        <v>1957.5111608912059</v>
      </c>
      <c r="AX52" s="25">
        <v>23303.721000672413</v>
      </c>
      <c r="AY52" s="40">
        <v>11823.040499430528</v>
      </c>
      <c r="AZ52" s="25">
        <v>459.20876514324829</v>
      </c>
      <c r="BA52" s="25">
        <v>1240.7376323839374</v>
      </c>
      <c r="BB52" s="25">
        <v>1360.3615475100489</v>
      </c>
      <c r="BC52" s="25">
        <v>1200.16428329731</v>
      </c>
      <c r="BD52" s="25">
        <v>24860.589492552768</v>
      </c>
      <c r="BE52" s="25">
        <v>1464.6658423432182</v>
      </c>
      <c r="BF52" s="25">
        <v>1272.1645866824017</v>
      </c>
      <c r="BG52" s="25">
        <v>4607.3854476909264</v>
      </c>
      <c r="BH52" s="25">
        <v>3117.9396059135042</v>
      </c>
      <c r="BI52" s="25">
        <v>3851.8159122881866</v>
      </c>
      <c r="BJ52" s="25">
        <v>2039.0853134722138</v>
      </c>
      <c r="BK52" s="25">
        <v>2754.8220399539814</v>
      </c>
      <c r="BL52" s="25">
        <v>1662.6058618047957</v>
      </c>
      <c r="BM52" s="25">
        <v>3375.4601037459565</v>
      </c>
      <c r="BN52" s="25">
        <v>1110.7929290398056</v>
      </c>
      <c r="BO52" s="25">
        <v>6017.6210691162396</v>
      </c>
      <c r="BP52" s="25">
        <v>460.41962990087433</v>
      </c>
      <c r="BQ52" s="25">
        <v>7320.3861655476358</v>
      </c>
      <c r="BR52" s="25">
        <v>5232.9747963414893</v>
      </c>
      <c r="BS52" s="25">
        <v>1673.3487107260698</v>
      </c>
      <c r="BT52" s="25">
        <v>7300.7418781253546</v>
      </c>
      <c r="BU52" s="25">
        <v>19050.647809622886</v>
      </c>
      <c r="BV52" s="25">
        <v>758.17377742172118</v>
      </c>
      <c r="BW52" s="25">
        <v>4810.0605338152945</v>
      </c>
      <c r="BX52" s="25">
        <v>0</v>
      </c>
      <c r="BY52" s="72">
        <f t="shared" si="1"/>
        <v>472812.99832978169</v>
      </c>
      <c r="BZ52" s="25">
        <v>83853.490913122063</v>
      </c>
      <c r="CA52" s="25">
        <v>2765.5801388253753</v>
      </c>
      <c r="CB52" s="25">
        <v>2.4717411121239743</v>
      </c>
      <c r="CC52" s="25">
        <v>503799.2473376143</v>
      </c>
      <c r="CD52" s="25">
        <v>55581.557027372633</v>
      </c>
      <c r="CE52" s="25">
        <v>1763.6545121717481</v>
      </c>
      <c r="CF52" s="25">
        <v>647766.00167021831</v>
      </c>
      <c r="CG52" s="25">
        <v>1120579</v>
      </c>
      <c r="CH52"/>
      <c r="CI52">
        <f t="shared" si="0"/>
        <v>0.57806366322251113</v>
      </c>
      <c r="CJ52"/>
      <c r="CK52"/>
      <c r="CL52"/>
      <c r="CM52"/>
      <c r="CN52"/>
      <c r="CO52"/>
      <c r="CP52"/>
      <c r="CQ52"/>
      <c r="CR52"/>
      <c r="CS52"/>
      <c r="CT52"/>
      <c r="CU52"/>
    </row>
    <row r="53" spans="1:99" s="5" customFormat="1" x14ac:dyDescent="0.3">
      <c r="A53" s="36" t="s">
        <v>57</v>
      </c>
      <c r="B53" s="37" t="s">
        <v>131</v>
      </c>
      <c r="C53" s="65">
        <v>48</v>
      </c>
      <c r="D53" s="40">
        <v>7307.3660232477596</v>
      </c>
      <c r="E53" s="40">
        <v>2201.7665120681136</v>
      </c>
      <c r="F53" s="40">
        <v>759.10340752990169</v>
      </c>
      <c r="G53" s="40">
        <v>912.95436208083402</v>
      </c>
      <c r="H53" s="40">
        <v>6475.7006601466092</v>
      </c>
      <c r="I53" s="40">
        <v>3552.9980438873413</v>
      </c>
      <c r="J53" s="40">
        <v>781.7960738524331</v>
      </c>
      <c r="K53" s="40">
        <v>13074.053973132557</v>
      </c>
      <c r="L53" s="40">
        <v>3165.556141587002</v>
      </c>
      <c r="M53" s="40">
        <v>19108.959591359398</v>
      </c>
      <c r="N53" s="40">
        <v>3878.9551326853975</v>
      </c>
      <c r="O53" s="40">
        <v>300.63614987092728</v>
      </c>
      <c r="P53" s="40">
        <v>1315.00911060158</v>
      </c>
      <c r="Q53" s="40">
        <v>1051.8336654525804</v>
      </c>
      <c r="R53" s="40">
        <v>1211.3050703596639</v>
      </c>
      <c r="S53" s="40">
        <v>1569.2350687456862</v>
      </c>
      <c r="T53" s="40">
        <v>4157.8348546183315</v>
      </c>
      <c r="U53" s="40">
        <v>362.96299434351118</v>
      </c>
      <c r="V53" s="40">
        <v>5179.9924896021985</v>
      </c>
      <c r="W53" s="40">
        <v>131.32714249839793</v>
      </c>
      <c r="X53" s="40">
        <v>1.2085581841205741</v>
      </c>
      <c r="Y53" s="40">
        <v>2459.0715608331079</v>
      </c>
      <c r="Z53" s="40">
        <v>7156.4766755123464</v>
      </c>
      <c r="AA53" s="40">
        <v>2644.5351018205947</v>
      </c>
      <c r="AB53" s="40">
        <v>1989.3038032327186</v>
      </c>
      <c r="AC53" s="40">
        <v>3369.966023381889</v>
      </c>
      <c r="AD53" s="40">
        <v>3931.0659008956814</v>
      </c>
      <c r="AE53" s="40">
        <v>3424.3341707904519</v>
      </c>
      <c r="AF53" s="40">
        <v>7094.8221607334444</v>
      </c>
      <c r="AG53" s="40">
        <v>1499.330712084917</v>
      </c>
      <c r="AH53" s="40">
        <v>3232.6086077441591</v>
      </c>
      <c r="AI53" s="40">
        <v>2218.7861598598147</v>
      </c>
      <c r="AJ53" s="40">
        <v>1900.3046112759368</v>
      </c>
      <c r="AK53" s="40">
        <v>2935.6551544705976</v>
      </c>
      <c r="AL53" s="40">
        <v>5758.2056320100082</v>
      </c>
      <c r="AM53" s="40">
        <v>2546.4417560488491</v>
      </c>
      <c r="AN53" s="40">
        <v>772.23847171810689</v>
      </c>
      <c r="AO53" s="40">
        <v>1818.4498348962331</v>
      </c>
      <c r="AP53" s="40">
        <v>694.19440831480495</v>
      </c>
      <c r="AQ53" s="40">
        <v>3289.3868614696476</v>
      </c>
      <c r="AR53" s="40">
        <v>537.32433217993366</v>
      </c>
      <c r="AS53" s="40">
        <v>384.97283266695285</v>
      </c>
      <c r="AT53" s="40">
        <v>639.87315691344418</v>
      </c>
      <c r="AU53" s="40">
        <v>502.70007673407656</v>
      </c>
      <c r="AV53" s="40">
        <v>5229.3343750739723</v>
      </c>
      <c r="AW53" s="40">
        <v>1827.7701448998821</v>
      </c>
      <c r="AX53" s="40">
        <v>45681.213222787577</v>
      </c>
      <c r="AY53" s="40">
        <v>42845.105908360987</v>
      </c>
      <c r="AZ53" s="40">
        <v>286.10225480011775</v>
      </c>
      <c r="BA53" s="40">
        <v>351.73585615243695</v>
      </c>
      <c r="BB53" s="40">
        <v>5689.8904157816396</v>
      </c>
      <c r="BC53" s="40">
        <v>159.70357458075645</v>
      </c>
      <c r="BD53" s="40">
        <v>2928.6506095261602</v>
      </c>
      <c r="BE53" s="40">
        <v>432.91400896660303</v>
      </c>
      <c r="BF53" s="40">
        <v>501.40469538133152</v>
      </c>
      <c r="BG53" s="40">
        <v>642.82359557461996</v>
      </c>
      <c r="BH53" s="40">
        <v>779.7681183094694</v>
      </c>
      <c r="BI53" s="40">
        <v>2072.0931144338556</v>
      </c>
      <c r="BJ53" s="40">
        <v>359.99090184204476</v>
      </c>
      <c r="BK53" s="40">
        <v>1279.8994913363929</v>
      </c>
      <c r="BL53" s="40">
        <v>1038.5243666643423</v>
      </c>
      <c r="BM53" s="40">
        <v>445.46072578398775</v>
      </c>
      <c r="BN53" s="40">
        <v>596.29321067965964</v>
      </c>
      <c r="BO53" s="40">
        <v>897.37588982598277</v>
      </c>
      <c r="BP53" s="40">
        <v>146.71538069477421</v>
      </c>
      <c r="BQ53" s="40">
        <v>4091.6499007281814</v>
      </c>
      <c r="BR53" s="40">
        <v>2338.8551006309112</v>
      </c>
      <c r="BS53" s="40">
        <v>1558.6124707310425</v>
      </c>
      <c r="BT53" s="40">
        <v>1497.2123866294062</v>
      </c>
      <c r="BU53" s="40">
        <v>615.04952014553612</v>
      </c>
      <c r="BV53" s="40">
        <v>325.60879577067749</v>
      </c>
      <c r="BW53" s="40">
        <v>2457.6103397295406</v>
      </c>
      <c r="BX53" s="40">
        <v>0</v>
      </c>
      <c r="BY53" s="72">
        <f t="shared" si="1"/>
        <v>264377.97140726389</v>
      </c>
      <c r="BZ53" s="40">
        <v>16374.593619082512</v>
      </c>
      <c r="CA53" s="40">
        <v>89.02712311319813</v>
      </c>
      <c r="CB53" s="40">
        <v>0</v>
      </c>
      <c r="CC53" s="40">
        <v>113227.29825149941</v>
      </c>
      <c r="CD53" s="40">
        <v>4736.7297729722841</v>
      </c>
      <c r="CE53" s="40">
        <v>7.4247544151011349</v>
      </c>
      <c r="CF53" s="40">
        <v>134435.07352108249</v>
      </c>
      <c r="CG53" s="40">
        <v>398813</v>
      </c>
      <c r="CH53"/>
      <c r="CI53">
        <f t="shared" si="0"/>
        <v>0.3370879924202132</v>
      </c>
      <c r="CJ53"/>
      <c r="CK53"/>
      <c r="CL53"/>
      <c r="CM53"/>
      <c r="CN53"/>
      <c r="CO53"/>
      <c r="CP53"/>
      <c r="CQ53"/>
      <c r="CR53"/>
      <c r="CS53"/>
      <c r="CT53"/>
      <c r="CU53"/>
    </row>
    <row r="54" spans="1:99" s="5" customFormat="1" x14ac:dyDescent="0.3">
      <c r="A54" s="35" t="s">
        <v>58</v>
      </c>
      <c r="B54" s="11" t="s">
        <v>132</v>
      </c>
      <c r="C54" s="5">
        <v>49</v>
      </c>
      <c r="D54" s="25">
        <v>39.738558740146246</v>
      </c>
      <c r="E54" s="25">
        <v>30.188918246216822</v>
      </c>
      <c r="F54" s="25">
        <v>2.6028833823347202</v>
      </c>
      <c r="G54" s="25">
        <v>2.5855371349157599</v>
      </c>
      <c r="H54" s="25">
        <v>6014.8755587431851</v>
      </c>
      <c r="I54" s="25">
        <v>6.5371674912135287</v>
      </c>
      <c r="J54" s="25">
        <v>12.379639175879493</v>
      </c>
      <c r="K54" s="25">
        <v>1215.6784063633283</v>
      </c>
      <c r="L54" s="25">
        <v>99.638254040825615</v>
      </c>
      <c r="M54" s="25">
        <v>529.87292202419474</v>
      </c>
      <c r="N54" s="25">
        <v>15.88119763356746</v>
      </c>
      <c r="O54" s="25">
        <v>4.1122728787308764</v>
      </c>
      <c r="P54" s="25">
        <v>17.862456136156563</v>
      </c>
      <c r="Q54" s="25">
        <v>18.671242358527557</v>
      </c>
      <c r="R54" s="25">
        <v>10.956892188280534</v>
      </c>
      <c r="S54" s="25">
        <v>168.8246464021579</v>
      </c>
      <c r="T54" s="25">
        <v>1369.3082061469966</v>
      </c>
      <c r="U54" s="25">
        <v>15.165712719845541</v>
      </c>
      <c r="V54" s="25">
        <v>101.21961418139165</v>
      </c>
      <c r="W54" s="25">
        <v>2.5958000121991187</v>
      </c>
      <c r="X54" s="25">
        <v>1.6586294373946282E-2</v>
      </c>
      <c r="Y54" s="25">
        <v>38.12868923004001</v>
      </c>
      <c r="Z54" s="25">
        <v>681.41859492518847</v>
      </c>
      <c r="AA54" s="25">
        <v>22.967492923394623</v>
      </c>
      <c r="AB54" s="25">
        <v>44.625488462328235</v>
      </c>
      <c r="AC54" s="25">
        <v>7.3439862481081155</v>
      </c>
      <c r="AD54" s="25">
        <v>61.018072297882867</v>
      </c>
      <c r="AE54" s="25">
        <v>117.53425250062286</v>
      </c>
      <c r="AF54" s="25">
        <v>364.35022320822014</v>
      </c>
      <c r="AG54" s="25">
        <v>29.901182597955984</v>
      </c>
      <c r="AH54" s="25">
        <v>46.359125724543944</v>
      </c>
      <c r="AI54" s="25">
        <v>47.513142873108485</v>
      </c>
      <c r="AJ54" s="25">
        <v>46.656802865813631</v>
      </c>
      <c r="AK54" s="25">
        <v>252.53357961632307</v>
      </c>
      <c r="AL54" s="25">
        <v>200.58448276321442</v>
      </c>
      <c r="AM54" s="25">
        <v>87.17513606303028</v>
      </c>
      <c r="AN54" s="25">
        <v>92.291004147773691</v>
      </c>
      <c r="AO54" s="25">
        <v>11.271709712572363</v>
      </c>
      <c r="AP54" s="25">
        <v>19.772229527510056</v>
      </c>
      <c r="AQ54" s="25">
        <v>10.425441832857267</v>
      </c>
      <c r="AR54" s="25">
        <v>1.7030053947555313</v>
      </c>
      <c r="AS54" s="25">
        <v>1.2201398142650921</v>
      </c>
      <c r="AT54" s="25">
        <v>1.9369097344608115</v>
      </c>
      <c r="AU54" s="25">
        <v>3.9900222023776273</v>
      </c>
      <c r="AV54" s="25">
        <v>85.468364875685026</v>
      </c>
      <c r="AW54" s="25">
        <v>17.570055112240993</v>
      </c>
      <c r="AX54" s="25">
        <v>974.42611412135864</v>
      </c>
      <c r="AY54" s="40">
        <v>662.32474817511718</v>
      </c>
      <c r="AZ54" s="25">
        <v>942.87093059620565</v>
      </c>
      <c r="BA54" s="25">
        <v>4.0695481146660315</v>
      </c>
      <c r="BB54" s="25">
        <v>56.843633095432182</v>
      </c>
      <c r="BC54" s="25">
        <v>4.3362899842979017</v>
      </c>
      <c r="BD54" s="25">
        <v>66.858184593534176</v>
      </c>
      <c r="BE54" s="25">
        <v>1.4128613280297491</v>
      </c>
      <c r="BF54" s="25">
        <v>3.4855759526679879</v>
      </c>
      <c r="BG54" s="25">
        <v>6.1442029474498181</v>
      </c>
      <c r="BH54" s="25">
        <v>19.801372660073508</v>
      </c>
      <c r="BI54" s="25">
        <v>14.746732686413331</v>
      </c>
      <c r="BJ54" s="25">
        <v>9.2220012855881137</v>
      </c>
      <c r="BK54" s="25">
        <v>15.018517159942935</v>
      </c>
      <c r="BL54" s="25">
        <v>5.1919710583971082</v>
      </c>
      <c r="BM54" s="25">
        <v>4.4003647920266644</v>
      </c>
      <c r="BN54" s="25">
        <v>3.7254654495693149</v>
      </c>
      <c r="BO54" s="25">
        <v>239.95377005778735</v>
      </c>
      <c r="BP54" s="25">
        <v>1.6846209135302099</v>
      </c>
      <c r="BQ54" s="25">
        <v>14.07295316425826</v>
      </c>
      <c r="BR54" s="25">
        <v>5.5129645052011389</v>
      </c>
      <c r="BS54" s="25">
        <v>12.051006748532979</v>
      </c>
      <c r="BT54" s="25">
        <v>7.2066724344558706</v>
      </c>
      <c r="BU54" s="25">
        <v>19.466725314694735</v>
      </c>
      <c r="BV54" s="25">
        <v>9.8233458443424642</v>
      </c>
      <c r="BW54" s="25">
        <v>13.563344936561172</v>
      </c>
      <c r="BX54" s="25">
        <v>0</v>
      </c>
      <c r="BY54" s="72">
        <f t="shared" si="1"/>
        <v>15090.685524868877</v>
      </c>
      <c r="BZ54" s="25">
        <v>5851.6851012527004</v>
      </c>
      <c r="CA54" s="25">
        <v>2.0410605773876287</v>
      </c>
      <c r="CB54" s="25">
        <v>0</v>
      </c>
      <c r="CC54" s="25">
        <v>1989.5854759988795</v>
      </c>
      <c r="CD54" s="25">
        <v>108.00283731465244</v>
      </c>
      <c r="CE54" s="25">
        <v>0</v>
      </c>
      <c r="CF54" s="25">
        <v>7951.3144751436203</v>
      </c>
      <c r="CG54" s="25">
        <v>23042</v>
      </c>
      <c r="CH54"/>
      <c r="CI54">
        <f t="shared" si="0"/>
        <v>0.34507918041591962</v>
      </c>
      <c r="CJ54"/>
      <c r="CK54"/>
      <c r="CL54"/>
      <c r="CM54"/>
      <c r="CN54"/>
      <c r="CO54"/>
      <c r="CP54"/>
      <c r="CQ54"/>
      <c r="CR54"/>
      <c r="CS54"/>
      <c r="CT54"/>
      <c r="CU54"/>
    </row>
    <row r="55" spans="1:99" s="5" customFormat="1" x14ac:dyDescent="0.3">
      <c r="A55" s="35" t="s">
        <v>59</v>
      </c>
      <c r="B55" s="11" t="s">
        <v>133</v>
      </c>
      <c r="C55" s="5">
        <v>50</v>
      </c>
      <c r="D55" s="25">
        <v>0.79905326692108847</v>
      </c>
      <c r="E55" s="25">
        <v>1.4439554785159681E-2</v>
      </c>
      <c r="F55" s="25">
        <v>1.5836669790570173</v>
      </c>
      <c r="G55" s="25">
        <v>3.1838363064399311</v>
      </c>
      <c r="H55" s="25">
        <v>2233.721365296376</v>
      </c>
      <c r="I55" s="25">
        <v>14.193181798831777</v>
      </c>
      <c r="J55" s="25">
        <v>26.652112690132729</v>
      </c>
      <c r="K55" s="25">
        <v>281.00853600982867</v>
      </c>
      <c r="L55" s="25">
        <v>6.5657007927906239</v>
      </c>
      <c r="M55" s="25">
        <v>241.49937327503272</v>
      </c>
      <c r="N55" s="25">
        <v>40.851482869586718</v>
      </c>
      <c r="O55" s="25">
        <v>19.611217216316742</v>
      </c>
      <c r="P55" s="25">
        <v>27.322520590872287</v>
      </c>
      <c r="Q55" s="25">
        <v>31.392047492944254</v>
      </c>
      <c r="R55" s="25">
        <v>44.045633143730328</v>
      </c>
      <c r="S55" s="25">
        <v>47.832557330721329</v>
      </c>
      <c r="T55" s="25">
        <v>96.658070521193025</v>
      </c>
      <c r="U55" s="25">
        <v>14.98810947867139</v>
      </c>
      <c r="V55" s="25">
        <v>39.344344055720526</v>
      </c>
      <c r="W55" s="25">
        <v>1.0089946460058863</v>
      </c>
      <c r="X55" s="25">
        <v>6.44713850902995E-3</v>
      </c>
      <c r="Y55" s="25">
        <v>5.9729268799432429</v>
      </c>
      <c r="Z55" s="25">
        <v>264.93539712872956</v>
      </c>
      <c r="AA55" s="25">
        <v>280.40282687550774</v>
      </c>
      <c r="AB55" s="25">
        <v>11.368271568480099</v>
      </c>
      <c r="AC55" s="25">
        <v>127.40858922296806</v>
      </c>
      <c r="AD55" s="25">
        <v>43.297397548671846</v>
      </c>
      <c r="AE55" s="25">
        <v>102.16068047384822</v>
      </c>
      <c r="AF55" s="25">
        <v>93.104242004305348</v>
      </c>
      <c r="AG55" s="25">
        <v>12.549693807093385</v>
      </c>
      <c r="AH55" s="25">
        <v>48.356506890068552</v>
      </c>
      <c r="AI55" s="25">
        <v>234.43860203246516</v>
      </c>
      <c r="AJ55" s="25">
        <v>144.25546938827034</v>
      </c>
      <c r="AK55" s="25">
        <v>177.37014319415687</v>
      </c>
      <c r="AL55" s="25">
        <v>220.18353642741127</v>
      </c>
      <c r="AM55" s="25">
        <v>91.31017008409313</v>
      </c>
      <c r="AN55" s="25">
        <v>47.099513457103818</v>
      </c>
      <c r="AO55" s="25">
        <v>33.44472077240443</v>
      </c>
      <c r="AP55" s="25">
        <v>72.917505390122955</v>
      </c>
      <c r="AQ55" s="25">
        <v>321.08406570378929</v>
      </c>
      <c r="AR55" s="25">
        <v>52.449373832795224</v>
      </c>
      <c r="AS55" s="25">
        <v>37.578019097146665</v>
      </c>
      <c r="AT55" s="25">
        <v>117.87551411520981</v>
      </c>
      <c r="AU55" s="25">
        <v>44.588147844944181</v>
      </c>
      <c r="AV55" s="25">
        <v>926.79588030933155</v>
      </c>
      <c r="AW55" s="25">
        <v>195.094440121877</v>
      </c>
      <c r="AX55" s="25">
        <v>3175.7569603532124</v>
      </c>
      <c r="AY55" s="40">
        <v>202.62404661747215</v>
      </c>
      <c r="AZ55" s="25">
        <v>85.475450371379267</v>
      </c>
      <c r="BA55" s="25">
        <v>12.776601096574467</v>
      </c>
      <c r="BB55" s="25">
        <v>716.74798812707093</v>
      </c>
      <c r="BC55" s="25">
        <v>67.135472436385641</v>
      </c>
      <c r="BD55" s="25">
        <v>64.579261167507681</v>
      </c>
      <c r="BE55" s="25">
        <v>12.95193854753712</v>
      </c>
      <c r="BF55" s="25">
        <v>142.7618131583499</v>
      </c>
      <c r="BG55" s="25">
        <v>154.00668186818808</v>
      </c>
      <c r="BH55" s="25">
        <v>661.76746376484198</v>
      </c>
      <c r="BI55" s="25">
        <v>1955.7044157217938</v>
      </c>
      <c r="BJ55" s="25">
        <v>61.593475700029707</v>
      </c>
      <c r="BK55" s="25">
        <v>848.28966343902027</v>
      </c>
      <c r="BL55" s="25">
        <v>251.59133410202563</v>
      </c>
      <c r="BM55" s="25">
        <v>548.838226182639</v>
      </c>
      <c r="BN55" s="25">
        <v>84.822661739423751</v>
      </c>
      <c r="BO55" s="25">
        <v>305.04012607751815</v>
      </c>
      <c r="BP55" s="25">
        <v>22.538514957049436</v>
      </c>
      <c r="BQ55" s="25">
        <v>1037.9844848969544</v>
      </c>
      <c r="BR55" s="25">
        <v>307.43786699756174</v>
      </c>
      <c r="BS55" s="25">
        <v>1902.2029143282734</v>
      </c>
      <c r="BT55" s="25">
        <v>343.80313866984761</v>
      </c>
      <c r="BU55" s="25">
        <v>6.1739410674261332</v>
      </c>
      <c r="BV55" s="25">
        <v>90.362573023187764</v>
      </c>
      <c r="BW55" s="25">
        <v>6697.2625784778875</v>
      </c>
      <c r="BX55" s="25">
        <v>0</v>
      </c>
      <c r="BY55" s="72">
        <f t="shared" si="1"/>
        <v>26638.553917514364</v>
      </c>
      <c r="BZ55" s="25">
        <v>7922.3153352442387</v>
      </c>
      <c r="CA55" s="25">
        <v>0</v>
      </c>
      <c r="CB55" s="25">
        <v>0</v>
      </c>
      <c r="CC55" s="25">
        <v>10246.13074725425</v>
      </c>
      <c r="CD55" s="25">
        <v>0</v>
      </c>
      <c r="CE55" s="25">
        <v>0</v>
      </c>
      <c r="CF55" s="25">
        <v>18168.446082498489</v>
      </c>
      <c r="CG55" s="25">
        <v>44807</v>
      </c>
      <c r="CH55"/>
      <c r="CI55">
        <f t="shared" si="0"/>
        <v>0.40548231487264241</v>
      </c>
      <c r="CJ55"/>
      <c r="CK55"/>
      <c r="CL55"/>
      <c r="CM55"/>
      <c r="CN55"/>
      <c r="CO55"/>
      <c r="CP55"/>
      <c r="CQ55"/>
      <c r="CR55"/>
      <c r="CS55"/>
      <c r="CT55"/>
      <c r="CU55"/>
    </row>
    <row r="56" spans="1:99" s="5" customFormat="1" x14ac:dyDescent="0.3">
      <c r="A56" s="35" t="s">
        <v>60</v>
      </c>
      <c r="B56" s="11" t="s">
        <v>134</v>
      </c>
      <c r="C56" s="5">
        <v>51</v>
      </c>
      <c r="D56" s="25">
        <v>1107.5530893104053</v>
      </c>
      <c r="E56" s="25">
        <v>52.734320300833829</v>
      </c>
      <c r="F56" s="25">
        <v>257.12418087482206</v>
      </c>
      <c r="G56" s="25">
        <v>27.332603392649428</v>
      </c>
      <c r="H56" s="25">
        <v>4686.5244651753528</v>
      </c>
      <c r="I56" s="25">
        <v>2866.9374720018664</v>
      </c>
      <c r="J56" s="25">
        <v>452.77896691470039</v>
      </c>
      <c r="K56" s="25">
        <v>3106.4543221425342</v>
      </c>
      <c r="L56" s="25">
        <v>1445.7661406731338</v>
      </c>
      <c r="M56" s="25">
        <v>3759.9643714657623</v>
      </c>
      <c r="N56" s="25">
        <v>1966.434338465094</v>
      </c>
      <c r="O56" s="25">
        <v>30.597631579185716</v>
      </c>
      <c r="P56" s="25">
        <v>174.62685915767094</v>
      </c>
      <c r="Q56" s="25">
        <v>117.35982557940046</v>
      </c>
      <c r="R56" s="25">
        <v>178.81607674240067</v>
      </c>
      <c r="S56" s="25">
        <v>283.69214735234266</v>
      </c>
      <c r="T56" s="25">
        <v>1642.0242484833598</v>
      </c>
      <c r="U56" s="25">
        <v>168.0324596306701</v>
      </c>
      <c r="V56" s="25">
        <v>785.99973305102799</v>
      </c>
      <c r="W56" s="25">
        <v>20.157141806389667</v>
      </c>
      <c r="X56" s="25">
        <v>0.12879739816894351</v>
      </c>
      <c r="Y56" s="25">
        <v>888.97562803098106</v>
      </c>
      <c r="Z56" s="25">
        <v>1113.0502184619572</v>
      </c>
      <c r="AA56" s="25">
        <v>890.70270508442729</v>
      </c>
      <c r="AB56" s="25">
        <v>427.10706328202031</v>
      </c>
      <c r="AC56" s="25">
        <v>680.8296416773336</v>
      </c>
      <c r="AD56" s="25">
        <v>289.22322789928495</v>
      </c>
      <c r="AE56" s="25">
        <v>340.4563316440142</v>
      </c>
      <c r="AF56" s="25">
        <v>3106.143447158548</v>
      </c>
      <c r="AG56" s="25">
        <v>156.05659709763083</v>
      </c>
      <c r="AH56" s="25">
        <v>882.07570623616118</v>
      </c>
      <c r="AI56" s="25">
        <v>721.49553988904836</v>
      </c>
      <c r="AJ56" s="25">
        <v>872.11436804355446</v>
      </c>
      <c r="AK56" s="25">
        <v>355.37907464917532</v>
      </c>
      <c r="AL56" s="25">
        <v>3921.2234692979123</v>
      </c>
      <c r="AM56" s="25">
        <v>725.8449677609218</v>
      </c>
      <c r="AN56" s="25">
        <v>363.13483923989639</v>
      </c>
      <c r="AO56" s="25">
        <v>382.29547029925698</v>
      </c>
      <c r="AP56" s="25">
        <v>230.35013783318922</v>
      </c>
      <c r="AQ56" s="25">
        <v>533.24293120405105</v>
      </c>
      <c r="AR56" s="25">
        <v>87.105717255425631</v>
      </c>
      <c r="AS56" s="25">
        <v>62.407995888186534</v>
      </c>
      <c r="AT56" s="25">
        <v>91.493001976555561</v>
      </c>
      <c r="AU56" s="25">
        <v>26.775828013869667</v>
      </c>
      <c r="AV56" s="25">
        <v>631.94792252939851</v>
      </c>
      <c r="AW56" s="25">
        <v>761.13506529545714</v>
      </c>
      <c r="AX56" s="25">
        <v>16732.046905600353</v>
      </c>
      <c r="AY56" s="40">
        <v>8818.9588852887646</v>
      </c>
      <c r="AZ56" s="25">
        <v>2554.2717158953233</v>
      </c>
      <c r="BA56" s="25">
        <v>5204.6672426241585</v>
      </c>
      <c r="BB56" s="25">
        <v>5321.281311320422</v>
      </c>
      <c r="BC56" s="25">
        <v>72.467839472057094</v>
      </c>
      <c r="BD56" s="25">
        <v>328.64455285321708</v>
      </c>
      <c r="BE56" s="25">
        <v>57.145727050278083</v>
      </c>
      <c r="BF56" s="25">
        <v>87.252761869702184</v>
      </c>
      <c r="BG56" s="25">
        <v>571.79887165813284</v>
      </c>
      <c r="BH56" s="25">
        <v>184.265875497129</v>
      </c>
      <c r="BI56" s="25">
        <v>4048.7975784176729</v>
      </c>
      <c r="BJ56" s="25">
        <v>236.48941730981929</v>
      </c>
      <c r="BK56" s="25">
        <v>685.69265925087916</v>
      </c>
      <c r="BL56" s="25">
        <v>220.72559103183312</v>
      </c>
      <c r="BM56" s="25">
        <v>295.91744032336356</v>
      </c>
      <c r="BN56" s="25">
        <v>239.99222233599662</v>
      </c>
      <c r="BO56" s="25">
        <v>830.20474620239497</v>
      </c>
      <c r="BP56" s="25">
        <v>78.821922895319474</v>
      </c>
      <c r="BQ56" s="25">
        <v>3809.818074670743</v>
      </c>
      <c r="BR56" s="25">
        <v>316.69512482140237</v>
      </c>
      <c r="BS56" s="25">
        <v>504.49716694563062</v>
      </c>
      <c r="BT56" s="25">
        <v>409.62304004189883</v>
      </c>
      <c r="BU56" s="25">
        <v>347.65630013322732</v>
      </c>
      <c r="BV56" s="25">
        <v>80.772732225547003</v>
      </c>
      <c r="BW56" s="25">
        <v>1440.9069236435296</v>
      </c>
      <c r="BX56" s="25">
        <v>0</v>
      </c>
      <c r="BY56" s="72">
        <f t="shared" si="1"/>
        <v>95151.018716624792</v>
      </c>
      <c r="BZ56" s="25">
        <v>11538.986655413724</v>
      </c>
      <c r="CA56" s="25">
        <v>0.43480693774667994</v>
      </c>
      <c r="CB56" s="25">
        <v>0</v>
      </c>
      <c r="CC56" s="25">
        <v>32126.448709308461</v>
      </c>
      <c r="CD56" s="25">
        <v>27.164585408448154</v>
      </c>
      <c r="CE56" s="25">
        <v>-5.3473668458267343E-2</v>
      </c>
      <c r="CF56" s="25">
        <v>43692.981283399931</v>
      </c>
      <c r="CG56" s="25">
        <v>138844</v>
      </c>
      <c r="CH56"/>
      <c r="CI56">
        <f t="shared" si="0"/>
        <v>0.31469117342773134</v>
      </c>
      <c r="CJ56"/>
      <c r="CK56"/>
      <c r="CL56"/>
      <c r="CM56"/>
      <c r="CN56"/>
      <c r="CO56"/>
      <c r="CP56"/>
      <c r="CQ56"/>
      <c r="CR56"/>
      <c r="CS56"/>
      <c r="CT56"/>
      <c r="CU56"/>
    </row>
    <row r="57" spans="1:99" s="5" customFormat="1" x14ac:dyDescent="0.3">
      <c r="A57" s="35" t="s">
        <v>61</v>
      </c>
      <c r="B57" s="13" t="s">
        <v>135</v>
      </c>
      <c r="C57" s="5">
        <v>52</v>
      </c>
      <c r="D57" s="25">
        <v>4.1299403891300894</v>
      </c>
      <c r="E57" s="25">
        <v>1.6539141168804776</v>
      </c>
      <c r="F57" s="25">
        <v>1.8855479741863035</v>
      </c>
      <c r="G57" s="25">
        <v>7.1801427190256737</v>
      </c>
      <c r="H57" s="25">
        <v>210.79458798825763</v>
      </c>
      <c r="I57" s="25">
        <v>67.189308294123691</v>
      </c>
      <c r="J57" s="25">
        <v>10.722197356910591</v>
      </c>
      <c r="K57" s="25">
        <v>227.90752147712357</v>
      </c>
      <c r="L57" s="25">
        <v>17.923758997004594</v>
      </c>
      <c r="M57" s="25">
        <v>219.73660869357889</v>
      </c>
      <c r="N57" s="25">
        <v>37.954434703365123</v>
      </c>
      <c r="O57" s="25">
        <v>18.431230210578658</v>
      </c>
      <c r="P57" s="25">
        <v>19.077938535895267</v>
      </c>
      <c r="Q57" s="25">
        <v>16.25863062844563</v>
      </c>
      <c r="R57" s="25">
        <v>20.680217006945465</v>
      </c>
      <c r="S57" s="25">
        <v>6.5217089329862228</v>
      </c>
      <c r="T57" s="25">
        <v>63.922052311575101</v>
      </c>
      <c r="U57" s="25">
        <v>6.4289490904216215</v>
      </c>
      <c r="V57" s="25">
        <v>24.168982174261171</v>
      </c>
      <c r="W57" s="25">
        <v>0.61981904130119891</v>
      </c>
      <c r="X57" s="25">
        <v>3.9604364855863397E-3</v>
      </c>
      <c r="Y57" s="25">
        <v>11.931859118285539</v>
      </c>
      <c r="Z57" s="25">
        <v>99.185218472284745</v>
      </c>
      <c r="AA57" s="25">
        <v>109.70875104985157</v>
      </c>
      <c r="AB57" s="25">
        <v>28.097571139949583</v>
      </c>
      <c r="AC57" s="25">
        <v>149.94686271690583</v>
      </c>
      <c r="AD57" s="25">
        <v>79.003465364983967</v>
      </c>
      <c r="AE57" s="25">
        <v>57.578128736208946</v>
      </c>
      <c r="AF57" s="25">
        <v>146.301262182264</v>
      </c>
      <c r="AG57" s="25">
        <v>33.303140250125658</v>
      </c>
      <c r="AH57" s="25">
        <v>115.729047456459</v>
      </c>
      <c r="AI57" s="25">
        <v>112.15544866816481</v>
      </c>
      <c r="AJ57" s="25">
        <v>84.579515697068715</v>
      </c>
      <c r="AK57" s="25">
        <v>210.10910413450665</v>
      </c>
      <c r="AL57" s="25">
        <v>92.81491084604329</v>
      </c>
      <c r="AM57" s="25">
        <v>69.413079918143765</v>
      </c>
      <c r="AN57" s="25">
        <v>44.510514192529314</v>
      </c>
      <c r="AO57" s="25">
        <v>82.030390631206998</v>
      </c>
      <c r="AP57" s="25">
        <v>53.462758137576323</v>
      </c>
      <c r="AQ57" s="25">
        <v>111.47479007738856</v>
      </c>
      <c r="AR57" s="25">
        <v>18.20950823232435</v>
      </c>
      <c r="AS57" s="25">
        <v>13.046433123975129</v>
      </c>
      <c r="AT57" s="25">
        <v>33.053968069323808</v>
      </c>
      <c r="AU57" s="25">
        <v>9.7735635946774817</v>
      </c>
      <c r="AV57" s="25">
        <v>701.0105264509159</v>
      </c>
      <c r="AW57" s="25">
        <v>259.87589815154803</v>
      </c>
      <c r="AX57" s="25">
        <v>2207.8944152886243</v>
      </c>
      <c r="AY57" s="40">
        <v>143.84622313269489</v>
      </c>
      <c r="AZ57" s="25">
        <v>3.2071102550848822</v>
      </c>
      <c r="BA57" s="25">
        <v>48.46961589671853</v>
      </c>
      <c r="BB57" s="25">
        <v>154.51379073081534</v>
      </c>
      <c r="BC57" s="25">
        <v>1.4376490191730635</v>
      </c>
      <c r="BD57" s="25">
        <v>31.326821418496454</v>
      </c>
      <c r="BE57" s="25">
        <v>41.951638028711251</v>
      </c>
      <c r="BF57" s="25">
        <v>100.1945395103802</v>
      </c>
      <c r="BG57" s="25">
        <v>64.727150329350081</v>
      </c>
      <c r="BH57" s="25">
        <v>375.71861868480795</v>
      </c>
      <c r="BI57" s="25">
        <v>679.87963362726805</v>
      </c>
      <c r="BJ57" s="25">
        <v>43.252992669439386</v>
      </c>
      <c r="BK57" s="25">
        <v>239.44119742959046</v>
      </c>
      <c r="BL57" s="25">
        <v>184.68858197646082</v>
      </c>
      <c r="BM57" s="25">
        <v>108.1845177176971</v>
      </c>
      <c r="BN57" s="25">
        <v>103.5002900171001</v>
      </c>
      <c r="BO57" s="25">
        <v>118.54613348883626</v>
      </c>
      <c r="BP57" s="25">
        <v>29.531699344222481</v>
      </c>
      <c r="BQ57" s="25">
        <v>1383.4049461425404</v>
      </c>
      <c r="BR57" s="25">
        <v>155.66127396500133</v>
      </c>
      <c r="BS57" s="25">
        <v>255.27052038774477</v>
      </c>
      <c r="BT57" s="25">
        <v>224.24028635002691</v>
      </c>
      <c r="BU57" s="25">
        <v>4.831271841991799</v>
      </c>
      <c r="BV57" s="25">
        <v>96.513917184275584</v>
      </c>
      <c r="BW57" s="25">
        <v>4241.445451017602</v>
      </c>
      <c r="BX57" s="25">
        <v>0</v>
      </c>
      <c r="BY57" s="72">
        <f t="shared" si="1"/>
        <v>14751.177452945849</v>
      </c>
      <c r="BZ57" s="25">
        <v>6880.209336048214</v>
      </c>
      <c r="CA57" s="25">
        <v>0.24925654779688283</v>
      </c>
      <c r="CB57" s="25">
        <v>0</v>
      </c>
      <c r="CC57" s="25">
        <v>6148.9937125620991</v>
      </c>
      <c r="CD57" s="25">
        <v>6.3702419016962235</v>
      </c>
      <c r="CE57" s="25">
        <v>0</v>
      </c>
      <c r="CF57" s="25">
        <v>13035.822547059804</v>
      </c>
      <c r="CG57" s="25">
        <v>27787</v>
      </c>
      <c r="CH57"/>
      <c r="CI57">
        <f t="shared" si="0"/>
        <v>0.46913385925288098</v>
      </c>
      <c r="CJ57"/>
      <c r="CK57"/>
      <c r="CL57"/>
      <c r="CM57"/>
      <c r="CN57"/>
      <c r="CO57"/>
      <c r="CP57"/>
      <c r="CQ57"/>
      <c r="CR57"/>
      <c r="CS57"/>
      <c r="CT57"/>
      <c r="CU57"/>
    </row>
    <row r="58" spans="1:99" s="5" customFormat="1" x14ac:dyDescent="0.3">
      <c r="A58" s="35" t="s">
        <v>62</v>
      </c>
      <c r="B58" s="11" t="s">
        <v>136</v>
      </c>
      <c r="C58" s="5">
        <v>53</v>
      </c>
      <c r="D58" s="25">
        <v>5.7119932735848611</v>
      </c>
      <c r="E58" s="25">
        <v>1.4331555606058743</v>
      </c>
      <c r="F58" s="25">
        <v>2.3233255211820136</v>
      </c>
      <c r="G58" s="25">
        <v>2.347896864613694</v>
      </c>
      <c r="H58" s="25">
        <v>283.53170987077993</v>
      </c>
      <c r="I58" s="25">
        <v>12.248523266194535</v>
      </c>
      <c r="J58" s="25">
        <v>7.5612080659865466</v>
      </c>
      <c r="K58" s="25">
        <v>11.132710380226914</v>
      </c>
      <c r="L58" s="25">
        <v>2.699068888044085</v>
      </c>
      <c r="M58" s="25">
        <v>142.84797368956083</v>
      </c>
      <c r="N58" s="25">
        <v>4.3215952222837561</v>
      </c>
      <c r="O58" s="25">
        <v>0.62829077831660807</v>
      </c>
      <c r="P58" s="25">
        <v>10.940055490937596</v>
      </c>
      <c r="Q58" s="25">
        <v>5.0451783118353903</v>
      </c>
      <c r="R58" s="25">
        <v>1.5443919100336991</v>
      </c>
      <c r="S58" s="25">
        <v>1.3941140877125768</v>
      </c>
      <c r="T58" s="25">
        <v>10.376542611336134</v>
      </c>
      <c r="U58" s="25">
        <v>13.041173943425179</v>
      </c>
      <c r="V58" s="25">
        <v>6.3176786733876149</v>
      </c>
      <c r="W58" s="25">
        <v>0.16201830554363614</v>
      </c>
      <c r="X58" s="25">
        <v>1.0352428141943415E-3</v>
      </c>
      <c r="Y58" s="25">
        <v>3.477555211943594</v>
      </c>
      <c r="Z58" s="25">
        <v>101.34716896151355</v>
      </c>
      <c r="AA58" s="25">
        <v>120.55989439740378</v>
      </c>
      <c r="AB58" s="25">
        <v>2.8213971837212117</v>
      </c>
      <c r="AC58" s="25">
        <v>277.56402506414582</v>
      </c>
      <c r="AD58" s="25">
        <v>19.001141502228066</v>
      </c>
      <c r="AE58" s="25">
        <v>3.8044545382215311</v>
      </c>
      <c r="AF58" s="25">
        <v>34.642971176702112</v>
      </c>
      <c r="AG58" s="25">
        <v>59.37071991650479</v>
      </c>
      <c r="AH58" s="25">
        <v>29.351325738963634</v>
      </c>
      <c r="AI58" s="25">
        <v>6.3299634959740887</v>
      </c>
      <c r="AJ58" s="25">
        <v>2.7023425081903838</v>
      </c>
      <c r="AK58" s="25">
        <v>96.737355014011698</v>
      </c>
      <c r="AL58" s="25">
        <v>401.0511018513044</v>
      </c>
      <c r="AM58" s="25">
        <v>17.727465690797683</v>
      </c>
      <c r="AN58" s="25">
        <v>3.8891572364784723</v>
      </c>
      <c r="AO58" s="25">
        <v>3.4957758393728264</v>
      </c>
      <c r="AP58" s="25">
        <v>91.2304217083514</v>
      </c>
      <c r="AQ58" s="25">
        <v>196.26756790793888</v>
      </c>
      <c r="AR58" s="25">
        <v>32.060485523917798</v>
      </c>
      <c r="AS58" s="25">
        <v>22.97014147627948</v>
      </c>
      <c r="AT58" s="25">
        <v>56.486009004530274</v>
      </c>
      <c r="AU58" s="25">
        <v>12.381419761657984</v>
      </c>
      <c r="AV58" s="25">
        <v>28.155344045088931</v>
      </c>
      <c r="AW58" s="25">
        <v>166.75301266337561</v>
      </c>
      <c r="AX58" s="25">
        <v>845.30466811454164</v>
      </c>
      <c r="AY58" s="40">
        <v>43.108678152778765</v>
      </c>
      <c r="AZ58" s="25">
        <v>6.6604751236730477</v>
      </c>
      <c r="BA58" s="25">
        <v>789.18576729284098</v>
      </c>
      <c r="BB58" s="25">
        <v>60.95671091984584</v>
      </c>
      <c r="BC58" s="25">
        <v>246.79012356927458</v>
      </c>
      <c r="BD58" s="25">
        <v>43.246198133561975</v>
      </c>
      <c r="BE58" s="25">
        <v>4.916015595987993</v>
      </c>
      <c r="BF58" s="25">
        <v>676.29798457555387</v>
      </c>
      <c r="BG58" s="25">
        <v>82.536731008727145</v>
      </c>
      <c r="BH58" s="25">
        <v>45.198176938507501</v>
      </c>
      <c r="BI58" s="25">
        <v>2652.6170622015643</v>
      </c>
      <c r="BJ58" s="25">
        <v>76.064863973035742</v>
      </c>
      <c r="BK58" s="25">
        <v>1420.0686317556774</v>
      </c>
      <c r="BL58" s="25">
        <v>10.699210170689003</v>
      </c>
      <c r="BM58" s="25">
        <v>244.56918146234131</v>
      </c>
      <c r="BN58" s="25">
        <v>16.8016652905619</v>
      </c>
      <c r="BO58" s="25">
        <v>1589.0943610225627</v>
      </c>
      <c r="BP58" s="25">
        <v>6.7428345471960593</v>
      </c>
      <c r="BQ58" s="25">
        <v>10034.803579670324</v>
      </c>
      <c r="BR58" s="25">
        <v>1761.0156824189401</v>
      </c>
      <c r="BS58" s="25">
        <v>264.58281386664521</v>
      </c>
      <c r="BT58" s="25">
        <v>4477.6520204477038</v>
      </c>
      <c r="BU58" s="25">
        <v>4109.6975460689673</v>
      </c>
      <c r="BV58" s="25">
        <v>62.948878005696599</v>
      </c>
      <c r="BW58" s="25">
        <v>8593.9851075231836</v>
      </c>
      <c r="BX58" s="25">
        <v>0</v>
      </c>
      <c r="BY58" s="72">
        <f t="shared" si="1"/>
        <v>40481.332825227408</v>
      </c>
      <c r="BZ58" s="25">
        <v>5122.7291598456031</v>
      </c>
      <c r="CA58" s="25">
        <v>0.21106401224736046</v>
      </c>
      <c r="CB58" s="25">
        <v>0</v>
      </c>
      <c r="CC58" s="25">
        <v>231328.33279449592</v>
      </c>
      <c r="CD58" s="25">
        <v>5.3941564490169629</v>
      </c>
      <c r="CE58" s="25">
        <v>0</v>
      </c>
      <c r="CF58" s="25">
        <v>236456.66717480277</v>
      </c>
      <c r="CG58" s="25">
        <v>276938</v>
      </c>
      <c r="CH58"/>
      <c r="CI58">
        <f t="shared" si="0"/>
        <v>0.85382528643524103</v>
      </c>
      <c r="CJ58"/>
      <c r="CK58"/>
      <c r="CL58"/>
      <c r="CM58"/>
      <c r="CN58"/>
      <c r="CO58"/>
      <c r="CP58"/>
      <c r="CQ58"/>
      <c r="CR58"/>
      <c r="CS58"/>
      <c r="CT58"/>
      <c r="CU58"/>
    </row>
    <row r="59" spans="1:99" s="5" customFormat="1" x14ac:dyDescent="0.3">
      <c r="A59" s="35" t="s">
        <v>63</v>
      </c>
      <c r="B59" s="11" t="s">
        <v>137</v>
      </c>
      <c r="C59" s="5">
        <v>54</v>
      </c>
      <c r="D59" s="25">
        <v>2.0258132149867252</v>
      </c>
      <c r="E59" s="25">
        <v>0.91149838588941379</v>
      </c>
      <c r="F59" s="25">
        <v>0.1822430209748187</v>
      </c>
      <c r="G59" s="25">
        <v>8.6837528400186562E-2</v>
      </c>
      <c r="H59" s="25">
        <v>1.1233094123965901</v>
      </c>
      <c r="I59" s="25">
        <v>0.96245542282347751</v>
      </c>
      <c r="J59" s="25">
        <v>0.24641011305250751</v>
      </c>
      <c r="K59" s="25">
        <v>5.8841823162726774</v>
      </c>
      <c r="L59" s="25">
        <v>0.69258435348848013</v>
      </c>
      <c r="M59" s="25">
        <v>6.4348791007019921</v>
      </c>
      <c r="N59" s="25">
        <v>10.596533914261132</v>
      </c>
      <c r="O59" s="25">
        <v>0.233236784716363</v>
      </c>
      <c r="P59" s="25">
        <v>1.2834554785248247</v>
      </c>
      <c r="Q59" s="25">
        <v>1.4841893026128259</v>
      </c>
      <c r="R59" s="25">
        <v>0.81508008565592727</v>
      </c>
      <c r="S59" s="25">
        <v>1.1191412446894213</v>
      </c>
      <c r="T59" s="25">
        <v>6.5122798659269021</v>
      </c>
      <c r="U59" s="25">
        <v>45.700343912602541</v>
      </c>
      <c r="V59" s="25">
        <v>2.2185371103076563</v>
      </c>
      <c r="W59" s="25">
        <v>5.6895360991163262E-2</v>
      </c>
      <c r="X59" s="25">
        <v>3.8196834771031475E-4</v>
      </c>
      <c r="Y59" s="25">
        <v>0.78824225214414634</v>
      </c>
      <c r="Z59" s="25">
        <v>121.28068740323424</v>
      </c>
      <c r="AA59" s="25">
        <v>1.5730779879621539</v>
      </c>
      <c r="AB59" s="25">
        <v>0.60857889989279024</v>
      </c>
      <c r="AC59" s="25">
        <v>1.21478178808615</v>
      </c>
      <c r="AD59" s="25">
        <v>2.3424463338117487</v>
      </c>
      <c r="AE59" s="25">
        <v>1.1009232019463009</v>
      </c>
      <c r="AF59" s="25">
        <v>1.7264799436406693</v>
      </c>
      <c r="AG59" s="25">
        <v>0.52027498405020067</v>
      </c>
      <c r="AH59" s="25">
        <v>1.7508633322688381</v>
      </c>
      <c r="AI59" s="25">
        <v>9.7763993432559619</v>
      </c>
      <c r="AJ59" s="25">
        <v>1.1422225232476197</v>
      </c>
      <c r="AK59" s="25">
        <v>2.1106986045670366</v>
      </c>
      <c r="AL59" s="25">
        <v>1.6438696962854227</v>
      </c>
      <c r="AM59" s="25">
        <v>3.7261301883896647</v>
      </c>
      <c r="AN59" s="25">
        <v>0.41958233630724334</v>
      </c>
      <c r="AO59" s="25">
        <v>1.9487136635978644</v>
      </c>
      <c r="AP59" s="25">
        <v>13.555992238427523</v>
      </c>
      <c r="AQ59" s="25">
        <v>60.779443523597919</v>
      </c>
      <c r="AR59" s="25">
        <v>9.9283773167969773</v>
      </c>
      <c r="AS59" s="25">
        <v>7.1133118500833632</v>
      </c>
      <c r="AT59" s="25">
        <v>18.017854697654155</v>
      </c>
      <c r="AU59" s="25">
        <v>5.1970877260274131</v>
      </c>
      <c r="AV59" s="25">
        <v>5.462842999503466</v>
      </c>
      <c r="AW59" s="25">
        <v>8.6483781874724102</v>
      </c>
      <c r="AX59" s="25">
        <v>546.41530252215944</v>
      </c>
      <c r="AY59" s="40">
        <v>4.7530342397125187</v>
      </c>
      <c r="AZ59" s="25">
        <v>0.14129981457110569</v>
      </c>
      <c r="BA59" s="25">
        <v>1.7442844113978919</v>
      </c>
      <c r="BB59" s="25">
        <v>5.8243706003479288</v>
      </c>
      <c r="BC59" s="25">
        <v>49.678506678278808</v>
      </c>
      <c r="BD59" s="25">
        <v>11.823150216683201</v>
      </c>
      <c r="BE59" s="25">
        <v>66.255003652261479</v>
      </c>
      <c r="BF59" s="25">
        <v>11.912114357984734</v>
      </c>
      <c r="BG59" s="25">
        <v>116.15928233582866</v>
      </c>
      <c r="BH59" s="25">
        <v>27.293283348842138</v>
      </c>
      <c r="BI59" s="25">
        <v>1117.0738257166572</v>
      </c>
      <c r="BJ59" s="25">
        <v>50.80409460818364</v>
      </c>
      <c r="BK59" s="25">
        <v>261.00112658909984</v>
      </c>
      <c r="BL59" s="25">
        <v>105.7901066333506</v>
      </c>
      <c r="BM59" s="25">
        <v>1522.6839540381463</v>
      </c>
      <c r="BN59" s="25">
        <v>19.496104513616036</v>
      </c>
      <c r="BO59" s="25">
        <v>65.060908493551835</v>
      </c>
      <c r="BP59" s="25">
        <v>0.41834075070169691</v>
      </c>
      <c r="BQ59" s="25">
        <v>861.45928642045214</v>
      </c>
      <c r="BR59" s="25">
        <v>2152.4843865835683</v>
      </c>
      <c r="BS59" s="25">
        <v>1193.0430377192133</v>
      </c>
      <c r="BT59" s="25">
        <v>29.877389256922896</v>
      </c>
      <c r="BU59" s="25">
        <v>116.80605127803531</v>
      </c>
      <c r="BV59" s="25">
        <v>18.994663529403145</v>
      </c>
      <c r="BW59" s="25">
        <v>125.85249391933657</v>
      </c>
      <c r="BX59" s="25">
        <v>0</v>
      </c>
      <c r="BY59" s="72">
        <f t="shared" si="1"/>
        <v>8853.7929511481816</v>
      </c>
      <c r="BZ59" s="25">
        <v>788.70625769899766</v>
      </c>
      <c r="CA59" s="25">
        <v>0.18694241084766214</v>
      </c>
      <c r="CB59" s="25">
        <v>0</v>
      </c>
      <c r="CC59" s="25">
        <v>8410.8482348965717</v>
      </c>
      <c r="CD59" s="25">
        <v>25.38590928757036</v>
      </c>
      <c r="CE59" s="25">
        <v>-175.92029543528432</v>
      </c>
      <c r="CF59" s="25">
        <v>9049.2070488587051</v>
      </c>
      <c r="CG59" s="25">
        <v>17903</v>
      </c>
      <c r="CH59"/>
      <c r="CI59">
        <f t="shared" si="0"/>
        <v>0.50545757967149108</v>
      </c>
      <c r="CJ59"/>
      <c r="CK59"/>
      <c r="CL59"/>
      <c r="CM59"/>
      <c r="CN59"/>
      <c r="CO59"/>
      <c r="CP59"/>
      <c r="CQ59"/>
      <c r="CR59"/>
      <c r="CS59"/>
      <c r="CT59"/>
      <c r="CU59"/>
    </row>
    <row r="60" spans="1:99" s="5" customFormat="1" x14ac:dyDescent="0.3">
      <c r="A60" s="35" t="s">
        <v>64</v>
      </c>
      <c r="B60" s="11" t="s">
        <v>138</v>
      </c>
      <c r="C60" s="5">
        <v>55</v>
      </c>
      <c r="D60" s="25">
        <v>1.4623936840894449</v>
      </c>
      <c r="E60" s="25">
        <v>0.74959420751684103</v>
      </c>
      <c r="F60" s="25">
        <v>6.8320076448985578E-2</v>
      </c>
      <c r="G60" s="25">
        <v>5.2242622594728699E-2</v>
      </c>
      <c r="H60" s="25">
        <v>0.44620480116524386</v>
      </c>
      <c r="I60" s="25">
        <v>0.21020320123129194</v>
      </c>
      <c r="J60" s="25">
        <v>5.4978499854368784E-2</v>
      </c>
      <c r="K60" s="25">
        <v>2.4564688066523765</v>
      </c>
      <c r="L60" s="25">
        <v>8.2689809930710387E-2</v>
      </c>
      <c r="M60" s="25">
        <v>2.3987122170862167</v>
      </c>
      <c r="N60" s="25">
        <v>0.45741897910085544</v>
      </c>
      <c r="O60" s="25">
        <v>0.17031789499433475</v>
      </c>
      <c r="P60" s="25">
        <v>0.44932796357389115</v>
      </c>
      <c r="Q60" s="25">
        <v>0.59337073298647591</v>
      </c>
      <c r="R60" s="25">
        <v>0.43556960979208392</v>
      </c>
      <c r="S60" s="25">
        <v>0.18500157520996946</v>
      </c>
      <c r="T60" s="25">
        <v>0.59992882725414964</v>
      </c>
      <c r="U60" s="25">
        <v>0.12323921035776123</v>
      </c>
      <c r="V60" s="25">
        <v>1.5341917133547167</v>
      </c>
      <c r="W60" s="25">
        <v>3.934469520013345E-2</v>
      </c>
      <c r="X60" s="25">
        <v>2.5139945048761577E-4</v>
      </c>
      <c r="Y60" s="25">
        <v>0.17409640432525381</v>
      </c>
      <c r="Z60" s="25">
        <v>0.78391528750776462</v>
      </c>
      <c r="AA60" s="25">
        <v>0.48273775138454528</v>
      </c>
      <c r="AB60" s="25">
        <v>0.33535901626304171</v>
      </c>
      <c r="AC60" s="25">
        <v>0.39313732829697673</v>
      </c>
      <c r="AD60" s="25">
        <v>0.78057684119533766</v>
      </c>
      <c r="AE60" s="25">
        <v>0.50300547888907288</v>
      </c>
      <c r="AF60" s="25">
        <v>0.57894524481941168</v>
      </c>
      <c r="AG60" s="25">
        <v>0.34079801136237703</v>
      </c>
      <c r="AH60" s="25">
        <v>0.58084694911215107</v>
      </c>
      <c r="AI60" s="25">
        <v>0.86508674310725708</v>
      </c>
      <c r="AJ60" s="25">
        <v>0.53800500638230953</v>
      </c>
      <c r="AK60" s="25">
        <v>0.95309495601876537</v>
      </c>
      <c r="AL60" s="25">
        <v>0.42722378206188683</v>
      </c>
      <c r="AM60" s="25">
        <v>0.41364234608035422</v>
      </c>
      <c r="AN60" s="25">
        <v>0.13424463392557376</v>
      </c>
      <c r="AO60" s="25">
        <v>0.54666389318098263</v>
      </c>
      <c r="AP60" s="25">
        <v>0.47352151811536686</v>
      </c>
      <c r="AQ60" s="25">
        <v>0.44168181465374001</v>
      </c>
      <c r="AR60" s="25">
        <v>7.2149125685024573E-2</v>
      </c>
      <c r="AS60" s="25">
        <v>5.1692156163340747E-2</v>
      </c>
      <c r="AT60" s="25">
        <v>2.9764373500110811E-2</v>
      </c>
      <c r="AU60" s="25">
        <v>0.15822930078479941</v>
      </c>
      <c r="AV60" s="25">
        <v>2.5908657861780524</v>
      </c>
      <c r="AW60" s="25">
        <v>0.92628260906895366</v>
      </c>
      <c r="AX60" s="25">
        <v>10.199374782515363</v>
      </c>
      <c r="AY60" s="40">
        <v>2.0504121453923929</v>
      </c>
      <c r="AZ60" s="25">
        <v>3.5482508774162633E-2</v>
      </c>
      <c r="BA60" s="25">
        <v>9.960429344692634E-2</v>
      </c>
      <c r="BB60" s="25">
        <v>0.69255754942542536</v>
      </c>
      <c r="BC60" s="25">
        <v>4.1351881908847616</v>
      </c>
      <c r="BD60" s="25">
        <v>2.9238603519814714</v>
      </c>
      <c r="BE60" s="25">
        <v>9.6079550360328785</v>
      </c>
      <c r="BF60" s="25">
        <v>5381.713715310616</v>
      </c>
      <c r="BG60" s="25">
        <v>4752.774157203743</v>
      </c>
      <c r="BH60" s="25">
        <v>1.5258283561737078</v>
      </c>
      <c r="BI60" s="25">
        <v>3.262742418281535</v>
      </c>
      <c r="BJ60" s="25">
        <v>0.61568536858566381</v>
      </c>
      <c r="BK60" s="25">
        <v>1.301696306945773</v>
      </c>
      <c r="BL60" s="25">
        <v>0.29090175905228749</v>
      </c>
      <c r="BM60" s="25">
        <v>30979.524346272967</v>
      </c>
      <c r="BN60" s="25">
        <v>0.30813851130669717</v>
      </c>
      <c r="BO60" s="25">
        <v>33.35351992575854</v>
      </c>
      <c r="BP60" s="25">
        <v>2.9272783452186357</v>
      </c>
      <c r="BQ60" s="25">
        <v>1.0633686017038397</v>
      </c>
      <c r="BR60" s="25">
        <v>0.49285669538811927</v>
      </c>
      <c r="BS60" s="25">
        <v>1.1412072610311279</v>
      </c>
      <c r="BT60" s="25">
        <v>0.56259615802322094</v>
      </c>
      <c r="BU60" s="25">
        <v>1.8677590433415223</v>
      </c>
      <c r="BV60" s="25">
        <v>122.96938165559818</v>
      </c>
      <c r="BW60" s="25">
        <v>1.1216462773531788</v>
      </c>
      <c r="BX60" s="25">
        <v>0</v>
      </c>
      <c r="BY60" s="72">
        <f t="shared" si="1"/>
        <v>41342.706597215445</v>
      </c>
      <c r="BZ60" s="25">
        <v>601.25605731477049</v>
      </c>
      <c r="CA60" s="25">
        <v>0.15478027564806435</v>
      </c>
      <c r="CB60" s="25">
        <v>0</v>
      </c>
      <c r="CC60" s="25">
        <v>1925.9268504660065</v>
      </c>
      <c r="CD60" s="25">
        <v>3.9557147292791064</v>
      </c>
      <c r="CE60" s="25">
        <v>0</v>
      </c>
      <c r="CF60" s="25">
        <v>2531.2934027857045</v>
      </c>
      <c r="CG60" s="25">
        <v>43874</v>
      </c>
      <c r="CH60"/>
      <c r="CI60">
        <f t="shared" si="0"/>
        <v>5.7694611906498258E-2</v>
      </c>
      <c r="CJ60"/>
      <c r="CK60"/>
      <c r="CL60"/>
      <c r="CM60"/>
      <c r="CN60"/>
      <c r="CO60"/>
      <c r="CP60"/>
      <c r="CQ60"/>
      <c r="CR60"/>
      <c r="CS60"/>
      <c r="CT60"/>
      <c r="CU60"/>
    </row>
    <row r="61" spans="1:99" s="5" customFormat="1" x14ac:dyDescent="0.3">
      <c r="A61" s="35" t="s">
        <v>65</v>
      </c>
      <c r="B61" s="11" t="s">
        <v>139</v>
      </c>
      <c r="C61" s="5">
        <v>56</v>
      </c>
      <c r="D61" s="25">
        <v>16.095394153161944</v>
      </c>
      <c r="E61" s="25">
        <v>8.1882034910178749</v>
      </c>
      <c r="F61" s="25">
        <v>6.7764694878306342</v>
      </c>
      <c r="G61" s="25">
        <v>23.844407690864713</v>
      </c>
      <c r="H61" s="25">
        <v>652.40866885198704</v>
      </c>
      <c r="I61" s="25">
        <v>96.569418871452896</v>
      </c>
      <c r="J61" s="25">
        <v>21.508600951986914</v>
      </c>
      <c r="K61" s="25">
        <v>649.00720235094684</v>
      </c>
      <c r="L61" s="25">
        <v>121.70130252143487</v>
      </c>
      <c r="M61" s="25">
        <v>1204.8444794955258</v>
      </c>
      <c r="N61" s="25">
        <v>308.95515704815602</v>
      </c>
      <c r="O61" s="25">
        <v>13.943432718020063</v>
      </c>
      <c r="P61" s="25">
        <v>168.84066419224717</v>
      </c>
      <c r="Q61" s="25">
        <v>424.00173967069503</v>
      </c>
      <c r="R61" s="25">
        <v>140.25247036372838</v>
      </c>
      <c r="S61" s="25">
        <v>89.021644706421668</v>
      </c>
      <c r="T61" s="25">
        <v>337.68279629567581</v>
      </c>
      <c r="U61" s="25">
        <v>241.63111814568936</v>
      </c>
      <c r="V61" s="25">
        <v>193.08726778347003</v>
      </c>
      <c r="W61" s="25">
        <v>4.9517668697058719</v>
      </c>
      <c r="X61" s="25">
        <v>3.1640135058985414E-2</v>
      </c>
      <c r="Y61" s="25">
        <v>122.25364147509148</v>
      </c>
      <c r="Z61" s="25">
        <v>248.15978265308127</v>
      </c>
      <c r="AA61" s="25">
        <v>227.37705321043117</v>
      </c>
      <c r="AB61" s="25">
        <v>27.927794598186544</v>
      </c>
      <c r="AC61" s="25">
        <v>214.84180673116987</v>
      </c>
      <c r="AD61" s="25">
        <v>300.51242398043337</v>
      </c>
      <c r="AE61" s="25">
        <v>332.19137837964087</v>
      </c>
      <c r="AF61" s="25">
        <v>174.76699851017469</v>
      </c>
      <c r="AG61" s="25">
        <v>62.175480092054336</v>
      </c>
      <c r="AH61" s="25">
        <v>298.17345964792634</v>
      </c>
      <c r="AI61" s="25">
        <v>718.89968021904997</v>
      </c>
      <c r="AJ61" s="25">
        <v>350.56179704849018</v>
      </c>
      <c r="AK61" s="25">
        <v>359.04944895342072</v>
      </c>
      <c r="AL61" s="25">
        <v>1101.7208063331718</v>
      </c>
      <c r="AM61" s="25">
        <v>1104.5691831587555</v>
      </c>
      <c r="AN61" s="25">
        <v>123.1056115251104</v>
      </c>
      <c r="AO61" s="25">
        <v>380.86497118253624</v>
      </c>
      <c r="AP61" s="25">
        <v>108.3633217234439</v>
      </c>
      <c r="AQ61" s="25">
        <v>306.81574180255535</v>
      </c>
      <c r="AR61" s="25">
        <v>50.118630160969374</v>
      </c>
      <c r="AS61" s="25">
        <v>35.908128232679161</v>
      </c>
      <c r="AT61" s="25">
        <v>20.6759210629581</v>
      </c>
      <c r="AU61" s="25">
        <v>153.34863179159547</v>
      </c>
      <c r="AV61" s="25">
        <v>897.56288759480742</v>
      </c>
      <c r="AW61" s="25">
        <v>933.65266393600314</v>
      </c>
      <c r="AX61" s="25">
        <v>5911.7444429114339</v>
      </c>
      <c r="AY61" s="40">
        <v>828.5013731770631</v>
      </c>
      <c r="AZ61" s="25">
        <v>29.106145415253007</v>
      </c>
      <c r="BA61" s="25">
        <v>53.795880817354956</v>
      </c>
      <c r="BB61" s="25">
        <v>707.67379578570581</v>
      </c>
      <c r="BC61" s="25">
        <v>209.13638542857552</v>
      </c>
      <c r="BD61" s="25">
        <v>680.30335063822633</v>
      </c>
      <c r="BE61" s="25">
        <v>85.316471310573164</v>
      </c>
      <c r="BF61" s="25">
        <v>268.18291236428001</v>
      </c>
      <c r="BG61" s="25">
        <v>17663.068469250476</v>
      </c>
      <c r="BH61" s="25">
        <v>1509.9743635627997</v>
      </c>
      <c r="BI61" s="25">
        <v>7005.6622339306641</v>
      </c>
      <c r="BJ61" s="25">
        <v>516.45216878376425</v>
      </c>
      <c r="BK61" s="25">
        <v>2346.2453974211521</v>
      </c>
      <c r="BL61" s="25">
        <v>307.50402440826031</v>
      </c>
      <c r="BM61" s="25">
        <v>2111.8393730889734</v>
      </c>
      <c r="BN61" s="25">
        <v>107.61295726615778</v>
      </c>
      <c r="BO61" s="25">
        <v>1663.4056929905148</v>
      </c>
      <c r="BP61" s="25">
        <v>236.40062885837148</v>
      </c>
      <c r="BQ61" s="25">
        <v>4486.4823165761836</v>
      </c>
      <c r="BR61" s="25">
        <v>834.69827706691672</v>
      </c>
      <c r="BS61" s="25">
        <v>1159.8556294594989</v>
      </c>
      <c r="BT61" s="25">
        <v>376.67354478307169</v>
      </c>
      <c r="BU61" s="25">
        <v>1044.0377959837992</v>
      </c>
      <c r="BV61" s="25">
        <v>214.00008386922875</v>
      </c>
      <c r="BW61" s="25">
        <v>1459.6282737187817</v>
      </c>
      <c r="BX61" s="25">
        <v>0</v>
      </c>
      <c r="BY61" s="72">
        <f t="shared" si="1"/>
        <v>65194.243078665888</v>
      </c>
      <c r="BZ61" s="25">
        <v>1877.6632270372982</v>
      </c>
      <c r="CA61" s="25">
        <v>1.2080902034348919</v>
      </c>
      <c r="CB61" s="25">
        <v>0</v>
      </c>
      <c r="CC61" s="25">
        <v>99402.1889032771</v>
      </c>
      <c r="CD61" s="25">
        <v>403.69670081928729</v>
      </c>
      <c r="CE61" s="25">
        <v>0</v>
      </c>
      <c r="CF61" s="25">
        <v>101684.75692133712</v>
      </c>
      <c r="CG61" s="25">
        <v>166879</v>
      </c>
      <c r="CH61"/>
      <c r="CI61">
        <f t="shared" si="0"/>
        <v>0.6093322522386706</v>
      </c>
      <c r="CJ61"/>
      <c r="CK61"/>
      <c r="CL61"/>
      <c r="CM61"/>
      <c r="CN61"/>
      <c r="CO61"/>
      <c r="CP61"/>
      <c r="CQ61"/>
      <c r="CR61"/>
      <c r="CS61"/>
      <c r="CT61"/>
      <c r="CU61"/>
    </row>
    <row r="62" spans="1:99" s="5" customFormat="1" x14ac:dyDescent="0.3">
      <c r="A62" s="35" t="s">
        <v>66</v>
      </c>
      <c r="B62" s="11" t="s">
        <v>140</v>
      </c>
      <c r="C62" s="5">
        <v>57</v>
      </c>
      <c r="D62" s="25">
        <v>38.728256353026197</v>
      </c>
      <c r="E62" s="25">
        <v>19.623890088850146</v>
      </c>
      <c r="F62" s="25">
        <v>1.7845164544971936</v>
      </c>
      <c r="G62" s="25">
        <v>1.6246711609089481</v>
      </c>
      <c r="H62" s="25">
        <v>62.83360492559887</v>
      </c>
      <c r="I62" s="25">
        <v>325.52937927100385</v>
      </c>
      <c r="J62" s="25">
        <v>32.157036189811031</v>
      </c>
      <c r="K62" s="25">
        <v>572.69611490078648</v>
      </c>
      <c r="L62" s="25">
        <v>13.936163515011824</v>
      </c>
      <c r="M62" s="25">
        <v>988.09711363429676</v>
      </c>
      <c r="N62" s="25">
        <v>80.711040888771251</v>
      </c>
      <c r="O62" s="25">
        <v>34.102023776982904</v>
      </c>
      <c r="P62" s="25">
        <v>43.84524496183181</v>
      </c>
      <c r="Q62" s="25">
        <v>54.641887062058103</v>
      </c>
      <c r="R62" s="25">
        <v>18.522191257457813</v>
      </c>
      <c r="S62" s="25">
        <v>16.423592180781757</v>
      </c>
      <c r="T62" s="25">
        <v>231.89467735719307</v>
      </c>
      <c r="U62" s="25">
        <v>4.3449913433617811</v>
      </c>
      <c r="V62" s="25">
        <v>67.015268949577163</v>
      </c>
      <c r="W62" s="25">
        <v>1.7186218043184394</v>
      </c>
      <c r="X62" s="25">
        <v>1.0981418841954195E-2</v>
      </c>
      <c r="Y62" s="25">
        <v>3.8632430637546182</v>
      </c>
      <c r="Z62" s="25">
        <v>398.49709219225417</v>
      </c>
      <c r="AA62" s="25">
        <v>256.29127837608087</v>
      </c>
      <c r="AB62" s="25">
        <v>28.507674842669076</v>
      </c>
      <c r="AC62" s="25">
        <v>445.72369258532217</v>
      </c>
      <c r="AD62" s="25">
        <v>165.08976778260086</v>
      </c>
      <c r="AE62" s="25">
        <v>90.365383280495251</v>
      </c>
      <c r="AF62" s="25">
        <v>212.02172640770348</v>
      </c>
      <c r="AG62" s="25">
        <v>37.230247315691351</v>
      </c>
      <c r="AH62" s="25">
        <v>117.79315570050633</v>
      </c>
      <c r="AI62" s="25">
        <v>216.72525779514413</v>
      </c>
      <c r="AJ62" s="25">
        <v>353.89937825485384</v>
      </c>
      <c r="AK62" s="25">
        <v>201.36635389025892</v>
      </c>
      <c r="AL62" s="25">
        <v>898.8604704715973</v>
      </c>
      <c r="AM62" s="25">
        <v>148.09881454280236</v>
      </c>
      <c r="AN62" s="25">
        <v>56.925881015558012</v>
      </c>
      <c r="AO62" s="25">
        <v>139.64198790949871</v>
      </c>
      <c r="AP62" s="25">
        <v>104.28166841144629</v>
      </c>
      <c r="AQ62" s="25">
        <v>1178.9423337780784</v>
      </c>
      <c r="AR62" s="25">
        <v>192.58130127416271</v>
      </c>
      <c r="AS62" s="25">
        <v>137.97731580369876</v>
      </c>
      <c r="AT62" s="25">
        <v>79.463750393803863</v>
      </c>
      <c r="AU62" s="25">
        <v>386.97546061087439</v>
      </c>
      <c r="AV62" s="25">
        <v>450.07065072931778</v>
      </c>
      <c r="AW62" s="25">
        <v>448.45671081407789</v>
      </c>
      <c r="AX62" s="25">
        <v>9249.1320622787753</v>
      </c>
      <c r="AY62" s="40">
        <v>950.631560981608</v>
      </c>
      <c r="AZ62" s="25">
        <v>1.3063107684784032</v>
      </c>
      <c r="BA62" s="25">
        <v>728.46924818059244</v>
      </c>
      <c r="BB62" s="25">
        <v>1386.1741189130844</v>
      </c>
      <c r="BC62" s="25">
        <v>77.741748066025139</v>
      </c>
      <c r="BD62" s="25">
        <v>144.72223065325733</v>
      </c>
      <c r="BE62" s="25">
        <v>432.95244089647503</v>
      </c>
      <c r="BF62" s="25">
        <v>1134.1664620907934</v>
      </c>
      <c r="BG62" s="25">
        <v>3003.669536936146</v>
      </c>
      <c r="BH62" s="25">
        <v>10878.656025888309</v>
      </c>
      <c r="BI62" s="25">
        <v>15800.579762554977</v>
      </c>
      <c r="BJ62" s="25">
        <v>374.86157953550168</v>
      </c>
      <c r="BK62" s="25">
        <v>2785.733315785762</v>
      </c>
      <c r="BL62" s="25">
        <v>60.919595416456183</v>
      </c>
      <c r="BM62" s="25">
        <v>8243.9433594445964</v>
      </c>
      <c r="BN62" s="25">
        <v>406.71786948488955</v>
      </c>
      <c r="BO62" s="25">
        <v>1063.1863023875724</v>
      </c>
      <c r="BP62" s="25">
        <v>189.14503965930257</v>
      </c>
      <c r="BQ62" s="25">
        <v>11300.844400055425</v>
      </c>
      <c r="BR62" s="25">
        <v>1406.7020513370592</v>
      </c>
      <c r="BS62" s="25">
        <v>442.48724077401943</v>
      </c>
      <c r="BT62" s="25">
        <v>2218.1458266342102</v>
      </c>
      <c r="BU62" s="25">
        <v>24.347565770161836</v>
      </c>
      <c r="BV62" s="25">
        <v>173.94851766525323</v>
      </c>
      <c r="BW62" s="25">
        <v>1533.2824737564472</v>
      </c>
      <c r="BX62" s="25">
        <v>0</v>
      </c>
      <c r="BY62" s="72">
        <f t="shared" si="1"/>
        <v>83372.358510652411</v>
      </c>
      <c r="BZ62" s="25">
        <v>7680.9940767048547</v>
      </c>
      <c r="CA62" s="25">
        <v>2.1347617238733032</v>
      </c>
      <c r="CB62" s="25">
        <v>0</v>
      </c>
      <c r="CC62" s="25">
        <v>2709.5850052853557</v>
      </c>
      <c r="CD62" s="25">
        <v>73604.041317383584</v>
      </c>
      <c r="CE62" s="25">
        <v>40.886328261854104</v>
      </c>
      <c r="CF62" s="25">
        <v>84037.641489359507</v>
      </c>
      <c r="CG62" s="25">
        <v>167410</v>
      </c>
      <c r="CH62"/>
      <c r="CI62">
        <f t="shared" si="0"/>
        <v>0.50198698697425193</v>
      </c>
      <c r="CJ62"/>
      <c r="CK62"/>
      <c r="CL62"/>
      <c r="CM62"/>
      <c r="CN62"/>
      <c r="CO62"/>
      <c r="CP62"/>
      <c r="CQ62"/>
      <c r="CR62"/>
      <c r="CS62"/>
      <c r="CT62"/>
      <c r="CU62"/>
    </row>
    <row r="63" spans="1:99" s="5" customFormat="1" x14ac:dyDescent="0.3">
      <c r="A63" s="35" t="s">
        <v>67</v>
      </c>
      <c r="B63" s="13" t="s">
        <v>141</v>
      </c>
      <c r="C63" s="5">
        <v>58</v>
      </c>
      <c r="D63" s="25">
        <v>6602.3352820543769</v>
      </c>
      <c r="E63" s="25">
        <v>2359.416172989927</v>
      </c>
      <c r="F63" s="25">
        <v>582.05123161848223</v>
      </c>
      <c r="G63" s="25">
        <v>641.68060783197473</v>
      </c>
      <c r="H63" s="25">
        <v>4232.4863364409757</v>
      </c>
      <c r="I63" s="25">
        <v>1860.5817647822951</v>
      </c>
      <c r="J63" s="25">
        <v>575.34196988331621</v>
      </c>
      <c r="K63" s="25">
        <v>5796.4200030124593</v>
      </c>
      <c r="L63" s="25">
        <v>1719.6327803524207</v>
      </c>
      <c r="M63" s="25">
        <v>5838.5102103517693</v>
      </c>
      <c r="N63" s="25">
        <v>1514.6829725899984</v>
      </c>
      <c r="O63" s="25">
        <v>313.08935110493485</v>
      </c>
      <c r="P63" s="25">
        <v>884.74338212528244</v>
      </c>
      <c r="Q63" s="25">
        <v>1115.5440813563603</v>
      </c>
      <c r="R63" s="25">
        <v>819.5313960375089</v>
      </c>
      <c r="S63" s="25">
        <v>581.7556366009253</v>
      </c>
      <c r="T63" s="25">
        <v>2603.3534922175927</v>
      </c>
      <c r="U63" s="25">
        <v>408.75910421460236</v>
      </c>
      <c r="V63" s="25">
        <v>3201.7427415923166</v>
      </c>
      <c r="W63" s="25">
        <v>82.109420342087134</v>
      </c>
      <c r="X63" s="25">
        <v>0.52465174908223344</v>
      </c>
      <c r="Y63" s="25">
        <v>1273.2515914686749</v>
      </c>
      <c r="Z63" s="25">
        <v>4101.6545644029175</v>
      </c>
      <c r="AA63" s="25">
        <v>1476.4253339379834</v>
      </c>
      <c r="AB63" s="25">
        <v>895.66042481235115</v>
      </c>
      <c r="AC63" s="25">
        <v>1229.2177816781229</v>
      </c>
      <c r="AD63" s="25">
        <v>1995.4977187302229</v>
      </c>
      <c r="AE63" s="25">
        <v>1991.9790980381915</v>
      </c>
      <c r="AF63" s="25">
        <v>3017.80946863692</v>
      </c>
      <c r="AG63" s="25">
        <v>1251.9992517617609</v>
      </c>
      <c r="AH63" s="25">
        <v>1622.2480053415395</v>
      </c>
      <c r="AI63" s="25">
        <v>1922.9433090079483</v>
      </c>
      <c r="AJ63" s="25">
        <v>1439.5881967115095</v>
      </c>
      <c r="AK63" s="25">
        <v>2268.0871422695545</v>
      </c>
      <c r="AL63" s="25">
        <v>3572.3719476650072</v>
      </c>
      <c r="AM63" s="25">
        <v>1433.9013754787461</v>
      </c>
      <c r="AN63" s="25">
        <v>812.70921780385788</v>
      </c>
      <c r="AO63" s="25">
        <v>1041.6387753436397</v>
      </c>
      <c r="AP63" s="25">
        <v>758.13782670701926</v>
      </c>
      <c r="AQ63" s="25">
        <v>5797.2326472892601</v>
      </c>
      <c r="AR63" s="25">
        <v>946.98321963403237</v>
      </c>
      <c r="AS63" s="25">
        <v>678.4781382811143</v>
      </c>
      <c r="AT63" s="25">
        <v>390.66810553707404</v>
      </c>
      <c r="AU63" s="25">
        <v>1504.0576525349597</v>
      </c>
      <c r="AV63" s="25">
        <v>8139.5713778785139</v>
      </c>
      <c r="AW63" s="25">
        <v>2995.6862972509057</v>
      </c>
      <c r="AX63" s="25">
        <v>30959.876911436764</v>
      </c>
      <c r="AY63" s="40">
        <v>9636.0336623211424</v>
      </c>
      <c r="AZ63" s="25">
        <v>656.23570569576134</v>
      </c>
      <c r="BA63" s="25">
        <v>1554.5954009003133</v>
      </c>
      <c r="BB63" s="25">
        <v>3712.8598792394764</v>
      </c>
      <c r="BC63" s="25">
        <v>692.29050557282415</v>
      </c>
      <c r="BD63" s="25">
        <v>3512.5449256361298</v>
      </c>
      <c r="BE63" s="25">
        <v>442.37578934724803</v>
      </c>
      <c r="BF63" s="25">
        <v>1055.7912479525148</v>
      </c>
      <c r="BG63" s="25">
        <v>7280.4945532615111</v>
      </c>
      <c r="BH63" s="25">
        <v>3145.4131626801791</v>
      </c>
      <c r="BI63" s="25">
        <v>83013.598112740801</v>
      </c>
      <c r="BJ63" s="25">
        <v>22883.602366002386</v>
      </c>
      <c r="BK63" s="25">
        <v>4905.4915526766945</v>
      </c>
      <c r="BL63" s="25">
        <v>1337.8200810580283</v>
      </c>
      <c r="BM63" s="25">
        <v>1032.8942421431939</v>
      </c>
      <c r="BN63" s="25">
        <v>1398.2646266221736</v>
      </c>
      <c r="BO63" s="25">
        <v>5741.1878909335273</v>
      </c>
      <c r="BP63" s="25">
        <v>1069.0797960578209</v>
      </c>
      <c r="BQ63" s="25">
        <v>55942.129987645218</v>
      </c>
      <c r="BR63" s="25">
        <v>788.84308051837559</v>
      </c>
      <c r="BS63" s="25">
        <v>2530.70833702459</v>
      </c>
      <c r="BT63" s="25">
        <v>426.36690677848236</v>
      </c>
      <c r="BU63" s="25">
        <v>5587.23100290404</v>
      </c>
      <c r="BV63" s="25">
        <v>1035.141164827857</v>
      </c>
      <c r="BW63" s="25">
        <v>2639.5184822086894</v>
      </c>
      <c r="BX63" s="25">
        <v>0</v>
      </c>
      <c r="BY63" s="72">
        <f t="shared" si="1"/>
        <v>347272.48043163639</v>
      </c>
      <c r="BZ63" s="25">
        <v>6672.8521437571972</v>
      </c>
      <c r="CA63" s="25">
        <v>2246.9377218986174</v>
      </c>
      <c r="CB63" s="25">
        <v>305.59708295350953</v>
      </c>
      <c r="CC63" s="25">
        <v>291803.17950075812</v>
      </c>
      <c r="CD63" s="25">
        <v>707.64795215834283</v>
      </c>
      <c r="CE63" s="25">
        <v>0.30516711532505897</v>
      </c>
      <c r="CF63" s="25">
        <v>301736.51956864109</v>
      </c>
      <c r="CG63" s="25">
        <v>649009</v>
      </c>
      <c r="CH63"/>
      <c r="CI63">
        <f t="shared" si="0"/>
        <v>0.46491885254078308</v>
      </c>
      <c r="CJ63"/>
      <c r="CK63"/>
      <c r="CL63"/>
      <c r="CM63"/>
      <c r="CN63"/>
      <c r="CO63"/>
      <c r="CP63"/>
      <c r="CQ63"/>
      <c r="CR63"/>
      <c r="CS63"/>
      <c r="CT63"/>
      <c r="CU63"/>
    </row>
    <row r="64" spans="1:99" s="5" customFormat="1" x14ac:dyDescent="0.3">
      <c r="A64" s="35" t="s">
        <v>68</v>
      </c>
      <c r="B64" s="11" t="s">
        <v>142</v>
      </c>
      <c r="C64" s="5">
        <v>59</v>
      </c>
      <c r="D64" s="25">
        <v>5.7983309880035012</v>
      </c>
      <c r="E64" s="25">
        <v>5.0735396145030638</v>
      </c>
      <c r="F64" s="25">
        <v>6.5231223615039395</v>
      </c>
      <c r="G64" s="25">
        <v>18.84457571101138</v>
      </c>
      <c r="H64" s="25">
        <v>387.76338482273417</v>
      </c>
      <c r="I64" s="25">
        <v>37.689151422022761</v>
      </c>
      <c r="J64" s="25">
        <v>15.945410217009631</v>
      </c>
      <c r="K64" s="25">
        <v>575.48435055934749</v>
      </c>
      <c r="L64" s="25">
        <v>107.26912327806478</v>
      </c>
      <c r="M64" s="25">
        <v>441.39794646176659</v>
      </c>
      <c r="N64" s="25">
        <v>55.808935759533703</v>
      </c>
      <c r="O64" s="25">
        <v>16.670201590510068</v>
      </c>
      <c r="P64" s="25">
        <v>251.50260660465185</v>
      </c>
      <c r="Q64" s="25">
        <v>306.58675099068518</v>
      </c>
      <c r="R64" s="25">
        <v>78.277468338047271</v>
      </c>
      <c r="S64" s="25">
        <v>34.065194554520573</v>
      </c>
      <c r="T64" s="25">
        <v>142.05910920608576</v>
      </c>
      <c r="U64" s="25">
        <v>42.037899663025385</v>
      </c>
      <c r="V64" s="25">
        <v>154.02916653595349</v>
      </c>
      <c r="W64" s="25">
        <v>3.9501129855773858</v>
      </c>
      <c r="X64" s="25">
        <v>2.5239901564538786E-2</v>
      </c>
      <c r="Y64" s="25">
        <v>173.94992964010504</v>
      </c>
      <c r="Z64" s="25">
        <v>152.20618843509192</v>
      </c>
      <c r="AA64" s="25">
        <v>87.699756193552957</v>
      </c>
      <c r="AB64" s="25">
        <v>144.95827470008754</v>
      </c>
      <c r="AC64" s="25">
        <v>223.23574303813481</v>
      </c>
      <c r="AD64" s="25">
        <v>365.29485224422064</v>
      </c>
      <c r="AE64" s="25">
        <v>150.75660568809104</v>
      </c>
      <c r="AF64" s="25">
        <v>268.17280819516191</v>
      </c>
      <c r="AG64" s="25">
        <v>10.147079229006128</v>
      </c>
      <c r="AH64" s="25">
        <v>218.16220342363175</v>
      </c>
      <c r="AI64" s="25">
        <v>160.17889354359673</v>
      </c>
      <c r="AJ64" s="25">
        <v>93.498087181556457</v>
      </c>
      <c r="AK64" s="25">
        <v>180.47305200160898</v>
      </c>
      <c r="AL64" s="25">
        <v>100.74600091656083</v>
      </c>
      <c r="AM64" s="25">
        <v>187.72096573661335</v>
      </c>
      <c r="AN64" s="25">
        <v>51.460187518531079</v>
      </c>
      <c r="AO64" s="25">
        <v>202.94158458012254</v>
      </c>
      <c r="AP64" s="25">
        <v>49.285813398029759</v>
      </c>
      <c r="AQ64" s="25">
        <v>811.49347584892712</v>
      </c>
      <c r="AR64" s="25">
        <v>132.55819650963286</v>
      </c>
      <c r="AS64" s="25">
        <v>94.973001122992287</v>
      </c>
      <c r="AT64" s="25">
        <v>54.685509130608025</v>
      </c>
      <c r="AU64" s="25">
        <v>268.89759956866237</v>
      </c>
      <c r="AV64" s="25">
        <v>914.68671335755243</v>
      </c>
      <c r="AW64" s="25">
        <v>3108.6302009433775</v>
      </c>
      <c r="AX64" s="25">
        <v>33878.198380157461</v>
      </c>
      <c r="AY64" s="40">
        <v>1079.9391465156523</v>
      </c>
      <c r="AZ64" s="25">
        <v>62.33205812103764</v>
      </c>
      <c r="BA64" s="25">
        <v>89.87413031405427</v>
      </c>
      <c r="BB64" s="25">
        <v>2450.5196338049795</v>
      </c>
      <c r="BC64" s="25">
        <v>1042.2499950936294</v>
      </c>
      <c r="BD64" s="25">
        <v>4818.4130510309096</v>
      </c>
      <c r="BE64" s="25">
        <v>151.48139706159148</v>
      </c>
      <c r="BF64" s="25">
        <v>393.56171581073767</v>
      </c>
      <c r="BG64" s="25">
        <v>1869.9617436311291</v>
      </c>
      <c r="BH64" s="25">
        <v>1554.6774961584388</v>
      </c>
      <c r="BI64" s="25">
        <v>4437.8975799431801</v>
      </c>
      <c r="BJ64" s="25">
        <v>1844.594045558614</v>
      </c>
      <c r="BK64" s="25">
        <v>4400.9332198946577</v>
      </c>
      <c r="BL64" s="25">
        <v>687.82701345191549</v>
      </c>
      <c r="BM64" s="25">
        <v>919.76025297205558</v>
      </c>
      <c r="BN64" s="25">
        <v>932.80649769506329</v>
      </c>
      <c r="BO64" s="25">
        <v>2970.195048604794</v>
      </c>
      <c r="BP64" s="25">
        <v>220.33657754413304</v>
      </c>
      <c r="BQ64" s="25">
        <v>2312.8092728398969</v>
      </c>
      <c r="BR64" s="25">
        <v>513.15229243830993</v>
      </c>
      <c r="BS64" s="25">
        <v>4061.7308570964528</v>
      </c>
      <c r="BT64" s="25">
        <v>367.46922636472192</v>
      </c>
      <c r="BU64" s="25">
        <v>2169.3005808868102</v>
      </c>
      <c r="BV64" s="25">
        <v>3154.2920574739046</v>
      </c>
      <c r="BW64" s="25">
        <v>3091.9599993528677</v>
      </c>
      <c r="BX64" s="25">
        <v>0</v>
      </c>
      <c r="BY64" s="72">
        <f t="shared" si="1"/>
        <v>90369.887613528597</v>
      </c>
      <c r="BZ64" s="25">
        <v>3047.2543167395993</v>
      </c>
      <c r="CA64" s="25">
        <v>0</v>
      </c>
      <c r="CB64" s="25">
        <v>0</v>
      </c>
      <c r="CC64" s="25">
        <v>546334.85807424737</v>
      </c>
      <c r="CD64" s="25">
        <v>0</v>
      </c>
      <c r="CE64" s="25">
        <v>0</v>
      </c>
      <c r="CF64" s="25">
        <v>549382.11239098699</v>
      </c>
      <c r="CG64" s="25">
        <v>639752</v>
      </c>
      <c r="CH64"/>
      <c r="CI64">
        <f t="shared" si="0"/>
        <v>0.85874231325730443</v>
      </c>
      <c r="CJ64"/>
      <c r="CK64"/>
      <c r="CL64"/>
      <c r="CM64"/>
      <c r="CN64"/>
      <c r="CO64"/>
      <c r="CP64"/>
      <c r="CQ64"/>
      <c r="CR64"/>
      <c r="CS64"/>
      <c r="CT64"/>
      <c r="CU64"/>
    </row>
    <row r="65" spans="1:99" s="5" customFormat="1" x14ac:dyDescent="0.3">
      <c r="A65" s="35" t="s">
        <v>69</v>
      </c>
      <c r="B65" s="11" t="s">
        <v>143</v>
      </c>
      <c r="C65" s="5">
        <v>60</v>
      </c>
      <c r="D65" s="25">
        <v>23.272916355466521</v>
      </c>
      <c r="E65" s="25">
        <v>9.8925019398190379</v>
      </c>
      <c r="F65" s="25">
        <v>33.75296003180771</v>
      </c>
      <c r="G65" s="25">
        <v>517.28380854943907</v>
      </c>
      <c r="H65" s="25">
        <v>10436.079361689524</v>
      </c>
      <c r="I65" s="25">
        <v>2747.4792190050885</v>
      </c>
      <c r="J65" s="25">
        <v>302.08222788788345</v>
      </c>
      <c r="K65" s="25">
        <v>4121.9710954896464</v>
      </c>
      <c r="L65" s="25">
        <v>536.00213099611119</v>
      </c>
      <c r="M65" s="25">
        <v>7390.5518425056971</v>
      </c>
      <c r="N65" s="25">
        <v>2064.1462020933764</v>
      </c>
      <c r="O65" s="25">
        <v>742.38887776228273</v>
      </c>
      <c r="P65" s="25">
        <v>371.02640888108976</v>
      </c>
      <c r="Q65" s="25">
        <v>373.04490533874758</v>
      </c>
      <c r="R65" s="25">
        <v>253.95314627965797</v>
      </c>
      <c r="S65" s="25">
        <v>305.81976744430563</v>
      </c>
      <c r="T65" s="25">
        <v>2410.6918564129737</v>
      </c>
      <c r="U65" s="25">
        <v>85.225416994027881</v>
      </c>
      <c r="V65" s="25">
        <v>6216.4726316737288</v>
      </c>
      <c r="W65" s="25">
        <v>159.42285360045116</v>
      </c>
      <c r="X65" s="25">
        <v>1.0186587438650456</v>
      </c>
      <c r="Y65" s="25">
        <v>660.1723984385161</v>
      </c>
      <c r="Z65" s="25">
        <v>3720.7685424709784</v>
      </c>
      <c r="AA65" s="25">
        <v>5223.1735154292974</v>
      </c>
      <c r="AB65" s="25">
        <v>1777.1204292248131</v>
      </c>
      <c r="AC65" s="25">
        <v>5256.8238125519611</v>
      </c>
      <c r="AD65" s="25">
        <v>1812.4679928897315</v>
      </c>
      <c r="AE65" s="25">
        <v>2141.341301527993</v>
      </c>
      <c r="AF65" s="25">
        <v>1388.783376760673</v>
      </c>
      <c r="AG65" s="25">
        <v>590.29317007141174</v>
      </c>
      <c r="AH65" s="25">
        <v>853.83422585465985</v>
      </c>
      <c r="AI65" s="25">
        <v>2979.6333944393905</v>
      </c>
      <c r="AJ65" s="25">
        <v>1734.8444428229632</v>
      </c>
      <c r="AK65" s="25">
        <v>1710.6961873718815</v>
      </c>
      <c r="AL65" s="25">
        <v>2390.9339876713798</v>
      </c>
      <c r="AM65" s="25">
        <v>1188.3368383155353</v>
      </c>
      <c r="AN65" s="25">
        <v>242.00158072399486</v>
      </c>
      <c r="AO65" s="25">
        <v>466.76289230098701</v>
      </c>
      <c r="AP65" s="25">
        <v>738.40724027323449</v>
      </c>
      <c r="AQ65" s="25">
        <v>991.56319941165179</v>
      </c>
      <c r="AR65" s="25">
        <v>161.9727494442601</v>
      </c>
      <c r="AS65" s="25">
        <v>116.04743063735026</v>
      </c>
      <c r="AT65" s="25">
        <v>66.820177868066438</v>
      </c>
      <c r="AU65" s="25">
        <v>1440.4557319132934</v>
      </c>
      <c r="AV65" s="25">
        <v>3953.3066227006584</v>
      </c>
      <c r="AW65" s="25">
        <v>7186.3214217680079</v>
      </c>
      <c r="AX65" s="25">
        <v>27986.876183019751</v>
      </c>
      <c r="AY65" s="40">
        <v>2468.8984850465076</v>
      </c>
      <c r="AZ65" s="25">
        <v>129.40306220419515</v>
      </c>
      <c r="BA65" s="25">
        <v>501.47123014316753</v>
      </c>
      <c r="BB65" s="25">
        <v>2268.5182184061769</v>
      </c>
      <c r="BC65" s="25">
        <v>275.05984668023166</v>
      </c>
      <c r="BD65" s="25">
        <v>1285.3570635588956</v>
      </c>
      <c r="BE65" s="25">
        <v>404.16716929115779</v>
      </c>
      <c r="BF65" s="25">
        <v>2879.7173761172357</v>
      </c>
      <c r="BG65" s="25">
        <v>3346.7482573272928</v>
      </c>
      <c r="BH65" s="25">
        <v>3250.5904801306674</v>
      </c>
      <c r="BI65" s="25">
        <v>16159.323787216927</v>
      </c>
      <c r="BJ65" s="25">
        <v>2774.4413646386806</v>
      </c>
      <c r="BK65" s="25">
        <v>16667.53661750826</v>
      </c>
      <c r="BL65" s="25">
        <v>4649.5690869474884</v>
      </c>
      <c r="BM65" s="25">
        <v>454.01877533068551</v>
      </c>
      <c r="BN65" s="25">
        <v>954.16807430047584</v>
      </c>
      <c r="BO65" s="25">
        <v>4426.9768774596114</v>
      </c>
      <c r="BP65" s="25">
        <v>1461.5696646316403</v>
      </c>
      <c r="BQ65" s="25">
        <v>5306.5420043233789</v>
      </c>
      <c r="BR65" s="25">
        <v>236.70659129242065</v>
      </c>
      <c r="BS65" s="25">
        <v>2501.7124421804237</v>
      </c>
      <c r="BT65" s="25">
        <v>306.63607693679575</v>
      </c>
      <c r="BU65" s="25">
        <v>3383.9809251620154</v>
      </c>
      <c r="BV65" s="25">
        <v>1153.5022710254257</v>
      </c>
      <c r="BW65" s="25">
        <v>3450.1949589799742</v>
      </c>
      <c r="BX65" s="25">
        <v>0</v>
      </c>
      <c r="BY65" s="72">
        <f t="shared" si="1"/>
        <v>196578.14834241717</v>
      </c>
      <c r="BZ65" s="25">
        <v>13956.507962754715</v>
      </c>
      <c r="CA65" s="25">
        <v>0.21307414569733535</v>
      </c>
      <c r="CB65" s="25">
        <v>0</v>
      </c>
      <c r="CC65" s="25">
        <v>18072.685091320462</v>
      </c>
      <c r="CD65" s="25">
        <v>5.4455293675790299</v>
      </c>
      <c r="CE65" s="25">
        <v>0</v>
      </c>
      <c r="CF65" s="25">
        <v>32034.851657588457</v>
      </c>
      <c r="CG65" s="25">
        <v>228613</v>
      </c>
      <c r="CH65"/>
      <c r="CI65">
        <f t="shared" si="0"/>
        <v>0.14012699040556947</v>
      </c>
      <c r="CJ65"/>
      <c r="CK65"/>
      <c r="CL65"/>
      <c r="CM65"/>
      <c r="CN65"/>
      <c r="CO65"/>
      <c r="CP65"/>
      <c r="CQ65"/>
      <c r="CR65"/>
      <c r="CS65"/>
      <c r="CT65"/>
      <c r="CU65"/>
    </row>
    <row r="66" spans="1:99" s="5" customFormat="1" x14ac:dyDescent="0.3">
      <c r="A66" s="35" t="s">
        <v>70</v>
      </c>
      <c r="B66" s="11" t="s">
        <v>144</v>
      </c>
      <c r="C66" s="5">
        <v>61</v>
      </c>
      <c r="D66" s="25">
        <v>718.3966543563281</v>
      </c>
      <c r="E66" s="25">
        <v>23.732097147130816</v>
      </c>
      <c r="F66" s="25">
        <v>0.33195957003182014</v>
      </c>
      <c r="G66" s="25">
        <v>36.083974207080644</v>
      </c>
      <c r="H66" s="25">
        <v>1572.31505554708</v>
      </c>
      <c r="I66" s="25">
        <v>395.45980305987706</v>
      </c>
      <c r="J66" s="25">
        <v>95.707760847209641</v>
      </c>
      <c r="K66" s="25">
        <v>785.13914623763173</v>
      </c>
      <c r="L66" s="25">
        <v>185.91799650692712</v>
      </c>
      <c r="M66" s="25">
        <v>809.50784483494692</v>
      </c>
      <c r="N66" s="25">
        <v>160.01503692457311</v>
      </c>
      <c r="O66" s="25">
        <v>71.356507289358348</v>
      </c>
      <c r="P66" s="25">
        <v>43.626953711115618</v>
      </c>
      <c r="Q66" s="25">
        <v>103.42656028365677</v>
      </c>
      <c r="R66" s="25">
        <v>76.930976899851828</v>
      </c>
      <c r="S66" s="25">
        <v>43.674958739737306</v>
      </c>
      <c r="T66" s="25">
        <v>366.53851753609621</v>
      </c>
      <c r="U66" s="25">
        <v>24.554571734664631</v>
      </c>
      <c r="V66" s="25">
        <v>127.17244912977122</v>
      </c>
      <c r="W66" s="25">
        <v>3.2615066084491526</v>
      </c>
      <c r="X66" s="25">
        <v>2.6308599745689679E-2</v>
      </c>
      <c r="Y66" s="25">
        <v>180.63405196627349</v>
      </c>
      <c r="Z66" s="25">
        <v>557.88364504603817</v>
      </c>
      <c r="AA66" s="25">
        <v>416.34629959775185</v>
      </c>
      <c r="AB66" s="25">
        <v>288.72097384254465</v>
      </c>
      <c r="AC66" s="25">
        <v>651.88767553795071</v>
      </c>
      <c r="AD66" s="25">
        <v>635.73941383452689</v>
      </c>
      <c r="AE66" s="25">
        <v>341.38675864871368</v>
      </c>
      <c r="AF66" s="25">
        <v>312.49243234572816</v>
      </c>
      <c r="AG66" s="25">
        <v>200.18865828079646</v>
      </c>
      <c r="AH66" s="25">
        <v>313.12335878154499</v>
      </c>
      <c r="AI66" s="25">
        <v>432.6866836297246</v>
      </c>
      <c r="AJ66" s="25">
        <v>253.36048053837018</v>
      </c>
      <c r="AK66" s="25">
        <v>1193.2459282038503</v>
      </c>
      <c r="AL66" s="25">
        <v>1225.4392350205328</v>
      </c>
      <c r="AM66" s="25">
        <v>514.61505318396314</v>
      </c>
      <c r="AN66" s="25">
        <v>118.63723635374754</v>
      </c>
      <c r="AO66" s="25">
        <v>180.22440117634508</v>
      </c>
      <c r="AP66" s="25">
        <v>194.58671601245075</v>
      </c>
      <c r="AQ66" s="25">
        <v>1657.3160657788428</v>
      </c>
      <c r="AR66" s="25">
        <v>270.72408499188293</v>
      </c>
      <c r="AS66" s="25">
        <v>193.96370428204139</v>
      </c>
      <c r="AT66" s="25">
        <v>111.5059362215317</v>
      </c>
      <c r="AU66" s="25">
        <v>347.12119381373867</v>
      </c>
      <c r="AV66" s="25">
        <v>1978.6182890752661</v>
      </c>
      <c r="AW66" s="25">
        <v>72.417731323085363</v>
      </c>
      <c r="AX66" s="25">
        <v>1216.3394588959059</v>
      </c>
      <c r="AY66" s="40">
        <v>230.32232767025084</v>
      </c>
      <c r="AZ66" s="25">
        <v>9.9749793051058013</v>
      </c>
      <c r="BA66" s="25">
        <v>0.42553047046471698</v>
      </c>
      <c r="BB66" s="25">
        <v>3339.4436618741329</v>
      </c>
      <c r="BC66" s="25">
        <v>8.8081516522185481</v>
      </c>
      <c r="BD66" s="25">
        <v>28.710019434497475</v>
      </c>
      <c r="BE66" s="25">
        <v>0.89709438329907432</v>
      </c>
      <c r="BF66" s="25">
        <v>1.6923970123296401</v>
      </c>
      <c r="BG66" s="25">
        <v>18.043698371978458</v>
      </c>
      <c r="BH66" s="25">
        <v>248.45837650777761</v>
      </c>
      <c r="BI66" s="25">
        <v>419.52983912533017</v>
      </c>
      <c r="BJ66" s="25">
        <v>18.453922505345368</v>
      </c>
      <c r="BK66" s="25">
        <v>18.507951661913012</v>
      </c>
      <c r="BL66" s="25">
        <v>1722.7997235805485</v>
      </c>
      <c r="BM66" s="25">
        <v>3.9041187447384753</v>
      </c>
      <c r="BN66" s="25">
        <v>55.633660928466611</v>
      </c>
      <c r="BO66" s="25">
        <v>32.969002002624336</v>
      </c>
      <c r="BP66" s="25">
        <v>1.2010057204687821</v>
      </c>
      <c r="BQ66" s="25">
        <v>4719.4629756159902</v>
      </c>
      <c r="BR66" s="25">
        <v>1341.3790137445703</v>
      </c>
      <c r="BS66" s="25">
        <v>88.102104276410259</v>
      </c>
      <c r="BT66" s="25">
        <v>1368.9886549960875</v>
      </c>
      <c r="BU66" s="25">
        <v>11.424638252980708</v>
      </c>
      <c r="BV66" s="25">
        <v>12.845555337072048</v>
      </c>
      <c r="BW66" s="25">
        <v>13.109328671003013</v>
      </c>
      <c r="BX66" s="25">
        <v>0</v>
      </c>
      <c r="BY66" s="72">
        <f t="shared" si="1"/>
        <v>33217.469838000012</v>
      </c>
      <c r="BZ66" s="25">
        <v>22160.160248651791</v>
      </c>
      <c r="CA66" s="25">
        <v>0.10653707284866767</v>
      </c>
      <c r="CB66" s="25">
        <v>0</v>
      </c>
      <c r="CC66" s="25">
        <v>879.51022555371264</v>
      </c>
      <c r="CD66" s="25">
        <v>6641.1850712291762</v>
      </c>
      <c r="CE66" s="25">
        <v>-7.4319204837301536</v>
      </c>
      <c r="CF66" s="25">
        <v>29673.530162023799</v>
      </c>
      <c r="CG66" s="25">
        <v>62891</v>
      </c>
      <c r="CH66"/>
      <c r="CI66">
        <f t="shared" si="0"/>
        <v>0.4718247469753033</v>
      </c>
      <c r="CJ66"/>
      <c r="CK66"/>
      <c r="CL66"/>
      <c r="CM66"/>
      <c r="CN66"/>
      <c r="CO66"/>
      <c r="CP66"/>
      <c r="CQ66"/>
      <c r="CR66"/>
      <c r="CS66"/>
      <c r="CT66"/>
      <c r="CU66"/>
    </row>
    <row r="67" spans="1:99" s="5" customFormat="1" x14ac:dyDescent="0.3">
      <c r="A67" s="35" t="s">
        <v>71</v>
      </c>
      <c r="B67" s="11" t="s">
        <v>145</v>
      </c>
      <c r="C67" s="5">
        <v>62</v>
      </c>
      <c r="D67" s="25">
        <v>15.093023184318485</v>
      </c>
      <c r="E67" s="25">
        <v>428.77741954459185</v>
      </c>
      <c r="F67" s="25">
        <v>101.73546722970767</v>
      </c>
      <c r="G67" s="25">
        <v>37.898929599101791</v>
      </c>
      <c r="H67" s="25">
        <v>834.77219379227222</v>
      </c>
      <c r="I67" s="25">
        <v>14.263895014824083</v>
      </c>
      <c r="J67" s="25">
        <v>0.78761504891165535</v>
      </c>
      <c r="K67" s="25">
        <v>2443.9041178230427</v>
      </c>
      <c r="L67" s="25">
        <v>155.23811105094239</v>
      </c>
      <c r="M67" s="25">
        <v>3877.0480771093448</v>
      </c>
      <c r="N67" s="25">
        <v>4985.176169238769</v>
      </c>
      <c r="O67" s="25">
        <v>222.05138442213556</v>
      </c>
      <c r="P67" s="25">
        <v>90.986076279737233</v>
      </c>
      <c r="Q67" s="25">
        <v>365.73815920927439</v>
      </c>
      <c r="R67" s="25">
        <v>824.21355379777629</v>
      </c>
      <c r="S67" s="25">
        <v>42.449862701070629</v>
      </c>
      <c r="T67" s="25">
        <v>554.92690090155236</v>
      </c>
      <c r="U67" s="25">
        <v>56.514711171160712</v>
      </c>
      <c r="V67" s="25">
        <v>231.93107242626769</v>
      </c>
      <c r="W67" s="25">
        <v>5.9479250686982095</v>
      </c>
      <c r="X67" s="25">
        <v>3.8005252962467283E-2</v>
      </c>
      <c r="Y67" s="25">
        <v>111.54259413927437</v>
      </c>
      <c r="Z67" s="25">
        <v>125.30336328007401</v>
      </c>
      <c r="AA67" s="25">
        <v>534.77932478733828</v>
      </c>
      <c r="AB67" s="25">
        <v>1323.7033577635452</v>
      </c>
      <c r="AC67" s="25">
        <v>2089.7675878003752</v>
      </c>
      <c r="AD67" s="25">
        <v>566.29794415223716</v>
      </c>
      <c r="AE67" s="25">
        <v>266.87945465512837</v>
      </c>
      <c r="AF67" s="25">
        <v>255.85801582811462</v>
      </c>
      <c r="AG67" s="25">
        <v>20.275698743758635</v>
      </c>
      <c r="AH67" s="25">
        <v>531.94417590765761</v>
      </c>
      <c r="AI67" s="25">
        <v>1413.1369619458917</v>
      </c>
      <c r="AJ67" s="25">
        <v>660.99929857141183</v>
      </c>
      <c r="AK67" s="25">
        <v>459.43719935996006</v>
      </c>
      <c r="AL67" s="25">
        <v>4549.4881312101597</v>
      </c>
      <c r="AM67" s="25">
        <v>171.09015186719751</v>
      </c>
      <c r="AN67" s="25">
        <v>259.89892560666954</v>
      </c>
      <c r="AO67" s="25">
        <v>434.68065973430538</v>
      </c>
      <c r="AP67" s="25">
        <v>147.30747115458632</v>
      </c>
      <c r="AQ67" s="25">
        <v>2755.3710581761834</v>
      </c>
      <c r="AR67" s="25">
        <v>450.09236556655981</v>
      </c>
      <c r="AS67" s="25">
        <v>322.47438382504538</v>
      </c>
      <c r="AT67" s="25">
        <v>185.68093724040995</v>
      </c>
      <c r="AU67" s="25">
        <v>213.2669769921242</v>
      </c>
      <c r="AV67" s="25">
        <v>1442.8978255846428</v>
      </c>
      <c r="AW67" s="25">
        <v>2669.0785921410261</v>
      </c>
      <c r="AX67" s="25">
        <v>18997.389371972502</v>
      </c>
      <c r="AY67" s="40">
        <v>763.5779322768077</v>
      </c>
      <c r="AZ67" s="25">
        <v>45.332452878567167</v>
      </c>
      <c r="BA67" s="25">
        <v>193.83665800532469</v>
      </c>
      <c r="BB67" s="25">
        <v>1315.4889290565861</v>
      </c>
      <c r="BC67" s="25">
        <v>335.5221588104647</v>
      </c>
      <c r="BD67" s="25">
        <v>862.49022131088282</v>
      </c>
      <c r="BE67" s="25">
        <v>676.34861945086641</v>
      </c>
      <c r="BF67" s="25">
        <v>1996.1941752903199</v>
      </c>
      <c r="BG67" s="25">
        <v>3016.4241151376455</v>
      </c>
      <c r="BH67" s="25">
        <v>2121.0139750365483</v>
      </c>
      <c r="BI67" s="25">
        <v>9538.6922657731247</v>
      </c>
      <c r="BJ67" s="25">
        <v>928.41987003530789</v>
      </c>
      <c r="BK67" s="25">
        <v>4481.0501076940909</v>
      </c>
      <c r="BL67" s="25">
        <v>407.29628857809814</v>
      </c>
      <c r="BM67" s="25">
        <v>2054.5567801959974</v>
      </c>
      <c r="BN67" s="25">
        <v>1044.2708441913148</v>
      </c>
      <c r="BO67" s="25">
        <v>1742.8634265246103</v>
      </c>
      <c r="BP67" s="25">
        <v>189.44255996050995</v>
      </c>
      <c r="BQ67" s="25">
        <v>4030.7572238501957</v>
      </c>
      <c r="BR67" s="25">
        <v>654.50592633963868</v>
      </c>
      <c r="BS67" s="25">
        <v>2758.0428235483923</v>
      </c>
      <c r="BT67" s="25">
        <v>1108.7243533550179</v>
      </c>
      <c r="BU67" s="25">
        <v>45.433719695587143</v>
      </c>
      <c r="BV67" s="25">
        <v>1489.645856424544</v>
      </c>
      <c r="BW67" s="25">
        <v>1673.124902137891</v>
      </c>
      <c r="BX67" s="25">
        <v>0</v>
      </c>
      <c r="BY67" s="72">
        <f t="shared" si="1"/>
        <v>99721.190683430963</v>
      </c>
      <c r="BZ67" s="25">
        <v>3441.3441972555283</v>
      </c>
      <c r="CA67" s="25">
        <v>0.10452693939869281</v>
      </c>
      <c r="CB67" s="25">
        <v>0</v>
      </c>
      <c r="CC67" s="25">
        <v>1654.689200611997</v>
      </c>
      <c r="CD67" s="25">
        <v>2.6713917652274488</v>
      </c>
      <c r="CE67" s="25">
        <v>0</v>
      </c>
      <c r="CF67" s="25">
        <v>5098.8093165721521</v>
      </c>
      <c r="CG67" s="25">
        <v>104820</v>
      </c>
      <c r="CH67"/>
      <c r="CI67">
        <f t="shared" si="0"/>
        <v>4.8643477547912158E-2</v>
      </c>
      <c r="CJ67"/>
      <c r="CK67"/>
      <c r="CL67"/>
      <c r="CM67"/>
      <c r="CN67"/>
      <c r="CO67"/>
      <c r="CP67"/>
      <c r="CQ67"/>
      <c r="CR67"/>
      <c r="CS67"/>
      <c r="CT67"/>
      <c r="CU67"/>
    </row>
    <row r="68" spans="1:99" s="5" customFormat="1" x14ac:dyDescent="0.3">
      <c r="A68" s="35" t="s">
        <v>72</v>
      </c>
      <c r="B68" s="13" t="s">
        <v>146</v>
      </c>
      <c r="C68" s="5">
        <v>63</v>
      </c>
      <c r="D68" s="25">
        <v>205.60424964953293</v>
      </c>
      <c r="E68" s="25">
        <v>28.023518298222324</v>
      </c>
      <c r="F68" s="25">
        <v>38.508606855517549</v>
      </c>
      <c r="G68" s="25">
        <v>116.86728051323043</v>
      </c>
      <c r="H68" s="25">
        <v>6131.8541762540463</v>
      </c>
      <c r="I68" s="25">
        <v>894.53871931067351</v>
      </c>
      <c r="J68" s="25">
        <v>127.17831177848983</v>
      </c>
      <c r="K68" s="25">
        <v>217.42906554111181</v>
      </c>
      <c r="L68" s="25">
        <v>150.92641103544005</v>
      </c>
      <c r="M68" s="25">
        <v>631.16842581109574</v>
      </c>
      <c r="N68" s="25">
        <v>190.81122677137262</v>
      </c>
      <c r="O68" s="25">
        <v>21.270996659198861</v>
      </c>
      <c r="P68" s="25">
        <v>32.99846305752947</v>
      </c>
      <c r="Q68" s="25">
        <v>55.841001149375131</v>
      </c>
      <c r="R68" s="25">
        <v>40.169062916981353</v>
      </c>
      <c r="S68" s="25">
        <v>86.284969345043024</v>
      </c>
      <c r="T68" s="25">
        <v>473.18735490788873</v>
      </c>
      <c r="U68" s="25">
        <v>90.593479798092531</v>
      </c>
      <c r="V68" s="25">
        <v>252.78269318409866</v>
      </c>
      <c r="W68" s="25">
        <v>6.4931625431138027</v>
      </c>
      <c r="X68" s="25">
        <v>0.45064599733962518</v>
      </c>
      <c r="Y68" s="25">
        <v>58.966029032117767</v>
      </c>
      <c r="Z68" s="25">
        <v>260.72578316504865</v>
      </c>
      <c r="AA68" s="25">
        <v>223.08808232749669</v>
      </c>
      <c r="AB68" s="25">
        <v>49.535794382551529</v>
      </c>
      <c r="AC68" s="25">
        <v>117.3086033485307</v>
      </c>
      <c r="AD68" s="25">
        <v>354.35758435694197</v>
      </c>
      <c r="AE68" s="25">
        <v>229.81965227726525</v>
      </c>
      <c r="AF68" s="25">
        <v>528.0464150104973</v>
      </c>
      <c r="AG68" s="25">
        <v>166.89182734224278</v>
      </c>
      <c r="AH68" s="25">
        <v>339.00118283371751</v>
      </c>
      <c r="AI68" s="25">
        <v>239.28106688759601</v>
      </c>
      <c r="AJ68" s="25">
        <v>112.42012627046684</v>
      </c>
      <c r="AK68" s="25">
        <v>334.31928605873645</v>
      </c>
      <c r="AL68" s="25">
        <v>928.69795763416107</v>
      </c>
      <c r="AM68" s="25">
        <v>325.97179431016639</v>
      </c>
      <c r="AN68" s="25">
        <v>256.3214193516996</v>
      </c>
      <c r="AO68" s="25">
        <v>129.95185615157328</v>
      </c>
      <c r="AP68" s="25">
        <v>210.2934120767498</v>
      </c>
      <c r="AQ68" s="25">
        <v>343.07950048435032</v>
      </c>
      <c r="AR68" s="25">
        <v>56.042348086724061</v>
      </c>
      <c r="AS68" s="25">
        <v>40.152251071013843</v>
      </c>
      <c r="AT68" s="25">
        <v>23.141367766589816</v>
      </c>
      <c r="AU68" s="25">
        <v>727.32046238757903</v>
      </c>
      <c r="AV68" s="25">
        <v>1408.9252559048648</v>
      </c>
      <c r="AW68" s="25">
        <v>417.98522368287553</v>
      </c>
      <c r="AX68" s="25">
        <v>4507.9893468683085</v>
      </c>
      <c r="AY68" s="40">
        <v>1890.69138399657</v>
      </c>
      <c r="AZ68" s="25">
        <v>500.2843845143708</v>
      </c>
      <c r="BA68" s="25">
        <v>1122.7658630557933</v>
      </c>
      <c r="BB68" s="25">
        <v>1079.689850763288</v>
      </c>
      <c r="BC68" s="25">
        <v>75.054183781357338</v>
      </c>
      <c r="BD68" s="25">
        <v>688.59315334436087</v>
      </c>
      <c r="BE68" s="25">
        <v>282.64602669145324</v>
      </c>
      <c r="BF68" s="25">
        <v>555.51643129469835</v>
      </c>
      <c r="BG68" s="25">
        <v>1872.7530622378949</v>
      </c>
      <c r="BH68" s="25">
        <v>1377.181951787745</v>
      </c>
      <c r="BI68" s="25">
        <v>695.51883977965838</v>
      </c>
      <c r="BJ68" s="25">
        <v>164.20389522258773</v>
      </c>
      <c r="BK68" s="25">
        <v>409.66228818732378</v>
      </c>
      <c r="BL68" s="25">
        <v>378.28087832692717</v>
      </c>
      <c r="BM68" s="25">
        <v>142.84219032052388</v>
      </c>
      <c r="BN68" s="25">
        <v>789.20854804280123</v>
      </c>
      <c r="BO68" s="25">
        <v>528.48832551482633</v>
      </c>
      <c r="BP68" s="25">
        <v>141.97707264495585</v>
      </c>
      <c r="BQ68" s="25">
        <v>1448.9570618755711</v>
      </c>
      <c r="BR68" s="25">
        <v>609.81669565994855</v>
      </c>
      <c r="BS68" s="25">
        <v>960.06159177312838</v>
      </c>
      <c r="BT68" s="25">
        <v>749.56684560163535</v>
      </c>
      <c r="BU68" s="25">
        <v>419.02907139924116</v>
      </c>
      <c r="BV68" s="25">
        <v>266.34843807138458</v>
      </c>
      <c r="BW68" s="25">
        <v>168.96916621311962</v>
      </c>
      <c r="BX68" s="25">
        <v>0</v>
      </c>
      <c r="BY68" s="72">
        <f t="shared" si="1"/>
        <v>39500.722650548421</v>
      </c>
      <c r="BZ68" s="25">
        <v>5848.3397258344175</v>
      </c>
      <c r="CA68" s="25">
        <v>0</v>
      </c>
      <c r="CB68" s="25">
        <v>0</v>
      </c>
      <c r="CC68" s="25">
        <v>2640.9916912795111</v>
      </c>
      <c r="CD68" s="25">
        <v>485.66329839225301</v>
      </c>
      <c r="CE68" s="25">
        <v>3.2826339988799145</v>
      </c>
      <c r="CF68" s="25">
        <v>8978.2773495050624</v>
      </c>
      <c r="CG68" s="25">
        <v>48479</v>
      </c>
      <c r="CH68"/>
      <c r="CI68">
        <f t="shared" si="0"/>
        <v>0.1851993100003107</v>
      </c>
      <c r="CJ68"/>
      <c r="CK68"/>
      <c r="CL68"/>
      <c r="CM68"/>
      <c r="CN68"/>
      <c r="CO68"/>
      <c r="CP68"/>
      <c r="CQ68"/>
      <c r="CR68"/>
      <c r="CS68"/>
      <c r="CT68"/>
      <c r="CU68"/>
    </row>
    <row r="69" spans="1:99" s="5" customFormat="1" x14ac:dyDescent="0.3">
      <c r="A69" s="35" t="s">
        <v>73</v>
      </c>
      <c r="B69" s="11" t="s">
        <v>147</v>
      </c>
      <c r="C69" s="5">
        <v>64</v>
      </c>
      <c r="D69" s="25">
        <v>32.649423028091199</v>
      </c>
      <c r="E69" s="25">
        <v>18.755261157951061</v>
      </c>
      <c r="F69" s="25">
        <v>29.35477031948778</v>
      </c>
      <c r="G69" s="25">
        <v>536.17133510112262</v>
      </c>
      <c r="H69" s="25">
        <v>1105.0543823110036</v>
      </c>
      <c r="I69" s="25">
        <v>840.96716723066106</v>
      </c>
      <c r="J69" s="25">
        <v>200.98821522101832</v>
      </c>
      <c r="K69" s="25">
        <v>934.50170802081868</v>
      </c>
      <c r="L69" s="25">
        <v>431.23671092684219</v>
      </c>
      <c r="M69" s="25">
        <v>1456.6948204968085</v>
      </c>
      <c r="N69" s="25">
        <v>1105.5168647542537</v>
      </c>
      <c r="O69" s="25">
        <v>150.87684554241133</v>
      </c>
      <c r="P69" s="25">
        <v>213.69838746672355</v>
      </c>
      <c r="Q69" s="25">
        <v>201.22557205859525</v>
      </c>
      <c r="R69" s="25">
        <v>286.27648391460298</v>
      </c>
      <c r="S69" s="25">
        <v>57.538058185312742</v>
      </c>
      <c r="T69" s="25">
        <v>725.10994721928114</v>
      </c>
      <c r="U69" s="25">
        <v>36.002924232523554</v>
      </c>
      <c r="V69" s="25">
        <v>293.44293323880748</v>
      </c>
      <c r="W69" s="25">
        <v>7.5254107204557679</v>
      </c>
      <c r="X69" s="25">
        <v>4.808485896746191E-2</v>
      </c>
      <c r="Y69" s="25">
        <v>530.39057472236584</v>
      </c>
      <c r="Z69" s="25">
        <v>607.80239758586833</v>
      </c>
      <c r="AA69" s="25">
        <v>985.40458337874952</v>
      </c>
      <c r="AB69" s="25">
        <v>413.05358781774072</v>
      </c>
      <c r="AC69" s="25">
        <v>1363.2085286645388</v>
      </c>
      <c r="AD69" s="25">
        <v>792.36284824142285</v>
      </c>
      <c r="AE69" s="25">
        <v>824.268855190566</v>
      </c>
      <c r="AF69" s="25">
        <v>665.80550378299245</v>
      </c>
      <c r="AG69" s="25">
        <v>665.1474890448012</v>
      </c>
      <c r="AH69" s="25">
        <v>813.0239229424418</v>
      </c>
      <c r="AI69" s="25">
        <v>989.39069107945761</v>
      </c>
      <c r="AJ69" s="25">
        <v>719.62156526722526</v>
      </c>
      <c r="AK69" s="25">
        <v>2151.6935586468908</v>
      </c>
      <c r="AL69" s="25">
        <v>1610.6231247984024</v>
      </c>
      <c r="AM69" s="25">
        <v>435.6103670677503</v>
      </c>
      <c r="AN69" s="25">
        <v>159.95456206518563</v>
      </c>
      <c r="AO69" s="25">
        <v>311.09128867234108</v>
      </c>
      <c r="AP69" s="25">
        <v>457.37414964008502</v>
      </c>
      <c r="AQ69" s="25">
        <v>2733.1140757594053</v>
      </c>
      <c r="AR69" s="25">
        <v>446.45666726864272</v>
      </c>
      <c r="AS69" s="25">
        <v>319.86954166799444</v>
      </c>
      <c r="AT69" s="25">
        <v>184.18106761558121</v>
      </c>
      <c r="AU69" s="25">
        <v>442.03788754256817</v>
      </c>
      <c r="AV69" s="25">
        <v>1940.5177302309221</v>
      </c>
      <c r="AW69" s="25">
        <v>2052.8728961320053</v>
      </c>
      <c r="AX69" s="25">
        <v>34387.888269365707</v>
      </c>
      <c r="AY69" s="40">
        <v>2256.388089598539</v>
      </c>
      <c r="AZ69" s="25">
        <v>101.70296743531351</v>
      </c>
      <c r="BA69" s="25">
        <v>993.32183300690144</v>
      </c>
      <c r="BB69" s="25">
        <v>3310.347216834426</v>
      </c>
      <c r="BC69" s="25">
        <v>963.8540989232057</v>
      </c>
      <c r="BD69" s="25">
        <v>2351.7966015597917</v>
      </c>
      <c r="BE69" s="25">
        <v>227.39343922081298</v>
      </c>
      <c r="BF69" s="25">
        <v>1016.0364473026622</v>
      </c>
      <c r="BG69" s="25">
        <v>18009.30608658319</v>
      </c>
      <c r="BH69" s="25">
        <v>6538.2520784141834</v>
      </c>
      <c r="BI69" s="25">
        <v>20801.038659864713</v>
      </c>
      <c r="BJ69" s="25">
        <v>1551.8024596373566</v>
      </c>
      <c r="BK69" s="25">
        <v>4590.9657980645143</v>
      </c>
      <c r="BL69" s="25">
        <v>548.73087473248006</v>
      </c>
      <c r="BM69" s="25">
        <v>764.43175477833711</v>
      </c>
      <c r="BN69" s="25">
        <v>694.41207160454451</v>
      </c>
      <c r="BO69" s="25">
        <v>7148.239509064646</v>
      </c>
      <c r="BP69" s="25">
        <v>413.07854929836788</v>
      </c>
      <c r="BQ69" s="25">
        <v>26280.895753210785</v>
      </c>
      <c r="BR69" s="25">
        <v>11439.974337001982</v>
      </c>
      <c r="BS69" s="25">
        <v>4317.8972991269766</v>
      </c>
      <c r="BT69" s="25">
        <v>10166.818410314007</v>
      </c>
      <c r="BU69" s="25">
        <v>4405.3130286183668</v>
      </c>
      <c r="BV69" s="25">
        <v>1168.3698969347392</v>
      </c>
      <c r="BW69" s="25">
        <v>7014.5432379977537</v>
      </c>
      <c r="BX69" s="25">
        <v>0</v>
      </c>
      <c r="BY69" s="72">
        <f t="shared" si="1"/>
        <v>202741.31153932598</v>
      </c>
      <c r="BZ69" s="25">
        <v>7098.179265942661</v>
      </c>
      <c r="CA69" s="25">
        <v>0.15880054254801407</v>
      </c>
      <c r="CB69" s="25">
        <v>36935</v>
      </c>
      <c r="CC69" s="25">
        <v>14910.063280014376</v>
      </c>
      <c r="CD69" s="25">
        <v>30.287114208055485</v>
      </c>
      <c r="CE69" s="25">
        <v>0</v>
      </c>
      <c r="CF69" s="25">
        <v>58973.688460707635</v>
      </c>
      <c r="CG69" s="25">
        <v>261715</v>
      </c>
      <c r="CH69"/>
      <c r="CI69">
        <f t="shared" si="0"/>
        <v>0.22533553086642966</v>
      </c>
      <c r="CJ69"/>
      <c r="CK69"/>
      <c r="CL69"/>
      <c r="CM69"/>
      <c r="CN69"/>
      <c r="CO69"/>
      <c r="CP69"/>
      <c r="CQ69"/>
      <c r="CR69"/>
      <c r="CS69"/>
      <c r="CT69"/>
      <c r="CU69"/>
    </row>
    <row r="70" spans="1:99" s="5" customFormat="1" x14ac:dyDescent="0.3">
      <c r="A70" s="35" t="s">
        <v>74</v>
      </c>
      <c r="B70" s="11" t="s">
        <v>148</v>
      </c>
      <c r="C70" s="5">
        <v>65</v>
      </c>
      <c r="D70" s="25">
        <v>1.907882371450748</v>
      </c>
      <c r="E70" s="25">
        <v>0.48734656155973116</v>
      </c>
      <c r="F70" s="25">
        <v>1.9603187760086069</v>
      </c>
      <c r="G70" s="25">
        <v>7.6968911749750628</v>
      </c>
      <c r="H70" s="25">
        <v>127.69534052883463</v>
      </c>
      <c r="I70" s="25">
        <v>93.027520909891479</v>
      </c>
      <c r="J70" s="25">
        <v>17.274263635549723</v>
      </c>
      <c r="K70" s="25">
        <v>379.91235068989135</v>
      </c>
      <c r="L70" s="25">
        <v>99.656064451783166</v>
      </c>
      <c r="M70" s="25">
        <v>346.34328667956413</v>
      </c>
      <c r="N70" s="25">
        <v>122.87558807079138</v>
      </c>
      <c r="O70" s="25">
        <v>118.85417793800191</v>
      </c>
      <c r="P70" s="25">
        <v>31.921961763906456</v>
      </c>
      <c r="Q70" s="25">
        <v>31.064384860588024</v>
      </c>
      <c r="R70" s="25">
        <v>45.298953826524517</v>
      </c>
      <c r="S70" s="25">
        <v>65.240512135197889</v>
      </c>
      <c r="T70" s="25">
        <v>508.88854248996728</v>
      </c>
      <c r="U70" s="25">
        <v>16.364065739302706</v>
      </c>
      <c r="V70" s="25">
        <v>134.50498390270354</v>
      </c>
      <c r="W70" s="25">
        <v>3.4494108842361895</v>
      </c>
      <c r="X70" s="25">
        <v>2.204058250780495E-2</v>
      </c>
      <c r="Y70" s="25">
        <v>2.048708216454096</v>
      </c>
      <c r="Z70" s="25">
        <v>278.22912418076567</v>
      </c>
      <c r="AA70" s="25">
        <v>178.43621708116024</v>
      </c>
      <c r="AB70" s="25">
        <v>38.538573326914829</v>
      </c>
      <c r="AC70" s="25">
        <v>250.2135137259277</v>
      </c>
      <c r="AD70" s="25">
        <v>227.49956690980653</v>
      </c>
      <c r="AE70" s="25">
        <v>414.98244519779206</v>
      </c>
      <c r="AF70" s="25">
        <v>87.548525850318399</v>
      </c>
      <c r="AG70" s="25">
        <v>71.084426126538133</v>
      </c>
      <c r="AH70" s="25">
        <v>186.17602742198338</v>
      </c>
      <c r="AI70" s="25">
        <v>146.13483915549162</v>
      </c>
      <c r="AJ70" s="25">
        <v>96.119728193658503</v>
      </c>
      <c r="AK70" s="25">
        <v>252.48727749669695</v>
      </c>
      <c r="AL70" s="25">
        <v>647.62262244836347</v>
      </c>
      <c r="AM70" s="25">
        <v>312.46624031072156</v>
      </c>
      <c r="AN70" s="25">
        <v>89.149442958866487</v>
      </c>
      <c r="AO70" s="25">
        <v>57.834482220038481</v>
      </c>
      <c r="AP70" s="25">
        <v>210.98389794575056</v>
      </c>
      <c r="AQ70" s="25">
        <v>283.161293237047</v>
      </c>
      <c r="AR70" s="25">
        <v>46.254654498080122</v>
      </c>
      <c r="AS70" s="25">
        <v>33.13973386225539</v>
      </c>
      <c r="AT70" s="25">
        <v>19.081877978809608</v>
      </c>
      <c r="AU70" s="25">
        <v>548.83558735337635</v>
      </c>
      <c r="AV70" s="25">
        <v>578.26143829970658</v>
      </c>
      <c r="AW70" s="25">
        <v>734.48410141703334</v>
      </c>
      <c r="AX70" s="25">
        <v>5576.1445484668102</v>
      </c>
      <c r="AY70" s="40">
        <v>1584.7038377001663</v>
      </c>
      <c r="AZ70" s="25">
        <v>24.92781256572988</v>
      </c>
      <c r="BA70" s="25">
        <v>192.55159066615735</v>
      </c>
      <c r="BB70" s="25">
        <v>3195.2707181322726</v>
      </c>
      <c r="BC70" s="25">
        <v>107.59958893571401</v>
      </c>
      <c r="BD70" s="25">
        <v>717.78816399094251</v>
      </c>
      <c r="BE70" s="25">
        <v>30.752881909411364</v>
      </c>
      <c r="BF70" s="25">
        <v>299.89363554041813</v>
      </c>
      <c r="BG70" s="25">
        <v>598.24394893607109</v>
      </c>
      <c r="BH70" s="25">
        <v>594.26717166641583</v>
      </c>
      <c r="BI70" s="25">
        <v>5066.1246937467113</v>
      </c>
      <c r="BJ70" s="25">
        <v>207.4571169568145</v>
      </c>
      <c r="BK70" s="25">
        <v>882.34939176338287</v>
      </c>
      <c r="BL70" s="25">
        <v>11.760968237936002</v>
      </c>
      <c r="BM70" s="25">
        <v>215.87582210967875</v>
      </c>
      <c r="BN70" s="25">
        <v>131.50020497398734</v>
      </c>
      <c r="BO70" s="25">
        <v>860.06985621587103</v>
      </c>
      <c r="BP70" s="25">
        <v>47.962383080056355</v>
      </c>
      <c r="BQ70" s="25">
        <v>7774.7084209636632</v>
      </c>
      <c r="BR70" s="25">
        <v>3379.7286305500447</v>
      </c>
      <c r="BS70" s="25">
        <v>1502.7259835834338</v>
      </c>
      <c r="BT70" s="25">
        <v>1455.9510072517671</v>
      </c>
      <c r="BU70" s="25">
        <v>1.4681232539730655</v>
      </c>
      <c r="BV70" s="25">
        <v>165.63288088673085</v>
      </c>
      <c r="BW70" s="25">
        <v>3.9649981402501111</v>
      </c>
      <c r="BX70" s="25">
        <v>0</v>
      </c>
      <c r="BY70" s="72">
        <f t="shared" si="1"/>
        <v>42574.644613611206</v>
      </c>
      <c r="BZ70" s="25">
        <v>4.6504577663059132</v>
      </c>
      <c r="CA70" s="25">
        <v>0.10050667249874308</v>
      </c>
      <c r="CB70" s="25">
        <v>0</v>
      </c>
      <c r="CC70" s="25">
        <v>514.03577602316886</v>
      </c>
      <c r="CD70" s="25">
        <v>2.5686459281033156</v>
      </c>
      <c r="CE70" s="25">
        <v>0</v>
      </c>
      <c r="CF70" s="25">
        <v>521.35538639007689</v>
      </c>
      <c r="CG70" s="25">
        <v>43096</v>
      </c>
      <c r="CH70"/>
      <c r="CI70">
        <f t="shared" si="0"/>
        <v>1.2097535418370078E-2</v>
      </c>
      <c r="CJ70"/>
      <c r="CK70"/>
      <c r="CL70"/>
      <c r="CM70"/>
      <c r="CN70"/>
      <c r="CO70"/>
      <c r="CP70"/>
      <c r="CQ70"/>
      <c r="CR70"/>
      <c r="CS70"/>
      <c r="CT70"/>
      <c r="CU70"/>
    </row>
    <row r="71" spans="1:99" s="5" customFormat="1" x14ac:dyDescent="0.3">
      <c r="A71" s="35" t="s">
        <v>75</v>
      </c>
      <c r="B71" s="11" t="s">
        <v>149</v>
      </c>
      <c r="C71" s="5">
        <v>66</v>
      </c>
      <c r="D71" s="25">
        <v>287.04852784451367</v>
      </c>
      <c r="E71" s="25">
        <v>117.96534890945979</v>
      </c>
      <c r="F71" s="25">
        <v>22.219313916159944</v>
      </c>
      <c r="G71" s="25">
        <v>29.510197218123029</v>
      </c>
      <c r="H71" s="25">
        <v>618.18889644974422</v>
      </c>
      <c r="I71" s="25">
        <v>271.26173179985699</v>
      </c>
      <c r="J71" s="25">
        <v>40.93591097223608</v>
      </c>
      <c r="K71" s="25">
        <v>507.10544786347327</v>
      </c>
      <c r="L71" s="25">
        <v>93.451508298468951</v>
      </c>
      <c r="M71" s="25">
        <v>1000.7241142669925</v>
      </c>
      <c r="N71" s="25">
        <v>566.82864067934725</v>
      </c>
      <c r="O71" s="25">
        <v>69.080296869983215</v>
      </c>
      <c r="P71" s="25">
        <v>39.653621148474187</v>
      </c>
      <c r="Q71" s="25">
        <v>55.353349451117296</v>
      </c>
      <c r="R71" s="25">
        <v>89.305712871622603</v>
      </c>
      <c r="S71" s="25">
        <v>66.89326441837369</v>
      </c>
      <c r="T71" s="25">
        <v>304.24376339282782</v>
      </c>
      <c r="U71" s="25">
        <v>14.19256147244627</v>
      </c>
      <c r="V71" s="25">
        <v>226.90977531080588</v>
      </c>
      <c r="W71" s="25">
        <v>5.8228494038710989</v>
      </c>
      <c r="X71" s="25">
        <v>0.18776280709842402</v>
      </c>
      <c r="Y71" s="25">
        <v>71.54631701532746</v>
      </c>
      <c r="Z71" s="25">
        <v>928.14562514159638</v>
      </c>
      <c r="AA71" s="25">
        <v>335.42047479093361</v>
      </c>
      <c r="AB71" s="25">
        <v>229.37249019178245</v>
      </c>
      <c r="AC71" s="25">
        <v>409.50967957532578</v>
      </c>
      <c r="AD71" s="25">
        <v>197.38597703956509</v>
      </c>
      <c r="AE71" s="25">
        <v>225.04424592634516</v>
      </c>
      <c r="AF71" s="25">
        <v>596.78024564842895</v>
      </c>
      <c r="AG71" s="25">
        <v>272.1380599987454</v>
      </c>
      <c r="AH71" s="25">
        <v>165.51574501616787</v>
      </c>
      <c r="AI71" s="25">
        <v>231.98448993787341</v>
      </c>
      <c r="AJ71" s="25">
        <v>180.44031178512384</v>
      </c>
      <c r="AK71" s="25">
        <v>235.51382376645969</v>
      </c>
      <c r="AL71" s="25">
        <v>662.97086087777745</v>
      </c>
      <c r="AM71" s="25">
        <v>155.92218404858696</v>
      </c>
      <c r="AN71" s="25">
        <v>63.373229293612134</v>
      </c>
      <c r="AO71" s="25">
        <v>86.574589455581801</v>
      </c>
      <c r="AP71" s="25">
        <v>86.821987603223789</v>
      </c>
      <c r="AQ71" s="25">
        <v>454.43975043351361</v>
      </c>
      <c r="AR71" s="25">
        <v>103.88576694770563</v>
      </c>
      <c r="AS71" s="25">
        <v>42.989868002769896</v>
      </c>
      <c r="AT71" s="25">
        <v>33.735984529936225</v>
      </c>
      <c r="AU71" s="25">
        <v>188.69075650322367</v>
      </c>
      <c r="AV71" s="25">
        <v>419.85520756134832</v>
      </c>
      <c r="AW71" s="25">
        <v>459.19527429173968</v>
      </c>
      <c r="AX71" s="25">
        <v>3654.3875471763286</v>
      </c>
      <c r="AY71" s="40">
        <v>539.12999832229548</v>
      </c>
      <c r="AZ71" s="25">
        <v>102.5099329973319</v>
      </c>
      <c r="BA71" s="25">
        <v>230.15109923844281</v>
      </c>
      <c r="BB71" s="25">
        <v>547.05289378990267</v>
      </c>
      <c r="BC71" s="25">
        <v>90.371603926043434</v>
      </c>
      <c r="BD71" s="25">
        <v>285.91631769747431</v>
      </c>
      <c r="BE71" s="25">
        <v>70.407561833964252</v>
      </c>
      <c r="BF71" s="25">
        <v>290.6133152351332</v>
      </c>
      <c r="BG71" s="25">
        <v>485.50333563571149</v>
      </c>
      <c r="BH71" s="25">
        <v>438.71221044932014</v>
      </c>
      <c r="BI71" s="25">
        <v>1584.9789784563361</v>
      </c>
      <c r="BJ71" s="25">
        <v>208.14764062974933</v>
      </c>
      <c r="BK71" s="25">
        <v>956.03408087952698</v>
      </c>
      <c r="BL71" s="25">
        <v>401.00097508719585</v>
      </c>
      <c r="BM71" s="25">
        <v>359.19504244813345</v>
      </c>
      <c r="BN71" s="25">
        <v>135.45641456319268</v>
      </c>
      <c r="BO71" s="25">
        <v>847.27995892570129</v>
      </c>
      <c r="BP71" s="25">
        <v>63.421325289456178</v>
      </c>
      <c r="BQ71" s="25">
        <v>1923.8449102739464</v>
      </c>
      <c r="BR71" s="25">
        <v>410.89876026481767</v>
      </c>
      <c r="BS71" s="25">
        <v>423.74671502987565</v>
      </c>
      <c r="BT71" s="25">
        <v>415.91501108463763</v>
      </c>
      <c r="BU71" s="25">
        <v>461.85662646024542</v>
      </c>
      <c r="BV71" s="25">
        <v>208.03805596239246</v>
      </c>
      <c r="BW71" s="25">
        <v>711.8398827478328</v>
      </c>
      <c r="BX71" s="25">
        <v>0</v>
      </c>
      <c r="BY71" s="72">
        <f t="shared" si="1"/>
        <v>27110.545735152675</v>
      </c>
      <c r="BZ71" s="25">
        <v>2675.7793172376355</v>
      </c>
      <c r="CA71" s="25">
        <v>804207.61974603636</v>
      </c>
      <c r="CB71" s="25">
        <v>239.50738606091164</v>
      </c>
      <c r="CC71" s="25">
        <v>14024.792419332854</v>
      </c>
      <c r="CD71" s="25">
        <v>10427.517294669809</v>
      </c>
      <c r="CE71" s="25">
        <v>78.238101509793609</v>
      </c>
      <c r="CF71" s="25">
        <v>831653.45426484733</v>
      </c>
      <c r="CG71" s="25">
        <v>858764</v>
      </c>
      <c r="CH71"/>
      <c r="CI71">
        <f t="shared" ref="CI71:CI78" si="2">CF71/CG71</f>
        <v>0.9684307379732352</v>
      </c>
      <c r="CJ71"/>
      <c r="CK71"/>
      <c r="CL71"/>
      <c r="CM71"/>
      <c r="CN71"/>
      <c r="CO71"/>
      <c r="CP71"/>
      <c r="CQ71"/>
      <c r="CR71"/>
      <c r="CS71"/>
      <c r="CT71"/>
      <c r="CU71"/>
    </row>
    <row r="72" spans="1:99" s="5" customFormat="1" x14ac:dyDescent="0.3">
      <c r="A72" s="35" t="s">
        <v>76</v>
      </c>
      <c r="B72" s="11" t="s">
        <v>150</v>
      </c>
      <c r="C72" s="5">
        <v>67</v>
      </c>
      <c r="D72" s="25">
        <v>2.0639267555544296</v>
      </c>
      <c r="E72" s="25">
        <v>0.27582278463743687</v>
      </c>
      <c r="F72" s="25">
        <v>8.1850937898453463E-2</v>
      </c>
      <c r="G72" s="25">
        <v>1.8878462751132687</v>
      </c>
      <c r="H72" s="25">
        <v>10.075169262200149</v>
      </c>
      <c r="I72" s="25">
        <v>45.752746597845565</v>
      </c>
      <c r="J72" s="25">
        <v>0.86904905760055107</v>
      </c>
      <c r="K72" s="25">
        <v>30.188433714169108</v>
      </c>
      <c r="L72" s="25">
        <v>3.3089813089860112</v>
      </c>
      <c r="M72" s="25">
        <v>20.077640325300095</v>
      </c>
      <c r="N72" s="25">
        <v>26.181813468370393</v>
      </c>
      <c r="O72" s="25">
        <v>5.3494283952472514</v>
      </c>
      <c r="P72" s="25">
        <v>0.82692949892132539</v>
      </c>
      <c r="Q72" s="25">
        <v>4.7370777111865516</v>
      </c>
      <c r="R72" s="25">
        <v>7.4683805082089147</v>
      </c>
      <c r="S72" s="25">
        <v>3.4470009539477098</v>
      </c>
      <c r="T72" s="25">
        <v>11.825420509978191</v>
      </c>
      <c r="U72" s="25">
        <v>0.44971819482643954</v>
      </c>
      <c r="V72" s="25">
        <v>3.852857050045583</v>
      </c>
      <c r="W72" s="25">
        <v>9.880739477614435E-2</v>
      </c>
      <c r="X72" s="25">
        <v>6.3134622404576032E-4</v>
      </c>
      <c r="Y72" s="25">
        <v>0.93157600810179186</v>
      </c>
      <c r="Z72" s="25">
        <v>31.679140939242913</v>
      </c>
      <c r="AA72" s="25">
        <v>11.890595267991705</v>
      </c>
      <c r="AB72" s="25">
        <v>19.671677564177742</v>
      </c>
      <c r="AC72" s="25">
        <v>69.643530629303115</v>
      </c>
      <c r="AD72" s="25">
        <v>12.860111052764756</v>
      </c>
      <c r="AE72" s="25">
        <v>10.966728555138715</v>
      </c>
      <c r="AF72" s="25">
        <v>12.991515864926425</v>
      </c>
      <c r="AG72" s="25">
        <v>33.764487429716837</v>
      </c>
      <c r="AH72" s="25">
        <v>5.9046013268793853</v>
      </c>
      <c r="AI72" s="25">
        <v>17.135074584868725</v>
      </c>
      <c r="AJ72" s="25">
        <v>38.438409301759435</v>
      </c>
      <c r="AK72" s="25">
        <v>39.311970491869424</v>
      </c>
      <c r="AL72" s="25">
        <v>74.669615471071523</v>
      </c>
      <c r="AM72" s="25">
        <v>42.389988946562234</v>
      </c>
      <c r="AN72" s="25">
        <v>7.6822037092862256</v>
      </c>
      <c r="AO72" s="25">
        <v>7.1659021010442876</v>
      </c>
      <c r="AP72" s="25">
        <v>1.9204625856005966</v>
      </c>
      <c r="AQ72" s="25">
        <v>31.705838765293208</v>
      </c>
      <c r="AR72" s="25">
        <v>5.1791775665919282</v>
      </c>
      <c r="AS72" s="25">
        <v>3.7106874550180464</v>
      </c>
      <c r="AT72" s="25">
        <v>2.16648939721592</v>
      </c>
      <c r="AU72" s="25">
        <v>5.0518170914481608</v>
      </c>
      <c r="AV72" s="25">
        <v>14.883541925181662</v>
      </c>
      <c r="AW72" s="25">
        <v>9.194201743317544</v>
      </c>
      <c r="AX72" s="25">
        <v>146.24541251894161</v>
      </c>
      <c r="AY72" s="40">
        <v>14.203746203344206</v>
      </c>
      <c r="AZ72" s="25">
        <v>0.96434272526636722</v>
      </c>
      <c r="BA72" s="25">
        <v>1.539697915840359</v>
      </c>
      <c r="BB72" s="25">
        <v>14.690298679584528</v>
      </c>
      <c r="BC72" s="25">
        <v>2.3003477561564694</v>
      </c>
      <c r="BD72" s="25">
        <v>6.4628035097244343</v>
      </c>
      <c r="BE72" s="25">
        <v>1.308830553431215</v>
      </c>
      <c r="BF72" s="25">
        <v>2.7304267018625623</v>
      </c>
      <c r="BG72" s="25">
        <v>52.387588101802052</v>
      </c>
      <c r="BH72" s="25">
        <v>40.550455982106371</v>
      </c>
      <c r="BI72" s="25">
        <v>61.74464494303318</v>
      </c>
      <c r="BJ72" s="25">
        <v>4.0011354084452124</v>
      </c>
      <c r="BK72" s="25">
        <v>40.435685507104324</v>
      </c>
      <c r="BL72" s="25">
        <v>217.34121964459115</v>
      </c>
      <c r="BM72" s="25">
        <v>7.5854360695776002</v>
      </c>
      <c r="BN72" s="25">
        <v>11.244167570129857</v>
      </c>
      <c r="BO72" s="25">
        <v>26.249768743151524</v>
      </c>
      <c r="BP72" s="25">
        <v>2.7642098928074099</v>
      </c>
      <c r="BQ72" s="25">
        <v>52.523195476353287</v>
      </c>
      <c r="BR72" s="25">
        <v>16.285785393971757</v>
      </c>
      <c r="BS72" s="25">
        <v>9.4770716347897128</v>
      </c>
      <c r="BT72" s="25">
        <v>20.380088899879862</v>
      </c>
      <c r="BU72" s="25">
        <v>24.763166901748136</v>
      </c>
      <c r="BV72" s="25">
        <v>4.3853023230014561</v>
      </c>
      <c r="BW72" s="25">
        <v>22.111277585626347</v>
      </c>
      <c r="BX72" s="25">
        <v>0</v>
      </c>
      <c r="BY72" s="72">
        <f t="shared" ref="BY72:BY78" si="3">SUM(D72:BX72)</f>
        <v>1494.4049844676808</v>
      </c>
      <c r="BZ72" s="25">
        <v>72.195535644544861</v>
      </c>
      <c r="CA72" s="25">
        <v>335706.38581842551</v>
      </c>
      <c r="CB72" s="25">
        <v>4.2809484004282847</v>
      </c>
      <c r="CC72" s="25">
        <v>1022.7192815821425</v>
      </c>
      <c r="CD72" s="25">
        <v>12795.103448563041</v>
      </c>
      <c r="CE72" s="25">
        <v>-9.0017064846416389E-2</v>
      </c>
      <c r="CF72" s="25">
        <v>349600.59501555085</v>
      </c>
      <c r="CG72" s="25">
        <v>351095</v>
      </c>
      <c r="CH72"/>
      <c r="CI72">
        <f t="shared" si="2"/>
        <v>0.99574358796209239</v>
      </c>
      <c r="CJ72"/>
      <c r="CK72"/>
      <c r="CL72"/>
      <c r="CM72"/>
      <c r="CN72"/>
      <c r="CO72"/>
      <c r="CP72"/>
      <c r="CQ72"/>
      <c r="CR72"/>
      <c r="CS72"/>
      <c r="CT72"/>
      <c r="CU72"/>
    </row>
    <row r="73" spans="1:99" s="5" customFormat="1" x14ac:dyDescent="0.3">
      <c r="A73" s="35" t="s">
        <v>77</v>
      </c>
      <c r="B73" s="11" t="s">
        <v>151</v>
      </c>
      <c r="C73" s="5">
        <v>68</v>
      </c>
      <c r="D73" s="25">
        <v>7.6931196588894162</v>
      </c>
      <c r="E73" s="25">
        <v>3.4398061804698274</v>
      </c>
      <c r="F73" s="25">
        <v>0.23531890688741866</v>
      </c>
      <c r="G73" s="25">
        <v>1.1688349380460785</v>
      </c>
      <c r="H73" s="25">
        <v>32.090803239325453</v>
      </c>
      <c r="I73" s="25">
        <v>239.18651354077423</v>
      </c>
      <c r="J73" s="25">
        <v>32.206601350399488</v>
      </c>
      <c r="K73" s="25">
        <v>13.012275714823172</v>
      </c>
      <c r="L73" s="25">
        <v>0.53031690533919018</v>
      </c>
      <c r="M73" s="25">
        <v>39.269288462979574</v>
      </c>
      <c r="N73" s="25">
        <v>2.7849762096012798</v>
      </c>
      <c r="O73" s="25">
        <v>0.82902132452038613</v>
      </c>
      <c r="P73" s="25">
        <v>2.7504210464847763</v>
      </c>
      <c r="Q73" s="25">
        <v>2.5535982868458889</v>
      </c>
      <c r="R73" s="25">
        <v>1.8939423692618824</v>
      </c>
      <c r="S73" s="25">
        <v>0.82405929004859957</v>
      </c>
      <c r="T73" s="25">
        <v>55.353458389648281</v>
      </c>
      <c r="U73" s="25">
        <v>0.4775425967895906</v>
      </c>
      <c r="V73" s="25">
        <v>16.305044856813964</v>
      </c>
      <c r="W73" s="25">
        <v>0.41814658137677307</v>
      </c>
      <c r="X73" s="25">
        <v>2.6718168801836161E-3</v>
      </c>
      <c r="Y73" s="25">
        <v>0.79686294057605755</v>
      </c>
      <c r="Z73" s="25">
        <v>20.174624758939185</v>
      </c>
      <c r="AA73" s="25">
        <v>45.392102798355651</v>
      </c>
      <c r="AB73" s="25">
        <v>2.2188091099398242</v>
      </c>
      <c r="AC73" s="25">
        <v>4.9579920785830529</v>
      </c>
      <c r="AD73" s="25">
        <v>5.4647431781057154</v>
      </c>
      <c r="AE73" s="25">
        <v>2.2694667730187046</v>
      </c>
      <c r="AF73" s="25">
        <v>300.16181748548058</v>
      </c>
      <c r="AG73" s="25">
        <v>102.58528080084747</v>
      </c>
      <c r="AH73" s="25">
        <v>88.954361061399979</v>
      </c>
      <c r="AI73" s="25">
        <v>4.6984768810331072</v>
      </c>
      <c r="AJ73" s="25">
        <v>3.8106452399874771</v>
      </c>
      <c r="AK73" s="25">
        <v>31.474397604149097</v>
      </c>
      <c r="AL73" s="25">
        <v>125.67488215651107</v>
      </c>
      <c r="AM73" s="25">
        <v>6.565912956829802</v>
      </c>
      <c r="AN73" s="25">
        <v>0.88875294031319196</v>
      </c>
      <c r="AO73" s="25">
        <v>2.3893290269975265</v>
      </c>
      <c r="AP73" s="25">
        <v>13.887960629071138</v>
      </c>
      <c r="AQ73" s="25">
        <v>133.58868042921898</v>
      </c>
      <c r="AR73" s="25">
        <v>21.821832311435166</v>
      </c>
      <c r="AS73" s="25">
        <v>15.634528525507482</v>
      </c>
      <c r="AT73" s="25">
        <v>9.0023705929558737</v>
      </c>
      <c r="AU73" s="25">
        <v>1.9707052682565673</v>
      </c>
      <c r="AV73" s="25">
        <v>11.945281151936943</v>
      </c>
      <c r="AW73" s="25">
        <v>38.038843675537215</v>
      </c>
      <c r="AX73" s="25">
        <v>1167.9270917518841</v>
      </c>
      <c r="AY73" s="40">
        <v>1448.9608851220555</v>
      </c>
      <c r="AZ73" s="25">
        <v>99.031452795503299</v>
      </c>
      <c r="BA73" s="25">
        <v>14.563146371186113</v>
      </c>
      <c r="BB73" s="25">
        <v>361.18155596885236</v>
      </c>
      <c r="BC73" s="25">
        <v>3.4071223149043863</v>
      </c>
      <c r="BD73" s="25">
        <v>15.760841476762209</v>
      </c>
      <c r="BE73" s="25">
        <v>0.69144612366886116</v>
      </c>
      <c r="BF73" s="25">
        <v>1.1102350488226516</v>
      </c>
      <c r="BG73" s="25">
        <v>69.804466120173885</v>
      </c>
      <c r="BH73" s="25">
        <v>5.3559695425427449</v>
      </c>
      <c r="BI73" s="25">
        <v>2315.4388469453534</v>
      </c>
      <c r="BJ73" s="25">
        <v>4.3591810524838177</v>
      </c>
      <c r="BK73" s="25">
        <v>3599.9208111515995</v>
      </c>
      <c r="BL73" s="25">
        <v>207.77212617743078</v>
      </c>
      <c r="BM73" s="25">
        <v>822.59775964373694</v>
      </c>
      <c r="BN73" s="25">
        <v>83.583001871973934</v>
      </c>
      <c r="BO73" s="25">
        <v>2309.1202065329398</v>
      </c>
      <c r="BP73" s="25">
        <v>184.11821011257584</v>
      </c>
      <c r="BQ73" s="25">
        <v>511.90672001070294</v>
      </c>
      <c r="BR73" s="25">
        <v>159.47710499957969</v>
      </c>
      <c r="BS73" s="25">
        <v>8.9007030056402883</v>
      </c>
      <c r="BT73" s="25">
        <v>571.81095619896587</v>
      </c>
      <c r="BU73" s="25">
        <v>9.1103491062203279</v>
      </c>
      <c r="BV73" s="25">
        <v>6.7983796621682746</v>
      </c>
      <c r="BW73" s="25">
        <v>622.26668220225201</v>
      </c>
      <c r="BX73" s="25">
        <v>0</v>
      </c>
      <c r="BY73" s="72">
        <f t="shared" si="3"/>
        <v>16052.369673351172</v>
      </c>
      <c r="BZ73" s="25">
        <v>92.455577528246238</v>
      </c>
      <c r="CA73" s="25">
        <v>0.51459416319356455</v>
      </c>
      <c r="CB73" s="25">
        <v>0</v>
      </c>
      <c r="CC73" s="25">
        <v>126599.373906023</v>
      </c>
      <c r="CD73" s="25">
        <v>692.28624894467021</v>
      </c>
      <c r="CE73" s="25">
        <v>0</v>
      </c>
      <c r="CF73" s="25">
        <v>127384.63032665911</v>
      </c>
      <c r="CG73" s="25">
        <v>143437</v>
      </c>
      <c r="CH73"/>
      <c r="CI73">
        <f t="shared" si="2"/>
        <v>0.88808766445658449</v>
      </c>
      <c r="CJ73"/>
      <c r="CK73"/>
      <c r="CL73"/>
      <c r="CM73"/>
      <c r="CN73"/>
      <c r="CO73"/>
      <c r="CP73"/>
      <c r="CQ73"/>
      <c r="CR73"/>
      <c r="CS73"/>
      <c r="CT73"/>
      <c r="CU73"/>
    </row>
    <row r="74" spans="1:99" s="5" customFormat="1" x14ac:dyDescent="0.3">
      <c r="A74" s="35" t="s">
        <v>78</v>
      </c>
      <c r="B74" s="11" t="s">
        <v>152</v>
      </c>
      <c r="C74" s="5">
        <v>69</v>
      </c>
      <c r="D74" s="25">
        <v>3.2294223729739297E-5</v>
      </c>
      <c r="E74" s="25">
        <v>2.8257445763521883E-5</v>
      </c>
      <c r="F74" s="25">
        <v>3.6331001695956711E-5</v>
      </c>
      <c r="G74" s="25">
        <v>6.1031998076404026E-2</v>
      </c>
      <c r="H74" s="25">
        <v>2.1596762119263156E-3</v>
      </c>
      <c r="I74" s="25">
        <v>4.3869569256025747</v>
      </c>
      <c r="J74" s="25">
        <v>8.8809115256783077E-5</v>
      </c>
      <c r="K74" s="25">
        <v>2.6230680012243184</v>
      </c>
      <c r="L74" s="25">
        <v>0.24430561053612967</v>
      </c>
      <c r="M74" s="25">
        <v>1.2514627556917148</v>
      </c>
      <c r="N74" s="25">
        <v>2.4069289849500528</v>
      </c>
      <c r="O74" s="25">
        <v>0.487509180687482</v>
      </c>
      <c r="P74" s="25">
        <v>1.4007619542774419E-3</v>
      </c>
      <c r="Q74" s="25">
        <v>0.39773332910004544</v>
      </c>
      <c r="R74" s="25">
        <v>0.70109695328709887</v>
      </c>
      <c r="S74" s="25">
        <v>0.33528845873546531</v>
      </c>
      <c r="T74" s="25">
        <v>0.94516035714525537</v>
      </c>
      <c r="U74" s="25">
        <v>3.0697654046681799E-2</v>
      </c>
      <c r="V74" s="25">
        <v>8.5787658126258574E-4</v>
      </c>
      <c r="W74" s="25">
        <v>2.2000439915884898E-5</v>
      </c>
      <c r="X74" s="25">
        <v>1.4057545692514377E-7</v>
      </c>
      <c r="Y74" s="25">
        <v>9.6882671189217888E-4</v>
      </c>
      <c r="Z74" s="25">
        <v>2.773028127515254</v>
      </c>
      <c r="AA74" s="25">
        <v>0.76207647324994199</v>
      </c>
      <c r="AB74" s="25">
        <v>1.859082131996356</v>
      </c>
      <c r="AC74" s="25">
        <v>6.79460849380858</v>
      </c>
      <c r="AD74" s="25">
        <v>1.068257768457415</v>
      </c>
      <c r="AE74" s="25">
        <v>0.82335471478228539</v>
      </c>
      <c r="AF74" s="25">
        <v>0.91539923558673608</v>
      </c>
      <c r="AG74" s="25">
        <v>3.3510438166020577</v>
      </c>
      <c r="AH74" s="25">
        <v>0.30585027941424331</v>
      </c>
      <c r="AI74" s="25">
        <v>1.3717505695393877</v>
      </c>
      <c r="AJ74" s="25">
        <v>3.8389243808624318</v>
      </c>
      <c r="AK74" s="25">
        <v>3.4738465431226837</v>
      </c>
      <c r="AL74" s="25">
        <v>7.34226965497583</v>
      </c>
      <c r="AM74" s="25">
        <v>4.2964019758676573</v>
      </c>
      <c r="AN74" s="25">
        <v>0.76187463435163116</v>
      </c>
      <c r="AO74" s="25">
        <v>0.64086423724800579</v>
      </c>
      <c r="AP74" s="25">
        <v>3.073802182634397E-2</v>
      </c>
      <c r="AQ74" s="25">
        <v>2.42302279024373</v>
      </c>
      <c r="AR74" s="25">
        <v>0.39580297406635273</v>
      </c>
      <c r="AS74" s="25">
        <v>0.28357806073316438</v>
      </c>
      <c r="AT74" s="25">
        <v>0.16328441184438147</v>
      </c>
      <c r="AU74" s="25">
        <v>0.33659637479651972</v>
      </c>
      <c r="AV74" s="25">
        <v>0.6143648322861901</v>
      </c>
      <c r="AW74" s="25">
        <v>1.7313740697106485E-2</v>
      </c>
      <c r="AX74" s="25">
        <v>5.184704507338088</v>
      </c>
      <c r="AY74" s="40">
        <v>6.0147991696639438E-3</v>
      </c>
      <c r="AZ74" s="25">
        <v>3.4716290509469747E-4</v>
      </c>
      <c r="BA74" s="25">
        <v>5.0056046781095907E-4</v>
      </c>
      <c r="BB74" s="25">
        <v>1.364834630378107E-2</v>
      </c>
      <c r="BC74" s="25">
        <v>5.8048867154206389E-3</v>
      </c>
      <c r="BD74" s="25">
        <v>2.6836499919413358E-2</v>
      </c>
      <c r="BE74" s="25">
        <v>6.1770728444221816E-2</v>
      </c>
      <c r="BF74" s="25">
        <v>2.1919704356560548E-3</v>
      </c>
      <c r="BG74" s="25">
        <v>1.9600802263298769</v>
      </c>
      <c r="BH74" s="25">
        <v>2.994083939352373</v>
      </c>
      <c r="BI74" s="25">
        <v>0.23796183795963752</v>
      </c>
      <c r="BJ74" s="25">
        <v>1.0273599924023314E-2</v>
      </c>
      <c r="BK74" s="25">
        <v>2.4511315810872125E-2</v>
      </c>
      <c r="BL74" s="25">
        <v>22.364055260976574</v>
      </c>
      <c r="BM74" s="25">
        <v>5.1226712391298961E-3</v>
      </c>
      <c r="BN74" s="25">
        <v>0.88863744005711631</v>
      </c>
      <c r="BO74" s="25">
        <v>0.1383967998041237</v>
      </c>
      <c r="BP74" s="25">
        <v>1.227180501730093E-3</v>
      </c>
      <c r="BQ74" s="25">
        <v>0.61901854751741858</v>
      </c>
      <c r="BR74" s="25">
        <v>5.4812655002414966E-2</v>
      </c>
      <c r="BS74" s="25">
        <v>5.3085624647323568E-2</v>
      </c>
      <c r="BT74" s="25">
        <v>0.10595587883353831</v>
      </c>
      <c r="BU74" s="25">
        <v>324.82556340841802</v>
      </c>
      <c r="BV74" s="25">
        <v>1.7568057708978176E-2</v>
      </c>
      <c r="BW74" s="25">
        <v>1.7220894803883481E-2</v>
      </c>
      <c r="BX74" s="25">
        <v>0</v>
      </c>
      <c r="BY74" s="72">
        <f t="shared" si="3"/>
        <v>418.13956422780484</v>
      </c>
      <c r="BZ74" s="25">
        <v>2.5367190612490513</v>
      </c>
      <c r="CA74" s="25">
        <v>198903.049000392</v>
      </c>
      <c r="CB74" s="25">
        <v>81.824529596236772</v>
      </c>
      <c r="CC74" s="25">
        <v>1941.8765092080926</v>
      </c>
      <c r="CD74" s="25">
        <v>1368.5736775162118</v>
      </c>
      <c r="CE74" s="25">
        <v>0</v>
      </c>
      <c r="CF74" s="25">
        <v>202297.86043577379</v>
      </c>
      <c r="CG74" s="25">
        <v>202716</v>
      </c>
      <c r="CH74"/>
      <c r="CI74">
        <f t="shared" si="2"/>
        <v>0.99793731346205428</v>
      </c>
      <c r="CJ74"/>
      <c r="CK74"/>
      <c r="CL74"/>
      <c r="CM74"/>
      <c r="CN74"/>
      <c r="CO74"/>
      <c r="CP74"/>
      <c r="CQ74"/>
      <c r="CR74"/>
      <c r="CS74"/>
      <c r="CT74"/>
      <c r="CU74"/>
    </row>
    <row r="75" spans="1:99" s="5" customFormat="1" x14ac:dyDescent="0.3">
      <c r="A75" s="35" t="s">
        <v>79</v>
      </c>
      <c r="B75" s="11" t="s">
        <v>153</v>
      </c>
      <c r="C75" s="5">
        <v>70</v>
      </c>
      <c r="D75" s="25">
        <v>1.1755097437625104E-2</v>
      </c>
      <c r="E75" s="25">
        <v>1.0285710257921965E-2</v>
      </c>
      <c r="F75" s="25">
        <v>1.3224484617328242E-2</v>
      </c>
      <c r="G75" s="25">
        <v>3.9163219281818547E-2</v>
      </c>
      <c r="H75" s="25">
        <v>0.78612214114117884</v>
      </c>
      <c r="I75" s="25">
        <v>0.1454671212312241</v>
      </c>
      <c r="J75" s="25">
        <v>3.2326517953469039E-2</v>
      </c>
      <c r="K75" s="25">
        <v>1.2079369828943807</v>
      </c>
      <c r="L75" s="25">
        <v>0.22130591303421226</v>
      </c>
      <c r="M75" s="25">
        <v>0.91451942093471872</v>
      </c>
      <c r="N75" s="25">
        <v>0.15102934091385145</v>
      </c>
      <c r="O75" s="25">
        <v>4.1469126009467838E-2</v>
      </c>
      <c r="P75" s="25">
        <v>0.50987735135698886</v>
      </c>
      <c r="Q75" s="25">
        <v>0.62778526897641762</v>
      </c>
      <c r="R75" s="25">
        <v>0.16972407041761389</v>
      </c>
      <c r="S75" s="25">
        <v>7.4336536798500746E-2</v>
      </c>
      <c r="T75" s="25">
        <v>0.30286675266963786</v>
      </c>
      <c r="U75" s="25">
        <v>8.5704032727550478E-2</v>
      </c>
      <c r="V75" s="25">
        <v>0.31226707557958122</v>
      </c>
      <c r="W75" s="25">
        <v>8.0081601293821025E-3</v>
      </c>
      <c r="X75" s="25">
        <v>5.1169466320752328E-5</v>
      </c>
      <c r="Y75" s="25">
        <v>0.35265292312875313</v>
      </c>
      <c r="Z75" s="25">
        <v>0.35221275147159053</v>
      </c>
      <c r="AA75" s="25">
        <v>0.18978525636329166</v>
      </c>
      <c r="AB75" s="25">
        <v>0.32313159053150481</v>
      </c>
      <c r="AC75" s="25">
        <v>0.55951676731193722</v>
      </c>
      <c r="AD75" s="25">
        <v>0.75735630923727837</v>
      </c>
      <c r="AE75" s="25">
        <v>0.3185810936070016</v>
      </c>
      <c r="AF75" s="25">
        <v>0.55806054563321528</v>
      </c>
      <c r="AG75" s="25">
        <v>7.3324814040376579E-2</v>
      </c>
      <c r="AH75" s="25">
        <v>0.44708130413832931</v>
      </c>
      <c r="AI75" s="25">
        <v>0.34631550042897502</v>
      </c>
      <c r="AJ75" s="25">
        <v>0.24997756058253309</v>
      </c>
      <c r="AK75" s="25">
        <v>0.42054910648968791</v>
      </c>
      <c r="AL75" s="25">
        <v>0.3198227074279395</v>
      </c>
      <c r="AM75" s="25">
        <v>0.44819153851546822</v>
      </c>
      <c r="AN75" s="25">
        <v>0.11631589737813476</v>
      </c>
      <c r="AO75" s="25">
        <v>0.42149951271701663</v>
      </c>
      <c r="AP75" s="25">
        <v>0.10039790452458186</v>
      </c>
      <c r="AQ75" s="25">
        <v>1.6832340893780942</v>
      </c>
      <c r="AR75" s="25">
        <v>0.27495781769295818</v>
      </c>
      <c r="AS75" s="25">
        <v>0.19699701577209666</v>
      </c>
      <c r="AT75" s="25">
        <v>0.11343099593911311</v>
      </c>
      <c r="AU75" s="25">
        <v>0.55041798302231748</v>
      </c>
      <c r="AV75" s="25">
        <v>1.8639581468807298</v>
      </c>
      <c r="AW75" s="25">
        <v>6.3022016137467594</v>
      </c>
      <c r="AX75" s="25">
        <v>68.760746067666105</v>
      </c>
      <c r="AY75" s="40">
        <v>2.1893868977576756</v>
      </c>
      <c r="AZ75" s="25">
        <v>0.12636729745446987</v>
      </c>
      <c r="BA75" s="25">
        <v>0.18220401028318908</v>
      </c>
      <c r="BB75" s="25">
        <v>4.9679980545763094</v>
      </c>
      <c r="BC75" s="25">
        <v>2.1129787644131124</v>
      </c>
      <c r="BD75" s="25">
        <v>9.7684859706664611</v>
      </c>
      <c r="BE75" s="25">
        <v>0.30806107316749276</v>
      </c>
      <c r="BF75" s="25">
        <v>0.79787723857880399</v>
      </c>
      <c r="BG75" s="25">
        <v>3.8217118071392782</v>
      </c>
      <c r="BH75" s="25">
        <v>3.1988339783305415</v>
      </c>
      <c r="BI75" s="25">
        <v>9.0004147354556938</v>
      </c>
      <c r="BJ75" s="25">
        <v>3.7395903723444861</v>
      </c>
      <c r="BK75" s="25">
        <v>8.9221189551574529</v>
      </c>
      <c r="BL75" s="25">
        <v>1.7464574412383413</v>
      </c>
      <c r="BM75" s="25">
        <v>1.8646523310432823</v>
      </c>
      <c r="BN75" s="25">
        <v>1.9050090131162243</v>
      </c>
      <c r="BO75" s="25">
        <v>6.0234669676425341</v>
      </c>
      <c r="BP75" s="25">
        <v>0.44669370262975389</v>
      </c>
      <c r="BQ75" s="25">
        <v>71.482262126165793</v>
      </c>
      <c r="BR75" s="25">
        <v>6.7654787777212286</v>
      </c>
      <c r="BS75" s="25">
        <v>8.2349253313611523</v>
      </c>
      <c r="BT75" s="25">
        <v>12.195284609092305</v>
      </c>
      <c r="BU75" s="25">
        <v>35757.027765934254</v>
      </c>
      <c r="BV75" s="25">
        <v>6.3947730060680561</v>
      </c>
      <c r="BW75" s="25">
        <v>6.2684057086135869</v>
      </c>
      <c r="BX75" s="25">
        <v>0</v>
      </c>
      <c r="BY75" s="72">
        <f t="shared" si="3"/>
        <v>36021.257146411728</v>
      </c>
      <c r="BZ75" s="25">
        <v>283.84197637122588</v>
      </c>
      <c r="CA75" s="25">
        <v>43422.333673069385</v>
      </c>
      <c r="CB75" s="25">
        <v>9016.6756500718675</v>
      </c>
      <c r="CC75" s="25">
        <v>214107.34658859362</v>
      </c>
      <c r="CD75" s="25">
        <v>21.5449654913572</v>
      </c>
      <c r="CE75" s="25">
        <v>0</v>
      </c>
      <c r="CF75" s="25">
        <v>266851.74285359745</v>
      </c>
      <c r="CG75" s="25">
        <v>302873</v>
      </c>
      <c r="CH75"/>
      <c r="CI75">
        <f t="shared" si="2"/>
        <v>0.88106811387478401</v>
      </c>
      <c r="CJ75"/>
      <c r="CK75"/>
      <c r="CL75"/>
      <c r="CM75"/>
      <c r="CN75"/>
      <c r="CO75"/>
      <c r="CP75"/>
      <c r="CQ75"/>
      <c r="CR75"/>
      <c r="CS75"/>
      <c r="CT75"/>
      <c r="CU75"/>
    </row>
    <row r="76" spans="1:99" s="5" customFormat="1" x14ac:dyDescent="0.3">
      <c r="A76" s="35" t="s">
        <v>80</v>
      </c>
      <c r="B76" s="11" t="s">
        <v>154</v>
      </c>
      <c r="C76" s="5">
        <v>71</v>
      </c>
      <c r="D76" s="25">
        <v>1.4986280733025255</v>
      </c>
      <c r="E76" s="25">
        <v>12.406923136743467</v>
      </c>
      <c r="F76" s="25">
        <v>2.8699715025936685</v>
      </c>
      <c r="G76" s="25">
        <v>1.1093648190283103</v>
      </c>
      <c r="H76" s="25">
        <v>23.883461720066183</v>
      </c>
      <c r="I76" s="25">
        <v>0.59580127768691005</v>
      </c>
      <c r="J76" s="25">
        <v>8.2115958433375172E-2</v>
      </c>
      <c r="K76" s="25">
        <v>70.066051385824508</v>
      </c>
      <c r="L76" s="25">
        <v>4.4852842431006561</v>
      </c>
      <c r="M76" s="25">
        <v>109.4629225999212</v>
      </c>
      <c r="N76" s="25">
        <v>138.17899326163968</v>
      </c>
      <c r="O76" s="25">
        <v>6.282718772982836</v>
      </c>
      <c r="P76" s="25">
        <v>3.1594771411283071</v>
      </c>
      <c r="Q76" s="25">
        <v>10.927452562690849</v>
      </c>
      <c r="R76" s="25">
        <v>23.196386722881908</v>
      </c>
      <c r="S76" s="25">
        <v>1.3517147463670134</v>
      </c>
      <c r="T76" s="25">
        <v>15.95481681098444</v>
      </c>
      <c r="U76" s="25">
        <v>1.7050305166385509</v>
      </c>
      <c r="V76" s="25">
        <v>7.7296033229704495</v>
      </c>
      <c r="W76" s="25">
        <v>0.19822743410288279</v>
      </c>
      <c r="X76" s="25">
        <v>1.2666070419797221E-3</v>
      </c>
      <c r="Y76" s="25">
        <v>3.4283167180381482</v>
      </c>
      <c r="Z76" s="25">
        <v>4.2293577832673712</v>
      </c>
      <c r="AA76" s="25">
        <v>15.243865865442542</v>
      </c>
      <c r="AB76" s="25">
        <v>37.010433202345496</v>
      </c>
      <c r="AC76" s="25">
        <v>58.322253648757147</v>
      </c>
      <c r="AD76" s="25">
        <v>16.681252259739647</v>
      </c>
      <c r="AE76" s="25">
        <v>7.9338672862677893</v>
      </c>
      <c r="AF76" s="25">
        <v>7.8320548728184445</v>
      </c>
      <c r="AG76" s="25">
        <v>0.82339853409914499</v>
      </c>
      <c r="AH76" s="25">
        <v>15.400912749045977</v>
      </c>
      <c r="AI76" s="25">
        <v>39.890254566362692</v>
      </c>
      <c r="AJ76" s="25">
        <v>18.780009081193146</v>
      </c>
      <c r="AK76" s="25">
        <v>13.623331972886721</v>
      </c>
      <c r="AL76" s="25">
        <v>126.17215309719087</v>
      </c>
      <c r="AM76" s="25">
        <v>5.2672131904894677</v>
      </c>
      <c r="AN76" s="25">
        <v>7.3457507494033916</v>
      </c>
      <c r="AO76" s="25">
        <v>12.668718308606875</v>
      </c>
      <c r="AP76" s="25">
        <v>4.4806153401284243</v>
      </c>
      <c r="AQ76" s="25">
        <v>77.489366631310631</v>
      </c>
      <c r="AR76" s="25">
        <v>12.657958437157586</v>
      </c>
      <c r="AS76" s="25">
        <v>9.0689548630031123</v>
      </c>
      <c r="AT76" s="25">
        <v>5.2219094700774402</v>
      </c>
      <c r="AU76" s="25">
        <v>6.3468417198520486</v>
      </c>
      <c r="AV76" s="25">
        <v>42.925069779165767</v>
      </c>
      <c r="AW76" s="25">
        <v>78.336398986871984</v>
      </c>
      <c r="AX76" s="25">
        <v>575.57784742746389</v>
      </c>
      <c r="AY76" s="40">
        <v>23.265513951823984</v>
      </c>
      <c r="AZ76" s="25">
        <v>1.3569338822012436</v>
      </c>
      <c r="BA76" s="25">
        <v>5.5426628233724387</v>
      </c>
      <c r="BB76" s="25">
        <v>39.932233379389444</v>
      </c>
      <c r="BC76" s="25">
        <v>23.825612703594274</v>
      </c>
      <c r="BD76" s="25">
        <v>32.016448313920861</v>
      </c>
      <c r="BE76" s="25">
        <v>18.985733075376832</v>
      </c>
      <c r="BF76" s="25">
        <v>1904.5501653147101</v>
      </c>
      <c r="BG76" s="25">
        <v>351.93897884104206</v>
      </c>
      <c r="BH76" s="25">
        <v>60.989368197077944</v>
      </c>
      <c r="BI76" s="25">
        <v>270.17862508813107</v>
      </c>
      <c r="BJ76" s="25">
        <v>28.419924719166982</v>
      </c>
      <c r="BK76" s="25">
        <v>130.3067149424395</v>
      </c>
      <c r="BL76" s="25">
        <v>12.331077928735786</v>
      </c>
      <c r="BM76" s="25">
        <v>121.94242880674938</v>
      </c>
      <c r="BN76" s="25">
        <v>30.254224007791166</v>
      </c>
      <c r="BO76" s="25">
        <v>69.633123723185719</v>
      </c>
      <c r="BP76" s="25">
        <v>5.5756073007752693</v>
      </c>
      <c r="BQ76" s="25">
        <v>680.87192217199959</v>
      </c>
      <c r="BR76" s="25">
        <v>78.20610344147282</v>
      </c>
      <c r="BS76" s="25">
        <v>82.146169919848063</v>
      </c>
      <c r="BT76" s="25">
        <v>75.687248092099068</v>
      </c>
      <c r="BU76" s="25">
        <v>5.3434921323855962</v>
      </c>
      <c r="BV76" s="25">
        <v>675.20568767927989</v>
      </c>
      <c r="BW76" s="25">
        <v>957.77179193384268</v>
      </c>
      <c r="BX76" s="25">
        <v>0</v>
      </c>
      <c r="BY76" s="72">
        <f t="shared" si="3"/>
        <v>7324.1821115275288</v>
      </c>
      <c r="BZ76" s="25">
        <v>2633.5832627942486</v>
      </c>
      <c r="CA76" s="25">
        <v>0.11658774009854199</v>
      </c>
      <c r="CB76" s="25">
        <v>8348.6426618049227</v>
      </c>
      <c r="CC76" s="25">
        <v>22056.495746863191</v>
      </c>
      <c r="CD76" s="25">
        <v>2.9796292765998467</v>
      </c>
      <c r="CE76" s="25">
        <v>0</v>
      </c>
      <c r="CF76" s="25">
        <v>33041.817888479069</v>
      </c>
      <c r="CG76" s="25">
        <v>40366</v>
      </c>
      <c r="CH76"/>
      <c r="CI76">
        <f t="shared" si="2"/>
        <v>0.81855566289647397</v>
      </c>
      <c r="CJ76"/>
      <c r="CK76"/>
      <c r="CL76"/>
      <c r="CM76"/>
      <c r="CN76"/>
      <c r="CO76"/>
      <c r="CP76"/>
      <c r="CQ76"/>
      <c r="CR76"/>
      <c r="CS76"/>
      <c r="CT76"/>
      <c r="CU76"/>
    </row>
    <row r="77" spans="1:99" s="5" customFormat="1" x14ac:dyDescent="0.3">
      <c r="A77" s="35" t="s">
        <v>81</v>
      </c>
      <c r="B77" s="11" t="s">
        <v>155</v>
      </c>
      <c r="C77" s="5">
        <v>72</v>
      </c>
      <c r="D77" s="25">
        <v>148.27950520159411</v>
      </c>
      <c r="E77" s="25">
        <v>40.271914537994917</v>
      </c>
      <c r="F77" s="25">
        <v>24.758478477861253</v>
      </c>
      <c r="G77" s="25">
        <v>42.394301846332148</v>
      </c>
      <c r="H77" s="25">
        <v>950.08717775764546</v>
      </c>
      <c r="I77" s="25">
        <v>353.79076463943113</v>
      </c>
      <c r="J77" s="25">
        <v>55.93996081256256</v>
      </c>
      <c r="K77" s="25">
        <v>261.50324566597476</v>
      </c>
      <c r="L77" s="25">
        <v>69.745367284537437</v>
      </c>
      <c r="M77" s="25">
        <v>276.75602190465725</v>
      </c>
      <c r="N77" s="25">
        <v>144.34792700589529</v>
      </c>
      <c r="O77" s="25">
        <v>17.244388152548758</v>
      </c>
      <c r="P77" s="25">
        <v>66.837152902180904</v>
      </c>
      <c r="Q77" s="25">
        <v>111.64269619022069</v>
      </c>
      <c r="R77" s="25">
        <v>65.177523615905727</v>
      </c>
      <c r="S77" s="25">
        <v>85.35781524069165</v>
      </c>
      <c r="T77" s="25">
        <v>164.59709558961441</v>
      </c>
      <c r="U77" s="25">
        <v>47.971054932836935</v>
      </c>
      <c r="V77" s="25">
        <v>166.01956736593948</v>
      </c>
      <c r="W77" s="25">
        <v>4.2576095401974481</v>
      </c>
      <c r="X77" s="25">
        <v>2.7204701760984502E-2</v>
      </c>
      <c r="Y77" s="25">
        <v>64.473650177282593</v>
      </c>
      <c r="Z77" s="25">
        <v>135.03627652301645</v>
      </c>
      <c r="AA77" s="25">
        <v>60.718371728066813</v>
      </c>
      <c r="AB77" s="25">
        <v>60.579475023827683</v>
      </c>
      <c r="AC77" s="25">
        <v>130.43822493114192</v>
      </c>
      <c r="AD77" s="25">
        <v>212.12917441869078</v>
      </c>
      <c r="AE77" s="25">
        <v>175.31938299820357</v>
      </c>
      <c r="AF77" s="25">
        <v>162.94022516942098</v>
      </c>
      <c r="AG77" s="25">
        <v>65.686681590896782</v>
      </c>
      <c r="AH77" s="25">
        <v>267.83666984174027</v>
      </c>
      <c r="AI77" s="25">
        <v>291.8352624901928</v>
      </c>
      <c r="AJ77" s="25">
        <v>157.88351006524681</v>
      </c>
      <c r="AK77" s="25">
        <v>236.91165976659266</v>
      </c>
      <c r="AL77" s="25">
        <v>292.37981343585159</v>
      </c>
      <c r="AM77" s="25">
        <v>182.28603285306875</v>
      </c>
      <c r="AN77" s="25">
        <v>67.060545629051006</v>
      </c>
      <c r="AO77" s="25">
        <v>130.24699471927141</v>
      </c>
      <c r="AP77" s="25">
        <v>6.480592988657464</v>
      </c>
      <c r="AQ77" s="25">
        <v>528.00611272798199</v>
      </c>
      <c r="AR77" s="25">
        <v>86.25027819978834</v>
      </c>
      <c r="AS77" s="25">
        <v>61.795105727254168</v>
      </c>
      <c r="AT77" s="25">
        <v>35.581657718685506</v>
      </c>
      <c r="AU77" s="25">
        <v>1.8169400849418156</v>
      </c>
      <c r="AV77" s="25">
        <v>148.55346211832205</v>
      </c>
      <c r="AW77" s="25">
        <v>87.560218167820551</v>
      </c>
      <c r="AX77" s="25">
        <v>3369.3563922196859</v>
      </c>
      <c r="AY77" s="40">
        <v>480.05488665553509</v>
      </c>
      <c r="AZ77" s="25">
        <v>5.5978326635053959</v>
      </c>
      <c r="BA77" s="25">
        <v>9.1837366115049619</v>
      </c>
      <c r="BB77" s="25">
        <v>1341.3589095970306</v>
      </c>
      <c r="BC77" s="25">
        <v>175.31864687996406</v>
      </c>
      <c r="BD77" s="25">
        <v>228.01581578550022</v>
      </c>
      <c r="BE77" s="25">
        <v>34.680168524134501</v>
      </c>
      <c r="BF77" s="25">
        <v>177.14241759216932</v>
      </c>
      <c r="BG77" s="25">
        <v>3219.3982532858768</v>
      </c>
      <c r="BH77" s="25">
        <v>1425.747618554632</v>
      </c>
      <c r="BI77" s="25">
        <v>2146.9400580348452</v>
      </c>
      <c r="BJ77" s="25">
        <v>125.60752076692776</v>
      </c>
      <c r="BK77" s="25">
        <v>517.06424042769754</v>
      </c>
      <c r="BL77" s="25">
        <v>69.449786781805045</v>
      </c>
      <c r="BM77" s="25">
        <v>576.89632965365729</v>
      </c>
      <c r="BN77" s="25">
        <v>155.80906917715848</v>
      </c>
      <c r="BO77" s="25">
        <v>1371.5564717872458</v>
      </c>
      <c r="BP77" s="25">
        <v>40.389507983655974</v>
      </c>
      <c r="BQ77" s="25">
        <v>703.5707730035349</v>
      </c>
      <c r="BR77" s="25">
        <v>115.54973983387723</v>
      </c>
      <c r="BS77" s="25">
        <v>552.44266451575413</v>
      </c>
      <c r="BT77" s="25">
        <v>1472.1357056679005</v>
      </c>
      <c r="BU77" s="25">
        <v>2832.4991176373801</v>
      </c>
      <c r="BV77" s="25">
        <v>27.255310713115467</v>
      </c>
      <c r="BW77" s="25">
        <v>625.18009024417051</v>
      </c>
      <c r="BX77" s="25">
        <v>0</v>
      </c>
      <c r="BY77" s="72">
        <f t="shared" si="3"/>
        <v>28545.014157059668</v>
      </c>
      <c r="BZ77" s="25">
        <v>57.039317088075066</v>
      </c>
      <c r="CA77" s="25">
        <v>1.0854720629864254</v>
      </c>
      <c r="CB77" s="25">
        <v>47319</v>
      </c>
      <c r="CC77" s="25">
        <v>95909.47268428946</v>
      </c>
      <c r="CD77" s="25">
        <v>87.355970819926981</v>
      </c>
      <c r="CE77" s="25">
        <v>3.2398694523191274E-2</v>
      </c>
      <c r="CF77" s="25">
        <v>143373.98584295495</v>
      </c>
      <c r="CG77" s="25">
        <v>171919</v>
      </c>
      <c r="CH77"/>
      <c r="CI77">
        <f t="shared" si="2"/>
        <v>0.83396242325138559</v>
      </c>
      <c r="CJ77"/>
      <c r="CK77"/>
      <c r="CL77"/>
      <c r="CM77"/>
      <c r="CN77"/>
      <c r="CO77"/>
      <c r="CP77"/>
      <c r="CQ77"/>
      <c r="CR77"/>
      <c r="CS77"/>
      <c r="CT77"/>
      <c r="CU77"/>
    </row>
    <row r="78" spans="1:99" s="5" customFormat="1" x14ac:dyDescent="0.3">
      <c r="A78" s="35" t="s">
        <v>82</v>
      </c>
      <c r="B78" s="11" t="s">
        <v>156</v>
      </c>
      <c r="C78" s="5">
        <v>73</v>
      </c>
      <c r="D78" s="25">
        <v>0</v>
      </c>
      <c r="E78" s="25">
        <v>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0</v>
      </c>
      <c r="AH78" s="25">
        <v>0</v>
      </c>
      <c r="AI78" s="25">
        <v>0</v>
      </c>
      <c r="AJ78" s="25">
        <v>0</v>
      </c>
      <c r="AK78" s="25">
        <v>0</v>
      </c>
      <c r="AL78" s="25">
        <v>0</v>
      </c>
      <c r="AM78" s="25">
        <v>0</v>
      </c>
      <c r="AN78" s="25">
        <v>0</v>
      </c>
      <c r="AO78" s="25">
        <v>0</v>
      </c>
      <c r="AP78" s="25">
        <v>0</v>
      </c>
      <c r="AQ78" s="25">
        <v>0</v>
      </c>
      <c r="AR78" s="25">
        <v>0</v>
      </c>
      <c r="AS78" s="25">
        <v>0</v>
      </c>
      <c r="AT78" s="25">
        <v>0</v>
      </c>
      <c r="AU78" s="25">
        <v>0</v>
      </c>
      <c r="AV78" s="25">
        <v>0</v>
      </c>
      <c r="AW78" s="25">
        <v>0</v>
      </c>
      <c r="AX78" s="25">
        <v>0</v>
      </c>
      <c r="AY78" s="40">
        <v>0</v>
      </c>
      <c r="AZ78" s="25">
        <v>0</v>
      </c>
      <c r="BA78" s="25">
        <v>0</v>
      </c>
      <c r="BB78" s="25">
        <v>0</v>
      </c>
      <c r="BC78" s="25">
        <v>0</v>
      </c>
      <c r="BD78" s="25">
        <v>0</v>
      </c>
      <c r="BE78" s="25">
        <v>0</v>
      </c>
      <c r="BF78" s="25">
        <v>0</v>
      </c>
      <c r="BG78" s="25">
        <v>0</v>
      </c>
      <c r="BH78" s="25">
        <v>0</v>
      </c>
      <c r="BI78" s="25">
        <v>0</v>
      </c>
      <c r="BJ78" s="25">
        <v>0</v>
      </c>
      <c r="BK78" s="25">
        <v>0</v>
      </c>
      <c r="BL78" s="25">
        <v>0</v>
      </c>
      <c r="BM78" s="25">
        <v>0</v>
      </c>
      <c r="BN78" s="25">
        <v>0</v>
      </c>
      <c r="BO78" s="25">
        <v>0</v>
      </c>
      <c r="BP78" s="25">
        <v>0</v>
      </c>
      <c r="BQ78" s="25">
        <v>0</v>
      </c>
      <c r="BR78" s="25">
        <v>0</v>
      </c>
      <c r="BS78" s="25">
        <v>0</v>
      </c>
      <c r="BT78" s="25">
        <v>0</v>
      </c>
      <c r="BU78" s="25">
        <v>0</v>
      </c>
      <c r="BV78" s="25">
        <v>0</v>
      </c>
      <c r="BW78" s="25">
        <v>0</v>
      </c>
      <c r="BX78" s="25">
        <v>0</v>
      </c>
      <c r="BY78" s="72">
        <f t="shared" si="3"/>
        <v>0</v>
      </c>
      <c r="BZ78" s="25">
        <v>0</v>
      </c>
      <c r="CA78" s="25">
        <v>0</v>
      </c>
      <c r="CB78" s="25">
        <v>0</v>
      </c>
      <c r="CC78" s="25">
        <v>74451</v>
      </c>
      <c r="CD78" s="25">
        <v>0</v>
      </c>
      <c r="CE78" s="25">
        <v>0</v>
      </c>
      <c r="CF78" s="25">
        <v>74451</v>
      </c>
      <c r="CG78" s="25">
        <v>74451</v>
      </c>
      <c r="CH78"/>
      <c r="CI78">
        <f t="shared" si="2"/>
        <v>1</v>
      </c>
      <c r="CJ78"/>
      <c r="CK78"/>
      <c r="CL78"/>
      <c r="CM78"/>
      <c r="CN78"/>
      <c r="CO78"/>
      <c r="CP78"/>
      <c r="CQ78"/>
      <c r="CR78"/>
      <c r="CS78"/>
      <c r="CT78"/>
      <c r="CU78"/>
    </row>
    <row r="79" spans="1:99" s="5" customFormat="1" x14ac:dyDescent="0.3">
      <c r="A79" s="15"/>
      <c r="B79" s="68" t="s">
        <v>166</v>
      </c>
      <c r="C79" s="5">
        <v>74</v>
      </c>
      <c r="D79" s="25">
        <v>149151.39243390344</v>
      </c>
      <c r="E79" s="25">
        <v>68079.253921847878</v>
      </c>
      <c r="F79" s="25">
        <v>8177.4548278247212</v>
      </c>
      <c r="G79" s="25">
        <v>9360.8652473349102</v>
      </c>
      <c r="H79" s="25">
        <v>86780.302243800921</v>
      </c>
      <c r="I79" s="25">
        <v>38249.787319055242</v>
      </c>
      <c r="J79" s="25">
        <v>8861.9730799903318</v>
      </c>
      <c r="K79" s="25">
        <v>226295.97479233512</v>
      </c>
      <c r="L79" s="25">
        <v>40680.401572386683</v>
      </c>
      <c r="M79" s="25">
        <v>229159.40212991342</v>
      </c>
      <c r="N79" s="25">
        <v>47291.888992867891</v>
      </c>
      <c r="O79" s="25">
        <v>10510.046244887526</v>
      </c>
      <c r="P79" s="25">
        <v>30369.290833344239</v>
      </c>
      <c r="Q79" s="25">
        <v>29704.03403518891</v>
      </c>
      <c r="R79" s="25">
        <v>22278.689184163421</v>
      </c>
      <c r="S79" s="25">
        <v>17495.768707169991</v>
      </c>
      <c r="T79" s="25">
        <v>62825.276373185865</v>
      </c>
      <c r="U79" s="25">
        <v>8728.2250240970461</v>
      </c>
      <c r="V79" s="25">
        <v>287013.66831324255</v>
      </c>
      <c r="W79" s="25">
        <v>6884.7092320229804</v>
      </c>
      <c r="X79" s="25">
        <v>3133.1478903090397</v>
      </c>
      <c r="Y79" s="25">
        <v>39806.994880170685</v>
      </c>
      <c r="Z79" s="25">
        <v>93685.489648632647</v>
      </c>
      <c r="AA79" s="25">
        <v>50165.759189674718</v>
      </c>
      <c r="AB79" s="25">
        <v>29616.10945770859</v>
      </c>
      <c r="AC79" s="25">
        <v>32534.934913433295</v>
      </c>
      <c r="AD79" s="25">
        <v>67095.931360778908</v>
      </c>
      <c r="AE79" s="25">
        <v>47995.653379399024</v>
      </c>
      <c r="AF79" s="25">
        <v>90011.633124967557</v>
      </c>
      <c r="AG79" s="25">
        <v>42241.063170239649</v>
      </c>
      <c r="AH79" s="25">
        <v>55292.639063284871</v>
      </c>
      <c r="AI79" s="25">
        <v>48924.358504162432</v>
      </c>
      <c r="AJ79" s="25">
        <v>43882.671757254262</v>
      </c>
      <c r="AK79" s="25">
        <v>69100.828702469065</v>
      </c>
      <c r="AL79" s="25">
        <v>125399.05268026798</v>
      </c>
      <c r="AM79" s="25">
        <v>57957.342348891398</v>
      </c>
      <c r="AN79" s="25">
        <v>14198.781904952179</v>
      </c>
      <c r="AO79" s="25">
        <v>34015.197452094872</v>
      </c>
      <c r="AP79" s="25">
        <v>34232.728710189665</v>
      </c>
      <c r="AQ79" s="25">
        <v>127681.23549929622</v>
      </c>
      <c r="AR79" s="25">
        <v>18161.429306020498</v>
      </c>
      <c r="AS79" s="25">
        <v>4642.9823184020252</v>
      </c>
      <c r="AT79" s="25">
        <v>13663.351246607119</v>
      </c>
      <c r="AU79" s="25">
        <v>25919.11705127099</v>
      </c>
      <c r="AV79" s="25">
        <v>258586.87463215971</v>
      </c>
      <c r="AW79" s="25">
        <v>61466.170254706725</v>
      </c>
      <c r="AX79" s="25">
        <v>379634.89856261347</v>
      </c>
      <c r="AY79" s="41">
        <f>SUM(AY6:AY78)</f>
        <v>203094.50775761899</v>
      </c>
      <c r="AZ79" s="25">
        <v>10000.749043767823</v>
      </c>
      <c r="BA79" s="25">
        <v>22005.893788772402</v>
      </c>
      <c r="BB79" s="25">
        <v>50075.885807417289</v>
      </c>
      <c r="BC79" s="25">
        <v>11174.565383518273</v>
      </c>
      <c r="BD79" s="25">
        <v>120776.23334276465</v>
      </c>
      <c r="BE79" s="25">
        <v>7719.1866007156314</v>
      </c>
      <c r="BF79" s="25">
        <v>22366.726888656551</v>
      </c>
      <c r="BG79" s="25">
        <v>80996.903652414068</v>
      </c>
      <c r="BH79" s="25">
        <v>45349.945690874993</v>
      </c>
      <c r="BI79" s="25">
        <v>196028.96518732898</v>
      </c>
      <c r="BJ79" s="25">
        <v>44529.804748100192</v>
      </c>
      <c r="BK79" s="25">
        <v>62859.56686188122</v>
      </c>
      <c r="BL79" s="25">
        <v>18857.746897610254</v>
      </c>
      <c r="BM79" s="25">
        <v>59576.85817212984</v>
      </c>
      <c r="BN79" s="25">
        <v>14344.205066557382</v>
      </c>
      <c r="BO79" s="25">
        <v>71519.590746992049</v>
      </c>
      <c r="BP79" s="25">
        <v>6663.1352010592364</v>
      </c>
      <c r="BQ79" s="25">
        <v>207583.76384339409</v>
      </c>
      <c r="BR79" s="25">
        <v>47100.064878214333</v>
      </c>
      <c r="BS79" s="25">
        <v>34108.375419278862</v>
      </c>
      <c r="BT79" s="25">
        <v>55184.157589632639</v>
      </c>
      <c r="BU79" s="25">
        <v>109176.75066206328</v>
      </c>
      <c r="BV79" s="25">
        <v>14856.012504412529</v>
      </c>
      <c r="BW79" s="25">
        <v>67590.783769702524</v>
      </c>
      <c r="BX79" s="25">
        <v>0</v>
      </c>
      <c r="BY79" s="72">
        <v>4840485.1610233989</v>
      </c>
      <c r="BZ79" s="25">
        <v>1025056</v>
      </c>
      <c r="CA79" s="25">
        <v>1393480</v>
      </c>
      <c r="CB79" s="25">
        <v>102253</v>
      </c>
      <c r="CC79" s="25">
        <v>3769922.0104907085</v>
      </c>
      <c r="CD79" s="25">
        <v>878944.82848589332</v>
      </c>
      <c r="CE79" s="25">
        <v>-131</v>
      </c>
      <c r="CF79" s="25">
        <v>7169524.8389766021</v>
      </c>
      <c r="CG79" s="25">
        <v>12010010</v>
      </c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</row>
    <row r="80" spans="1:99" s="5" customFormat="1" x14ac:dyDescent="0.3">
      <c r="A80" s="17"/>
      <c r="B80" s="14" t="s">
        <v>167</v>
      </c>
      <c r="C80" s="5">
        <v>75</v>
      </c>
      <c r="D80" s="25">
        <v>24183.128957308974</v>
      </c>
      <c r="E80" s="25">
        <v>5755.6608817485503</v>
      </c>
      <c r="F80" s="25">
        <v>537.51611682781652</v>
      </c>
      <c r="G80" s="25">
        <v>1556.2577604248361</v>
      </c>
      <c r="H80" s="25">
        <v>27867.644331880121</v>
      </c>
      <c r="I80" s="25">
        <v>5714.0844499970544</v>
      </c>
      <c r="J80" s="25">
        <v>1597.9782056476281</v>
      </c>
      <c r="K80" s="25">
        <v>6328.4894005141023</v>
      </c>
      <c r="L80" s="25">
        <v>797.17684535458557</v>
      </c>
      <c r="M80" s="25">
        <v>16720.175237566211</v>
      </c>
      <c r="N80" s="25">
        <v>3497.4522250180617</v>
      </c>
      <c r="O80" s="25">
        <v>722.70448176851687</v>
      </c>
      <c r="P80" s="25">
        <v>5295.7759871669186</v>
      </c>
      <c r="Q80" s="25">
        <v>4427.6390616554936</v>
      </c>
      <c r="R80" s="25">
        <v>2917.4641200425253</v>
      </c>
      <c r="S80" s="25">
        <v>1608.708930310615</v>
      </c>
      <c r="T80" s="25">
        <v>9260.3346742790345</v>
      </c>
      <c r="U80" s="25">
        <v>1398.3211260194951</v>
      </c>
      <c r="V80" s="25">
        <v>55572.301245236151</v>
      </c>
      <c r="W80" s="25">
        <v>1426.2976177079747</v>
      </c>
      <c r="X80" s="25">
        <v>53.305845374857689</v>
      </c>
      <c r="Y80" s="25">
        <v>1431.7306744794503</v>
      </c>
      <c r="Z80" s="25">
        <v>48562.221354953719</v>
      </c>
      <c r="AA80" s="25">
        <v>17822.444092411115</v>
      </c>
      <c r="AB80" s="25">
        <v>6237.9025794934305</v>
      </c>
      <c r="AC80" s="25">
        <v>5422.9334511936368</v>
      </c>
      <c r="AD80" s="25">
        <v>17408.562619639197</v>
      </c>
      <c r="AE80" s="25">
        <v>6069.3113435136138</v>
      </c>
      <c r="AF80" s="25">
        <v>19877.811565060154</v>
      </c>
      <c r="AG80" s="25">
        <v>11436.201379866139</v>
      </c>
      <c r="AH80" s="25">
        <v>8465.179163749197</v>
      </c>
      <c r="AI80" s="25">
        <v>30697.929689427885</v>
      </c>
      <c r="AJ80" s="25">
        <v>11191.577045715849</v>
      </c>
      <c r="AK80" s="25">
        <v>15905.432507461668</v>
      </c>
      <c r="AL80" s="25">
        <v>26596.213509634075</v>
      </c>
      <c r="AM80" s="25">
        <v>12200.314900843905</v>
      </c>
      <c r="AN80" s="25">
        <v>14472.28762622003</v>
      </c>
      <c r="AO80" s="25">
        <v>4902.2704961912932</v>
      </c>
      <c r="AP80" s="25">
        <v>13043.474695051191</v>
      </c>
      <c r="AQ80" s="25">
        <v>9178.8369395382942</v>
      </c>
      <c r="AR80" s="25">
        <v>1499.3713529099384</v>
      </c>
      <c r="AS80" s="25">
        <v>1074.2436222972451</v>
      </c>
      <c r="AT80" s="25">
        <v>1248.4881279562871</v>
      </c>
      <c r="AU80" s="25">
        <v>3312.4579052546642</v>
      </c>
      <c r="AV80" s="25">
        <v>25282.900434561092</v>
      </c>
      <c r="AW80" s="25">
        <v>9933.6931333181528</v>
      </c>
      <c r="AX80" s="25">
        <v>25771.750262729835</v>
      </c>
      <c r="AY80" s="40">
        <v>14216.849515117508</v>
      </c>
      <c r="AZ80" s="25">
        <v>1813.1869292364881</v>
      </c>
      <c r="BA80" s="25">
        <v>6864.6107607456734</v>
      </c>
      <c r="BB80" s="25">
        <v>5592.070327523812</v>
      </c>
      <c r="BC80" s="25">
        <v>580.00059695518223</v>
      </c>
      <c r="BD80" s="25">
        <v>7774.4096318310658</v>
      </c>
      <c r="BE80" s="25">
        <v>867.59186823585367</v>
      </c>
      <c r="BF80" s="25">
        <v>2456.9545598247637</v>
      </c>
      <c r="BG80" s="25">
        <v>6453.1872524104938</v>
      </c>
      <c r="BH80" s="25">
        <v>7361.4426152288188</v>
      </c>
      <c r="BI80" s="25">
        <v>10937.47166736594</v>
      </c>
      <c r="BJ80" s="25">
        <v>2406.1137744489251</v>
      </c>
      <c r="BK80" s="25">
        <v>3950.1053770394492</v>
      </c>
      <c r="BL80" s="25">
        <v>3129.4021411479448</v>
      </c>
      <c r="BM80" s="25">
        <v>2737.6558561697948</v>
      </c>
      <c r="BN80" s="25">
        <v>2492.839116781653</v>
      </c>
      <c r="BO80" s="25">
        <v>5948.6570922603205</v>
      </c>
      <c r="BP80" s="25">
        <v>637.79733272035207</v>
      </c>
      <c r="BQ80" s="25">
        <v>14920.461211549922</v>
      </c>
      <c r="BR80" s="25">
        <v>4536.5689094501568</v>
      </c>
      <c r="BS80" s="25">
        <v>3659.9193238486714</v>
      </c>
      <c r="BT80" s="25">
        <v>7433.0689327803902</v>
      </c>
      <c r="BU80" s="25">
        <v>11490.934490834492</v>
      </c>
      <c r="BV80" s="25">
        <v>1279.3586623210838</v>
      </c>
      <c r="BW80" s="25">
        <v>10473.724755018549</v>
      </c>
      <c r="BX80" s="25">
        <v>0</v>
      </c>
      <c r="BY80" s="72">
        <v>666298.34067616821</v>
      </c>
      <c r="BZ80" s="25">
        <v>0</v>
      </c>
      <c r="CA80" s="25">
        <v>0</v>
      </c>
      <c r="CB80" s="25">
        <v>0</v>
      </c>
      <c r="CC80" s="25">
        <v>223389.88626813609</v>
      </c>
      <c r="CD80" s="25">
        <v>107785.77305569606</v>
      </c>
      <c r="CE80" s="25">
        <v>0</v>
      </c>
      <c r="CF80" s="25">
        <v>331175.65932383202</v>
      </c>
      <c r="CG80" s="25">
        <v>997474</v>
      </c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</row>
    <row r="81" spans="1:99" s="5" customFormat="1" x14ac:dyDescent="0.3">
      <c r="A81" s="28"/>
      <c r="B81" s="14" t="s">
        <v>168</v>
      </c>
      <c r="C81" s="5">
        <v>76</v>
      </c>
      <c r="D81" s="25">
        <v>712.48471455829156</v>
      </c>
      <c r="E81" s="25">
        <v>199.57590484128707</v>
      </c>
      <c r="F81" s="25">
        <v>13.047764298038301</v>
      </c>
      <c r="G81" s="25">
        <v>76.297227297775862</v>
      </c>
      <c r="H81" s="25">
        <v>466.80115394256529</v>
      </c>
      <c r="I81" s="25">
        <v>239.77883806122986</v>
      </c>
      <c r="J81" s="25">
        <v>45.092210805487653</v>
      </c>
      <c r="K81" s="25">
        <v>238.16233971447025</v>
      </c>
      <c r="L81" s="25">
        <v>10.760872828330948</v>
      </c>
      <c r="M81" s="25">
        <v>528.53164910787507</v>
      </c>
      <c r="N81" s="25">
        <v>179.89357830178579</v>
      </c>
      <c r="O81" s="25">
        <v>15.484261636675772</v>
      </c>
      <c r="P81" s="25">
        <v>582.11498789306268</v>
      </c>
      <c r="Q81" s="25">
        <v>903.72469740271356</v>
      </c>
      <c r="R81" s="25">
        <v>373.57056622994691</v>
      </c>
      <c r="S81" s="25">
        <v>89.304293710036006</v>
      </c>
      <c r="T81" s="25">
        <v>245.81928936176669</v>
      </c>
      <c r="U81" s="25">
        <v>54.472306746504721</v>
      </c>
      <c r="V81" s="25">
        <v>155.63268747752372</v>
      </c>
      <c r="W81" s="25">
        <v>3.9944095603870751</v>
      </c>
      <c r="X81" s="25">
        <v>0.1492853775721876</v>
      </c>
      <c r="Y81" s="25">
        <v>46.29851492739153</v>
      </c>
      <c r="Z81" s="25">
        <v>853.5344031395806</v>
      </c>
      <c r="AA81" s="25">
        <v>659.6453115281098</v>
      </c>
      <c r="AB81" s="25">
        <v>267.98502731941846</v>
      </c>
      <c r="AC81" s="25">
        <v>175.63798731664562</v>
      </c>
      <c r="AD81" s="25">
        <v>1221.5684743307922</v>
      </c>
      <c r="AE81" s="25">
        <v>203.34953393319287</v>
      </c>
      <c r="AF81" s="25">
        <v>250.88856122318941</v>
      </c>
      <c r="AG81" s="25">
        <v>153.88986367952171</v>
      </c>
      <c r="AH81" s="25">
        <v>467.94077594491608</v>
      </c>
      <c r="AI81" s="25">
        <v>1037.8874781903801</v>
      </c>
      <c r="AJ81" s="25">
        <v>727.82477676983399</v>
      </c>
      <c r="AK81" s="25">
        <v>1148.6944417645036</v>
      </c>
      <c r="AL81" s="25">
        <v>2358.4850856584794</v>
      </c>
      <c r="AM81" s="25">
        <v>941.11737770458058</v>
      </c>
      <c r="AN81" s="25">
        <v>205.25745701897426</v>
      </c>
      <c r="AO81" s="25">
        <v>337.80723196335208</v>
      </c>
      <c r="AP81" s="25">
        <v>775.3884323869521</v>
      </c>
      <c r="AQ81" s="25">
        <v>314.97886922865513</v>
      </c>
      <c r="AR81" s="25">
        <v>51.452084442102198</v>
      </c>
      <c r="AS81" s="25">
        <v>36.863498464577901</v>
      </c>
      <c r="AT81" s="25">
        <v>42.842833071272821</v>
      </c>
      <c r="AU81" s="25">
        <v>59.210496606621973</v>
      </c>
      <c r="AV81" s="25">
        <v>1773.4439564118695</v>
      </c>
      <c r="AW81" s="25">
        <v>813.62324261955007</v>
      </c>
      <c r="AX81" s="25">
        <v>365.11869371822985</v>
      </c>
      <c r="AY81" s="40">
        <v>764.61320374122931</v>
      </c>
      <c r="AZ81" s="25">
        <v>11.325219967355727</v>
      </c>
      <c r="BA81" s="25">
        <v>28.37128141098562</v>
      </c>
      <c r="BB81" s="25">
        <v>40.5027980577878</v>
      </c>
      <c r="BC81" s="25">
        <v>23.078652578953154</v>
      </c>
      <c r="BD81" s="25">
        <v>276.97929940117507</v>
      </c>
      <c r="BE81" s="25">
        <v>6.1069490866026834</v>
      </c>
      <c r="BF81" s="25">
        <v>23.590255802890535</v>
      </c>
      <c r="BG81" s="25">
        <v>46.680084020494526</v>
      </c>
      <c r="BH81" s="25">
        <v>85.295710611033357</v>
      </c>
      <c r="BI81" s="25">
        <v>46.890030884403693</v>
      </c>
      <c r="BJ81" s="25">
        <v>70.859998289842096</v>
      </c>
      <c r="BK81" s="25">
        <v>71.367214714365161</v>
      </c>
      <c r="BL81" s="25">
        <v>85.102129907451882</v>
      </c>
      <c r="BM81" s="25">
        <v>31.27449894954712</v>
      </c>
      <c r="BN81" s="25">
        <v>44.544241752142717</v>
      </c>
      <c r="BO81" s="25">
        <v>239.64416571188517</v>
      </c>
      <c r="BP81" s="25">
        <v>14.531848877536895</v>
      </c>
      <c r="BQ81" s="25">
        <v>164.15405175720011</v>
      </c>
      <c r="BR81" s="25">
        <v>116.15243605857908</v>
      </c>
      <c r="BS81" s="25">
        <v>12.221294733991771</v>
      </c>
      <c r="BT81" s="25">
        <v>240.39342203826871</v>
      </c>
      <c r="BU81" s="25">
        <v>698.18872754468134</v>
      </c>
      <c r="BV81" s="25">
        <v>16.167584777809225</v>
      </c>
      <c r="BW81" s="25">
        <v>154.32497313920311</v>
      </c>
      <c r="BX81" s="25">
        <v>0</v>
      </c>
      <c r="BY81" s="72">
        <v>23737.78752233144</v>
      </c>
      <c r="BZ81" s="25">
        <v>0</v>
      </c>
      <c r="CA81" s="25">
        <v>0</v>
      </c>
      <c r="CB81" s="25">
        <v>0</v>
      </c>
      <c r="CC81" s="25">
        <v>11407.196211290042</v>
      </c>
      <c r="CD81" s="25">
        <v>5430.0162663785195</v>
      </c>
      <c r="CE81" s="25">
        <v>0</v>
      </c>
      <c r="CF81" s="25">
        <v>16837.21247766856</v>
      </c>
      <c r="CG81" s="25">
        <v>40575</v>
      </c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</row>
    <row r="82" spans="1:99" s="5" customFormat="1" x14ac:dyDescent="0.3">
      <c r="A82" s="28"/>
      <c r="B82" s="12" t="s">
        <v>169</v>
      </c>
      <c r="C82" s="5">
        <v>77</v>
      </c>
      <c r="D82" s="25">
        <v>8343.3247851177421</v>
      </c>
      <c r="E82" s="25">
        <v>4147.5785779479093</v>
      </c>
      <c r="F82" s="25">
        <v>444.5747995710517</v>
      </c>
      <c r="G82" s="25">
        <v>280.50113242013538</v>
      </c>
      <c r="H82" s="25">
        <v>2135.2466604983751</v>
      </c>
      <c r="I82" s="25">
        <v>953.89694752852427</v>
      </c>
      <c r="J82" s="25">
        <v>215.15107681860576</v>
      </c>
      <c r="K82" s="25">
        <v>7586.0307643154947</v>
      </c>
      <c r="L82" s="25">
        <v>306.04426679444379</v>
      </c>
      <c r="M82" s="25">
        <v>6674.5662335599945</v>
      </c>
      <c r="N82" s="25">
        <v>2477.1240274870606</v>
      </c>
      <c r="O82" s="25">
        <v>442.39621000729983</v>
      </c>
      <c r="P82" s="25">
        <v>1237.9741685947458</v>
      </c>
      <c r="Q82" s="25">
        <v>1774.1848478969957</v>
      </c>
      <c r="R82" s="25">
        <v>1798.8330459951226</v>
      </c>
      <c r="S82" s="25">
        <v>1016.1477220707337</v>
      </c>
      <c r="T82" s="25">
        <v>2030.5233441515227</v>
      </c>
      <c r="U82" s="25">
        <v>435.32752668680411</v>
      </c>
      <c r="V82" s="25">
        <v>8752.2783785208831</v>
      </c>
      <c r="W82" s="25">
        <v>178.62543259392183</v>
      </c>
      <c r="X82" s="25">
        <v>0.36781858128730416</v>
      </c>
      <c r="Y82" s="25">
        <v>628.38127884883704</v>
      </c>
      <c r="Z82" s="25">
        <v>2149.1884402579776</v>
      </c>
      <c r="AA82" s="25">
        <v>1286.9068564038732</v>
      </c>
      <c r="AB82" s="25">
        <v>1455.4290056364525</v>
      </c>
      <c r="AC82" s="25">
        <v>1781.9362084556501</v>
      </c>
      <c r="AD82" s="25">
        <v>1993.9187807125231</v>
      </c>
      <c r="AE82" s="25">
        <v>2222.7100044973436</v>
      </c>
      <c r="AF82" s="25">
        <v>1552.7651646761044</v>
      </c>
      <c r="AG82" s="25">
        <v>965.7129486848786</v>
      </c>
      <c r="AH82" s="25">
        <v>1751.6930071103322</v>
      </c>
      <c r="AI82" s="25">
        <v>2602.7609612323031</v>
      </c>
      <c r="AJ82" s="25">
        <v>1490.1682230500396</v>
      </c>
      <c r="AK82" s="25">
        <v>1879.5987247239307</v>
      </c>
      <c r="AL82" s="25">
        <v>2966.0637625793861</v>
      </c>
      <c r="AM82" s="25">
        <v>1722.880116329678</v>
      </c>
      <c r="AN82" s="25">
        <v>883.2984209706151</v>
      </c>
      <c r="AO82" s="25">
        <v>1714.3591697105196</v>
      </c>
      <c r="AP82" s="25">
        <v>1225.2545924314563</v>
      </c>
      <c r="AQ82" s="25">
        <v>12175.833465165224</v>
      </c>
      <c r="AR82" s="25">
        <v>1988.9334580977081</v>
      </c>
      <c r="AS82" s="25">
        <v>1424.9966016680364</v>
      </c>
      <c r="AT82" s="25">
        <v>1656.1339556813491</v>
      </c>
      <c r="AU82" s="25">
        <v>1108.2851827143804</v>
      </c>
      <c r="AV82" s="25">
        <v>10706.709417735583</v>
      </c>
      <c r="AW82" s="25">
        <v>1612.3979376553073</v>
      </c>
      <c r="AX82" s="25">
        <v>10468.138246874449</v>
      </c>
      <c r="AY82" s="40">
        <v>8076.63712203267</v>
      </c>
      <c r="AZ82" s="25">
        <v>111.34151620682954</v>
      </c>
      <c r="BA82" s="25">
        <v>2402.9493815019487</v>
      </c>
      <c r="BB82" s="25">
        <v>783.90607203329</v>
      </c>
      <c r="BC82" s="25">
        <v>694.50273508842668</v>
      </c>
      <c r="BD82" s="25">
        <v>10107.12002844398</v>
      </c>
      <c r="BE82" s="25">
        <v>290.44061937566619</v>
      </c>
      <c r="BF82" s="25">
        <v>399.46081325898257</v>
      </c>
      <c r="BG82" s="25">
        <v>4518.3804745554144</v>
      </c>
      <c r="BH82" s="25">
        <v>1004.7900997816121</v>
      </c>
      <c r="BI82" s="25">
        <v>3115.6887187089501</v>
      </c>
      <c r="BJ82" s="25">
        <v>907.55560246915513</v>
      </c>
      <c r="BK82" s="25">
        <v>1600.7392676210184</v>
      </c>
      <c r="BL82" s="25">
        <v>638.51923139567361</v>
      </c>
      <c r="BM82" s="25">
        <v>1102.1473607308526</v>
      </c>
      <c r="BN82" s="25">
        <v>490.89624204304693</v>
      </c>
      <c r="BO82" s="25">
        <v>3608.0465417477594</v>
      </c>
      <c r="BP82" s="25">
        <v>253.90624998401819</v>
      </c>
      <c r="BQ82" s="25">
        <v>5343.4810754484188</v>
      </c>
      <c r="BR82" s="25">
        <v>2010.6387435072065</v>
      </c>
      <c r="BS82" s="25">
        <v>1049.8188387612634</v>
      </c>
      <c r="BT82" s="25">
        <v>3299.4808391105353</v>
      </c>
      <c r="BU82" s="25">
        <v>7722.8460184638334</v>
      </c>
      <c r="BV82" s="25">
        <v>443.82302788682347</v>
      </c>
      <c r="BW82" s="25">
        <v>3537.0443299909734</v>
      </c>
      <c r="BX82" s="25">
        <v>0</v>
      </c>
      <c r="BY82" s="72">
        <v>186159.31264921097</v>
      </c>
      <c r="BZ82" s="25">
        <v>0</v>
      </c>
      <c r="CA82" s="25">
        <v>0</v>
      </c>
      <c r="CB82" s="25">
        <v>0</v>
      </c>
      <c r="CC82" s="25">
        <v>274756.2360762817</v>
      </c>
      <c r="CD82" s="25">
        <v>18394.451274507348</v>
      </c>
      <c r="CE82" s="25">
        <v>0</v>
      </c>
      <c r="CF82" s="25">
        <v>293150.68735078909</v>
      </c>
      <c r="CG82" s="25">
        <v>479310</v>
      </c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</row>
    <row r="83" spans="1:99" s="5" customFormat="1" x14ac:dyDescent="0.3">
      <c r="A83" s="28"/>
      <c r="B83" s="12" t="s">
        <v>170</v>
      </c>
      <c r="C83" s="5">
        <v>78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25">
        <v>0</v>
      </c>
      <c r="U83" s="25">
        <v>0</v>
      </c>
      <c r="V83" s="25">
        <v>0</v>
      </c>
      <c r="W83" s="25">
        <v>0</v>
      </c>
      <c r="X83" s="25">
        <v>0</v>
      </c>
      <c r="Y83" s="25">
        <v>0</v>
      </c>
      <c r="Z83" s="25">
        <v>0</v>
      </c>
      <c r="AA83" s="25">
        <v>0</v>
      </c>
      <c r="AB83" s="25">
        <v>0</v>
      </c>
      <c r="AC83" s="25">
        <v>0</v>
      </c>
      <c r="AD83" s="25">
        <v>0</v>
      </c>
      <c r="AE83" s="25">
        <v>0</v>
      </c>
      <c r="AF83" s="25">
        <v>0</v>
      </c>
      <c r="AG83" s="25">
        <v>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  <c r="AR83" s="25">
        <v>0</v>
      </c>
      <c r="AS83" s="25">
        <v>0</v>
      </c>
      <c r="AT83" s="25">
        <v>0</v>
      </c>
      <c r="AU83" s="25">
        <v>0</v>
      </c>
      <c r="AV83" s="25">
        <v>0</v>
      </c>
      <c r="AW83" s="25">
        <v>0</v>
      </c>
      <c r="AX83" s="25">
        <v>0</v>
      </c>
      <c r="AY83" s="40">
        <v>0</v>
      </c>
      <c r="AZ83" s="25">
        <v>0</v>
      </c>
      <c r="BA83" s="25">
        <v>0</v>
      </c>
      <c r="BB83" s="25">
        <v>0</v>
      </c>
      <c r="BC83" s="25">
        <v>0</v>
      </c>
      <c r="BD83" s="25">
        <v>0</v>
      </c>
      <c r="BE83" s="25">
        <v>0</v>
      </c>
      <c r="BF83" s="25">
        <v>0</v>
      </c>
      <c r="BG83" s="25">
        <v>0</v>
      </c>
      <c r="BH83" s="25">
        <v>0</v>
      </c>
      <c r="BI83" s="25">
        <v>0</v>
      </c>
      <c r="BJ83" s="25">
        <v>0</v>
      </c>
      <c r="BK83" s="25">
        <v>0</v>
      </c>
      <c r="BL83" s="25">
        <v>0</v>
      </c>
      <c r="BM83" s="25">
        <v>0</v>
      </c>
      <c r="BN83" s="25">
        <v>0</v>
      </c>
      <c r="BO83" s="25">
        <v>0</v>
      </c>
      <c r="BP83" s="25">
        <v>0</v>
      </c>
      <c r="BQ83" s="25">
        <v>0</v>
      </c>
      <c r="BR83" s="25">
        <v>0</v>
      </c>
      <c r="BS83" s="25">
        <v>0</v>
      </c>
      <c r="BT83" s="25">
        <v>0</v>
      </c>
      <c r="BU83" s="25">
        <v>0</v>
      </c>
      <c r="BV83" s="25">
        <v>0</v>
      </c>
      <c r="BW83" s="25">
        <v>0</v>
      </c>
      <c r="BX83" s="25">
        <v>0</v>
      </c>
      <c r="BY83" s="72">
        <v>0</v>
      </c>
      <c r="BZ83" s="25">
        <v>0</v>
      </c>
      <c r="CA83" s="25">
        <v>0</v>
      </c>
      <c r="CB83" s="25">
        <v>0</v>
      </c>
      <c r="CC83" s="25">
        <v>0</v>
      </c>
      <c r="CD83" s="25">
        <v>0</v>
      </c>
      <c r="CE83" s="25">
        <v>0</v>
      </c>
      <c r="CF83" s="25">
        <v>0</v>
      </c>
      <c r="CG83" s="25">
        <v>0</v>
      </c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</row>
    <row r="84" spans="1:99" s="5" customFormat="1" x14ac:dyDescent="0.3">
      <c r="A84" s="28"/>
      <c r="B84" s="12" t="s">
        <v>171</v>
      </c>
      <c r="C84" s="5">
        <v>79</v>
      </c>
      <c r="D84" s="25">
        <v>92.830450433330569</v>
      </c>
      <c r="E84" s="25">
        <v>108.75609021554227</v>
      </c>
      <c r="F84" s="25">
        <v>8.8181188724538337</v>
      </c>
      <c r="G84" s="25">
        <v>43.901705453634285</v>
      </c>
      <c r="H84" s="25">
        <v>149.82467251941975</v>
      </c>
      <c r="I84" s="25">
        <v>114.7984248924478</v>
      </c>
      <c r="J84" s="25">
        <v>21.270716173050147</v>
      </c>
      <c r="K84" s="25">
        <v>343.6518176971768</v>
      </c>
      <c r="L84" s="25">
        <v>12.276110377484112</v>
      </c>
      <c r="M84" s="25">
        <v>474.52055408453691</v>
      </c>
      <c r="N84" s="25">
        <v>656.8898340220245</v>
      </c>
      <c r="O84" s="25">
        <v>224.92679182890205</v>
      </c>
      <c r="P84" s="25">
        <v>64.127689373573077</v>
      </c>
      <c r="Q84" s="25">
        <v>91.499561829108899</v>
      </c>
      <c r="R84" s="25">
        <v>95.836040895310902</v>
      </c>
      <c r="S84" s="25">
        <v>103.98039365843857</v>
      </c>
      <c r="T84" s="25">
        <v>264.2554887403565</v>
      </c>
      <c r="U84" s="25">
        <v>70.396164985640212</v>
      </c>
      <c r="V84" s="25">
        <v>98.002875591595981</v>
      </c>
      <c r="W84" s="25">
        <v>2.0001427389419466</v>
      </c>
      <c r="X84" s="25">
        <v>4.118616559391124E-3</v>
      </c>
      <c r="Y84" s="25">
        <v>10.183700947707981</v>
      </c>
      <c r="Z84" s="25">
        <v>85.35280224175537</v>
      </c>
      <c r="AA84" s="25">
        <v>111.77922427929352</v>
      </c>
      <c r="AB84" s="25">
        <v>205.3180552195744</v>
      </c>
      <c r="AC84" s="25">
        <v>57.33930864762295</v>
      </c>
      <c r="AD84" s="25">
        <v>488.98762243185865</v>
      </c>
      <c r="AE84" s="25">
        <v>148.60719008395736</v>
      </c>
      <c r="AF84" s="25">
        <v>123.62493206847709</v>
      </c>
      <c r="AG84" s="25">
        <v>62.221640369674041</v>
      </c>
      <c r="AH84" s="25">
        <v>343.11461475762917</v>
      </c>
      <c r="AI84" s="25">
        <v>1261.8140514706176</v>
      </c>
      <c r="AJ84" s="25">
        <v>422.20154660819315</v>
      </c>
      <c r="AK84" s="25">
        <v>506.16003131876982</v>
      </c>
      <c r="AL84" s="25">
        <v>1432.0627284274108</v>
      </c>
      <c r="AM84" s="25">
        <v>488.59847804129265</v>
      </c>
      <c r="AN84" s="25">
        <v>502.12281036155349</v>
      </c>
      <c r="AO84" s="25">
        <v>267.14321713383725</v>
      </c>
      <c r="AP84" s="25">
        <v>455.42620922154254</v>
      </c>
      <c r="AQ84" s="25">
        <v>200.78386459711459</v>
      </c>
      <c r="AR84" s="25">
        <v>32.798226691082796</v>
      </c>
      <c r="AS84" s="25">
        <v>23.498705492255262</v>
      </c>
      <c r="AT84" s="25">
        <v>27.310243431265217</v>
      </c>
      <c r="AU84" s="25">
        <v>42.842027024376002</v>
      </c>
      <c r="AV84" s="25">
        <v>1560.7762004231506</v>
      </c>
      <c r="AW84" s="25">
        <v>461.77680505452901</v>
      </c>
      <c r="AX84" s="25">
        <v>574.36489763732266</v>
      </c>
      <c r="AY84" s="40">
        <v>548.46865606115557</v>
      </c>
      <c r="AZ84" s="25">
        <v>6.2917490147068094</v>
      </c>
      <c r="BA84" s="25">
        <v>28.427618348575638</v>
      </c>
      <c r="BB84" s="25">
        <v>34.720319028402372</v>
      </c>
      <c r="BC84" s="25">
        <v>52.355074024910351</v>
      </c>
      <c r="BD84" s="25">
        <v>1985.9757673600261</v>
      </c>
      <c r="BE84" s="25">
        <v>26.799991230778058</v>
      </c>
      <c r="BF84" s="25">
        <v>40.444089313402522</v>
      </c>
      <c r="BG84" s="25">
        <v>47.213288510940458</v>
      </c>
      <c r="BH84" s="25">
        <v>192.2356538396364</v>
      </c>
      <c r="BI84" s="25">
        <v>87.1526619083821</v>
      </c>
      <c r="BJ84" s="25">
        <v>78.291817132989479</v>
      </c>
      <c r="BK84" s="25">
        <v>125.43699652402455</v>
      </c>
      <c r="BL84" s="25">
        <v>82.527069727413689</v>
      </c>
      <c r="BM84" s="25">
        <v>60.613207951095589</v>
      </c>
      <c r="BN84" s="25">
        <v>52.163486193697125</v>
      </c>
      <c r="BO84" s="25">
        <v>368.76158581667522</v>
      </c>
      <c r="BP84" s="25">
        <v>18.233672270157317</v>
      </c>
      <c r="BQ84" s="25">
        <v>160.10974932069229</v>
      </c>
      <c r="BR84" s="25">
        <v>131.3661384881637</v>
      </c>
      <c r="BS84" s="25">
        <v>33.137338247686159</v>
      </c>
      <c r="BT84" s="25">
        <v>133.81202701442498</v>
      </c>
      <c r="BU84" s="25">
        <v>479.39070855529644</v>
      </c>
      <c r="BV84" s="25">
        <v>25.764397759585883</v>
      </c>
      <c r="BW84" s="25">
        <v>246.34988303122404</v>
      </c>
      <c r="BX84" s="25">
        <v>0</v>
      </c>
      <c r="BY84" s="72">
        <v>17984.819843655434</v>
      </c>
      <c r="BZ84" s="25">
        <v>0</v>
      </c>
      <c r="CA84" s="25">
        <v>0</v>
      </c>
      <c r="CB84" s="25">
        <v>0</v>
      </c>
      <c r="CC84" s="25">
        <v>27535.433631192678</v>
      </c>
      <c r="CD84" s="25">
        <v>8464.7465251518934</v>
      </c>
      <c r="CE84" s="25">
        <v>0</v>
      </c>
      <c r="CF84" s="25">
        <v>36000.180156344562</v>
      </c>
      <c r="CG84" s="25">
        <v>53985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</row>
    <row r="85" spans="1:99" s="5" customFormat="1" x14ac:dyDescent="0.3">
      <c r="A85" s="28"/>
      <c r="B85" s="12" t="s">
        <v>170</v>
      </c>
      <c r="C85" s="5">
        <v>80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5">
        <v>0</v>
      </c>
      <c r="M85" s="25">
        <v>0</v>
      </c>
      <c r="N85" s="25">
        <v>0</v>
      </c>
      <c r="O85" s="25">
        <v>0</v>
      </c>
      <c r="P85" s="25">
        <v>0</v>
      </c>
      <c r="Q85" s="25">
        <v>0</v>
      </c>
      <c r="R85" s="25">
        <v>0</v>
      </c>
      <c r="S85" s="25">
        <v>0</v>
      </c>
      <c r="T85" s="25">
        <v>0</v>
      </c>
      <c r="U85" s="25">
        <v>0</v>
      </c>
      <c r="V85" s="25">
        <v>0</v>
      </c>
      <c r="W85" s="25">
        <v>0</v>
      </c>
      <c r="X85" s="25">
        <v>0</v>
      </c>
      <c r="Y85" s="25">
        <v>0</v>
      </c>
      <c r="Z85" s="25">
        <v>0</v>
      </c>
      <c r="AA85" s="25">
        <v>0</v>
      </c>
      <c r="AB85" s="25">
        <v>0</v>
      </c>
      <c r="AC85" s="25">
        <v>0</v>
      </c>
      <c r="AD85" s="25">
        <v>0</v>
      </c>
      <c r="AE85" s="25">
        <v>0</v>
      </c>
      <c r="AF85" s="25">
        <v>0</v>
      </c>
      <c r="AG85" s="25">
        <v>0</v>
      </c>
      <c r="AH85" s="25">
        <v>0</v>
      </c>
      <c r="AI85" s="25">
        <v>0</v>
      </c>
      <c r="AJ85" s="25">
        <v>0</v>
      </c>
      <c r="AK85" s="25">
        <v>0</v>
      </c>
      <c r="AL85" s="25">
        <v>0</v>
      </c>
      <c r="AM85" s="25">
        <v>0</v>
      </c>
      <c r="AN85" s="25">
        <v>0</v>
      </c>
      <c r="AO85" s="25">
        <v>0</v>
      </c>
      <c r="AP85" s="25">
        <v>0</v>
      </c>
      <c r="AQ85" s="25">
        <v>0</v>
      </c>
      <c r="AR85" s="25">
        <v>0</v>
      </c>
      <c r="AS85" s="25">
        <v>0</v>
      </c>
      <c r="AT85" s="25">
        <v>0</v>
      </c>
      <c r="AU85" s="25">
        <v>0</v>
      </c>
      <c r="AV85" s="25">
        <v>0</v>
      </c>
      <c r="AW85" s="25">
        <v>0</v>
      </c>
      <c r="AX85" s="25">
        <v>0</v>
      </c>
      <c r="AY85" s="40">
        <v>0</v>
      </c>
      <c r="AZ85" s="25">
        <v>0</v>
      </c>
      <c r="BA85" s="25">
        <v>0</v>
      </c>
      <c r="BB85" s="25">
        <v>0</v>
      </c>
      <c r="BC85" s="25">
        <v>0</v>
      </c>
      <c r="BD85" s="25">
        <v>0</v>
      </c>
      <c r="BE85" s="25">
        <v>0</v>
      </c>
      <c r="BF85" s="25">
        <v>0</v>
      </c>
      <c r="BG85" s="25">
        <v>0</v>
      </c>
      <c r="BH85" s="25">
        <v>0</v>
      </c>
      <c r="BI85" s="25">
        <v>0</v>
      </c>
      <c r="BJ85" s="25">
        <v>0</v>
      </c>
      <c r="BK85" s="25">
        <v>0</v>
      </c>
      <c r="BL85" s="25">
        <v>0</v>
      </c>
      <c r="BM85" s="25">
        <v>0</v>
      </c>
      <c r="BN85" s="25">
        <v>0</v>
      </c>
      <c r="BO85" s="25">
        <v>0</v>
      </c>
      <c r="BP85" s="25">
        <v>0</v>
      </c>
      <c r="BQ85" s="25">
        <v>0</v>
      </c>
      <c r="BR85" s="25">
        <v>0</v>
      </c>
      <c r="BS85" s="25">
        <v>0</v>
      </c>
      <c r="BT85" s="25">
        <v>0</v>
      </c>
      <c r="BU85" s="25">
        <v>0</v>
      </c>
      <c r="BV85" s="25">
        <v>0</v>
      </c>
      <c r="BW85" s="25">
        <v>0</v>
      </c>
      <c r="BX85" s="25">
        <v>0</v>
      </c>
      <c r="BY85" s="72">
        <v>0</v>
      </c>
      <c r="BZ85" s="25">
        <v>0</v>
      </c>
      <c r="CA85" s="25">
        <v>0</v>
      </c>
      <c r="CB85" s="25">
        <v>0</v>
      </c>
      <c r="CC85" s="25">
        <v>0</v>
      </c>
      <c r="CD85" s="25">
        <v>0</v>
      </c>
      <c r="CE85" s="25">
        <v>0</v>
      </c>
      <c r="CF85" s="25">
        <v>0</v>
      </c>
      <c r="CG85" s="25">
        <v>0</v>
      </c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</row>
    <row r="86" spans="1:99" s="5" customFormat="1" x14ac:dyDescent="0.3">
      <c r="A86" s="28"/>
      <c r="B86" s="12" t="s">
        <v>172</v>
      </c>
      <c r="C86" s="5">
        <v>81</v>
      </c>
      <c r="D86" s="25">
        <v>6042.8386586782008</v>
      </c>
      <c r="E86" s="25">
        <v>1976.1746233988374</v>
      </c>
      <c r="F86" s="25">
        <v>280.58837260591815</v>
      </c>
      <c r="G86" s="25">
        <v>542.17692706870685</v>
      </c>
      <c r="H86" s="25">
        <v>7778.1809373585975</v>
      </c>
      <c r="I86" s="25">
        <v>1919.6540204655096</v>
      </c>
      <c r="J86" s="25">
        <v>507.53471056489735</v>
      </c>
      <c r="K86" s="25">
        <v>5782.6908854236535</v>
      </c>
      <c r="L86" s="25">
        <v>1324.3403322584791</v>
      </c>
      <c r="M86" s="25">
        <v>5357.8041957679843</v>
      </c>
      <c r="N86" s="25">
        <v>2360.7513423031783</v>
      </c>
      <c r="O86" s="25">
        <v>196.4420098710809</v>
      </c>
      <c r="P86" s="25">
        <v>1196.7163336274623</v>
      </c>
      <c r="Q86" s="25">
        <v>1126.9177960267789</v>
      </c>
      <c r="R86" s="25">
        <v>813.60704267367396</v>
      </c>
      <c r="S86" s="25">
        <v>614.08995308018802</v>
      </c>
      <c r="T86" s="25">
        <v>3188.7908302814558</v>
      </c>
      <c r="U86" s="25">
        <v>386.25785146450971</v>
      </c>
      <c r="V86" s="25">
        <v>41050.979226357034</v>
      </c>
      <c r="W86" s="25">
        <v>837.81029414095758</v>
      </c>
      <c r="X86" s="25">
        <v>1.7251865498872525</v>
      </c>
      <c r="Y86" s="25">
        <v>1189.4109506259256</v>
      </c>
      <c r="Z86" s="25">
        <v>7474.2133507743129</v>
      </c>
      <c r="AA86" s="25">
        <v>3009.4653257028858</v>
      </c>
      <c r="AB86" s="25">
        <v>1473.2558746225345</v>
      </c>
      <c r="AC86" s="25">
        <v>1482.2181309531509</v>
      </c>
      <c r="AD86" s="25">
        <v>3363.0311421067336</v>
      </c>
      <c r="AE86" s="25">
        <v>2491.3685485728683</v>
      </c>
      <c r="AF86" s="25">
        <v>4071.2766520045138</v>
      </c>
      <c r="AG86" s="25">
        <v>2442.9109971601406</v>
      </c>
      <c r="AH86" s="25">
        <v>2290.4333751530626</v>
      </c>
      <c r="AI86" s="25">
        <v>3419.249315516377</v>
      </c>
      <c r="AJ86" s="25">
        <v>2196.5566506018281</v>
      </c>
      <c r="AK86" s="25">
        <v>3229.285592262077</v>
      </c>
      <c r="AL86" s="25">
        <v>5950.1222334326676</v>
      </c>
      <c r="AM86" s="25">
        <v>2615.7467781891364</v>
      </c>
      <c r="AN86" s="25">
        <v>872.2517804766469</v>
      </c>
      <c r="AO86" s="25">
        <v>1270.2224329061228</v>
      </c>
      <c r="AP86" s="25">
        <v>1720.7273607191914</v>
      </c>
      <c r="AQ86" s="25">
        <v>4884.6490691239387</v>
      </c>
      <c r="AR86" s="25">
        <v>797.91186307216731</v>
      </c>
      <c r="AS86" s="25">
        <v>571.67407420253312</v>
      </c>
      <c r="AT86" s="25">
        <v>664.40077454308982</v>
      </c>
      <c r="AU86" s="25">
        <v>1439.0873371289645</v>
      </c>
      <c r="AV86" s="25">
        <v>10882.295358708589</v>
      </c>
      <c r="AW86" s="25">
        <v>2927.3386266457446</v>
      </c>
      <c r="AX86" s="25">
        <v>18595.729336426732</v>
      </c>
      <c r="AY86" s="40">
        <v>6896.9237454285467</v>
      </c>
      <c r="AZ86" s="25">
        <v>1024.1055418067967</v>
      </c>
      <c r="BA86" s="25">
        <v>3522.7471692204122</v>
      </c>
      <c r="BB86" s="25">
        <v>2896.9146759394262</v>
      </c>
      <c r="BC86" s="25">
        <v>440.49755783425439</v>
      </c>
      <c r="BD86" s="25">
        <v>5506.2819301990967</v>
      </c>
      <c r="BE86" s="25">
        <v>380.87397135546854</v>
      </c>
      <c r="BF86" s="25">
        <v>1598.8233931434081</v>
      </c>
      <c r="BG86" s="25">
        <v>4872.6352480885917</v>
      </c>
      <c r="BH86" s="25">
        <v>2867.2902296639122</v>
      </c>
      <c r="BI86" s="25">
        <v>16130.831733803298</v>
      </c>
      <c r="BJ86" s="25">
        <v>3723.3740595588961</v>
      </c>
      <c r="BK86" s="25">
        <v>3130.7842822199132</v>
      </c>
      <c r="BL86" s="25">
        <v>1098.7025302112652</v>
      </c>
      <c r="BM86" s="25">
        <v>2497.4509040688718</v>
      </c>
      <c r="BN86" s="25">
        <v>903.35184667207886</v>
      </c>
      <c r="BO86" s="25">
        <v>3371.2998674713058</v>
      </c>
      <c r="BP86" s="25">
        <v>393.39569508869766</v>
      </c>
      <c r="BQ86" s="25">
        <v>14569.03006852967</v>
      </c>
      <c r="BR86" s="25">
        <v>2067.2088942815594</v>
      </c>
      <c r="BS86" s="25">
        <v>1689.5277851295245</v>
      </c>
      <c r="BT86" s="25">
        <v>2196.0871894237357</v>
      </c>
      <c r="BU86" s="25">
        <v>3526.8893925384168</v>
      </c>
      <c r="BV86" s="25">
        <v>760.87382284217074</v>
      </c>
      <c r="BW86" s="25">
        <v>3517.7722891175258</v>
      </c>
      <c r="BX86" s="25">
        <v>0</v>
      </c>
      <c r="BY86" s="72">
        <v>264194.5782852358</v>
      </c>
      <c r="BZ86" s="25">
        <v>0</v>
      </c>
      <c r="CA86" s="25">
        <v>0</v>
      </c>
      <c r="CB86" s="25">
        <v>0</v>
      </c>
      <c r="CC86" s="25">
        <v>116537.23732239142</v>
      </c>
      <c r="CD86" s="25">
        <v>38389.184392372823</v>
      </c>
      <c r="CE86" s="25">
        <v>0</v>
      </c>
      <c r="CF86" s="25">
        <v>154926.4217147642</v>
      </c>
      <c r="CG86" s="25">
        <v>419121</v>
      </c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</row>
    <row r="87" spans="1:99" s="5" customFormat="1" x14ac:dyDescent="0.3">
      <c r="A87" s="28"/>
      <c r="B87" s="12" t="s">
        <v>170</v>
      </c>
      <c r="C87" s="5">
        <v>82</v>
      </c>
      <c r="D87" s="25">
        <v>0</v>
      </c>
      <c r="E87" s="25">
        <v>0</v>
      </c>
      <c r="F87" s="25">
        <v>0</v>
      </c>
      <c r="G87" s="25">
        <v>0</v>
      </c>
      <c r="H87" s="25">
        <v>0</v>
      </c>
      <c r="I87" s="25">
        <v>0</v>
      </c>
      <c r="J87" s="25">
        <v>0</v>
      </c>
      <c r="K87" s="25">
        <v>0</v>
      </c>
      <c r="L87" s="25">
        <v>0</v>
      </c>
      <c r="M87" s="25">
        <v>0</v>
      </c>
      <c r="N87" s="25">
        <v>0</v>
      </c>
      <c r="O87" s="25">
        <v>0</v>
      </c>
      <c r="P87" s="25">
        <v>0</v>
      </c>
      <c r="Q87" s="25">
        <v>0</v>
      </c>
      <c r="R87" s="25">
        <v>0</v>
      </c>
      <c r="S87" s="25">
        <v>0</v>
      </c>
      <c r="T87" s="25">
        <v>0</v>
      </c>
      <c r="U87" s="25">
        <v>0</v>
      </c>
      <c r="V87" s="25">
        <v>0</v>
      </c>
      <c r="W87" s="25">
        <v>0</v>
      </c>
      <c r="X87" s="25">
        <v>0</v>
      </c>
      <c r="Y87" s="25">
        <v>0</v>
      </c>
      <c r="Z87" s="25">
        <v>0</v>
      </c>
      <c r="AA87" s="25">
        <v>0</v>
      </c>
      <c r="AB87" s="25">
        <v>0</v>
      </c>
      <c r="AC87" s="25">
        <v>0</v>
      </c>
      <c r="AD87" s="25">
        <v>0</v>
      </c>
      <c r="AE87" s="25">
        <v>0</v>
      </c>
      <c r="AF87" s="25">
        <v>0</v>
      </c>
      <c r="AG87" s="25">
        <v>0</v>
      </c>
      <c r="AH87" s="25">
        <v>0</v>
      </c>
      <c r="AI87" s="25">
        <v>0</v>
      </c>
      <c r="AJ87" s="25">
        <v>0</v>
      </c>
      <c r="AK87" s="25">
        <v>0</v>
      </c>
      <c r="AL87" s="25">
        <v>0</v>
      </c>
      <c r="AM87" s="25">
        <v>0</v>
      </c>
      <c r="AN87" s="25">
        <v>0</v>
      </c>
      <c r="AO87" s="25">
        <v>0</v>
      </c>
      <c r="AP87" s="25">
        <v>0</v>
      </c>
      <c r="AQ87" s="25">
        <v>0</v>
      </c>
      <c r="AR87" s="25">
        <v>0</v>
      </c>
      <c r="AS87" s="25">
        <v>0</v>
      </c>
      <c r="AT87" s="25">
        <v>0</v>
      </c>
      <c r="AU87" s="25">
        <v>0</v>
      </c>
      <c r="AV87" s="25">
        <v>0</v>
      </c>
      <c r="AW87" s="25">
        <v>0</v>
      </c>
      <c r="AX87" s="25">
        <v>0</v>
      </c>
      <c r="AY87" s="40">
        <v>0</v>
      </c>
      <c r="AZ87" s="25">
        <v>0</v>
      </c>
      <c r="BA87" s="25">
        <v>0</v>
      </c>
      <c r="BB87" s="25">
        <v>0</v>
      </c>
      <c r="BC87" s="25">
        <v>0</v>
      </c>
      <c r="BD87" s="25">
        <v>0</v>
      </c>
      <c r="BE87" s="25">
        <v>0</v>
      </c>
      <c r="BF87" s="25">
        <v>0</v>
      </c>
      <c r="BG87" s="25">
        <v>0</v>
      </c>
      <c r="BH87" s="25">
        <v>0</v>
      </c>
      <c r="BI87" s="25">
        <v>0</v>
      </c>
      <c r="BJ87" s="25">
        <v>0</v>
      </c>
      <c r="BK87" s="25">
        <v>0</v>
      </c>
      <c r="BL87" s="25">
        <v>0</v>
      </c>
      <c r="BM87" s="25">
        <v>0</v>
      </c>
      <c r="BN87" s="25">
        <v>0</v>
      </c>
      <c r="BO87" s="25">
        <v>0</v>
      </c>
      <c r="BP87" s="25">
        <v>0</v>
      </c>
      <c r="BQ87" s="25">
        <v>0</v>
      </c>
      <c r="BR87" s="25">
        <v>0</v>
      </c>
      <c r="BS87" s="25">
        <v>0</v>
      </c>
      <c r="BT87" s="25">
        <v>0</v>
      </c>
      <c r="BU87" s="25">
        <v>0</v>
      </c>
      <c r="BV87" s="25">
        <v>0</v>
      </c>
      <c r="BW87" s="25">
        <v>0</v>
      </c>
      <c r="BX87" s="25">
        <v>0</v>
      </c>
      <c r="BY87" s="72">
        <v>0</v>
      </c>
      <c r="BZ87" s="25">
        <v>0</v>
      </c>
      <c r="CA87" s="25">
        <v>0</v>
      </c>
      <c r="CB87" s="25">
        <v>0</v>
      </c>
      <c r="CC87" s="25">
        <v>0</v>
      </c>
      <c r="CD87" s="25">
        <v>0</v>
      </c>
      <c r="CE87" s="25">
        <v>0</v>
      </c>
      <c r="CF87" s="25">
        <v>0</v>
      </c>
      <c r="CG87" s="25">
        <v>0</v>
      </c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</row>
    <row r="88" spans="1:99" s="5" customFormat="1" x14ac:dyDescent="0.3">
      <c r="A88" s="28"/>
      <c r="B88" s="67" t="s">
        <v>173</v>
      </c>
      <c r="C88" s="5">
        <v>83</v>
      </c>
      <c r="D88" s="25">
        <v>188525.99999999997</v>
      </c>
      <c r="E88" s="25">
        <v>80267</v>
      </c>
      <c r="F88" s="25">
        <v>9462</v>
      </c>
      <c r="G88" s="25">
        <v>11859.999999999998</v>
      </c>
      <c r="H88" s="25">
        <v>125178</v>
      </c>
      <c r="I88" s="25">
        <v>47192.000000000015</v>
      </c>
      <c r="J88" s="25">
        <v>11249.000000000002</v>
      </c>
      <c r="K88" s="25">
        <v>246575.00000000003</v>
      </c>
      <c r="L88" s="25">
        <v>43131.000000000007</v>
      </c>
      <c r="M88" s="25">
        <v>258915.00000000003</v>
      </c>
      <c r="N88" s="25">
        <v>56464</v>
      </c>
      <c r="O88" s="25">
        <v>12112.000000000002</v>
      </c>
      <c r="P88" s="25">
        <v>38745.999999999993</v>
      </c>
      <c r="Q88" s="25">
        <v>38028</v>
      </c>
      <c r="R88" s="25">
        <v>28278</v>
      </c>
      <c r="S88" s="25">
        <v>20928.000000000004</v>
      </c>
      <c r="T88" s="25">
        <v>77815</v>
      </c>
      <c r="U88" s="25">
        <v>11073</v>
      </c>
      <c r="V88" s="25">
        <v>392642.86272642564</v>
      </c>
      <c r="W88" s="25">
        <v>9333.4371287651647</v>
      </c>
      <c r="X88" s="25">
        <v>3188.7001448092037</v>
      </c>
      <c r="Y88" s="25">
        <v>43112.999999999993</v>
      </c>
      <c r="Z88" s="25">
        <v>152809.99999999997</v>
      </c>
      <c r="AA88" s="25">
        <v>73055.999999999985</v>
      </c>
      <c r="AB88" s="25">
        <v>39256</v>
      </c>
      <c r="AC88" s="25">
        <v>41455</v>
      </c>
      <c r="AD88" s="25">
        <v>91572.000000000015</v>
      </c>
      <c r="AE88" s="25">
        <v>59131</v>
      </c>
      <c r="AF88" s="25">
        <v>115887.99999999999</v>
      </c>
      <c r="AG88" s="25">
        <v>57302</v>
      </c>
      <c r="AH88" s="25">
        <v>68611.000000000015</v>
      </c>
      <c r="AI88" s="25">
        <v>87944</v>
      </c>
      <c r="AJ88" s="25">
        <v>59911.000000000007</v>
      </c>
      <c r="AK88" s="25">
        <v>91770</v>
      </c>
      <c r="AL88" s="25">
        <v>164701.99999999997</v>
      </c>
      <c r="AM88" s="25">
        <v>75925.999999999985</v>
      </c>
      <c r="AN88" s="25">
        <v>31134</v>
      </c>
      <c r="AO88" s="25">
        <v>42507</v>
      </c>
      <c r="AP88" s="25">
        <v>51452.999999999993</v>
      </c>
      <c r="AQ88" s="25">
        <v>154436.31770694946</v>
      </c>
      <c r="AR88" s="25">
        <v>22531.896291233497</v>
      </c>
      <c r="AS88" s="25">
        <v>7774.2588205266729</v>
      </c>
      <c r="AT88" s="25">
        <v>17302.527181290381</v>
      </c>
      <c r="AU88" s="25">
        <v>31880.999999999996</v>
      </c>
      <c r="AV88" s="25">
        <v>308792.99999999994</v>
      </c>
      <c r="AW88" s="25">
        <v>77215</v>
      </c>
      <c r="AX88" s="25">
        <v>435410</v>
      </c>
      <c r="AY88" s="41">
        <f>SUM(AY79:AY87)</f>
        <v>233598.00000000012</v>
      </c>
      <c r="AZ88" s="25">
        <v>12967</v>
      </c>
      <c r="BA88" s="25">
        <v>34852.999999999993</v>
      </c>
      <c r="BB88" s="25">
        <v>59424.000000000015</v>
      </c>
      <c r="BC88" s="25">
        <v>12965</v>
      </c>
      <c r="BD88" s="25">
        <v>146427</v>
      </c>
      <c r="BE88" s="25">
        <v>9291</v>
      </c>
      <c r="BF88" s="25">
        <v>26885.999999999996</v>
      </c>
      <c r="BG88" s="25">
        <v>96935.000000000015</v>
      </c>
      <c r="BH88" s="25">
        <v>56861.000000000007</v>
      </c>
      <c r="BI88" s="25">
        <v>226346.99999999997</v>
      </c>
      <c r="BJ88" s="25">
        <v>51716</v>
      </c>
      <c r="BK88" s="25">
        <v>71737.999999999985</v>
      </c>
      <c r="BL88" s="25">
        <v>23892</v>
      </c>
      <c r="BM88" s="25">
        <v>66006</v>
      </c>
      <c r="BN88" s="25">
        <v>18328.000000000004</v>
      </c>
      <c r="BO88" s="25">
        <v>85055.999999999985</v>
      </c>
      <c r="BP88" s="25">
        <v>7980.9999999999982</v>
      </c>
      <c r="BQ88" s="25">
        <v>242741.00000000003</v>
      </c>
      <c r="BR88" s="25">
        <v>55962.000000000007</v>
      </c>
      <c r="BS88" s="25">
        <v>40553</v>
      </c>
      <c r="BT88" s="25">
        <v>68487</v>
      </c>
      <c r="BU88" s="25">
        <v>133095</v>
      </c>
      <c r="BV88" s="25">
        <v>17382.000000000004</v>
      </c>
      <c r="BW88" s="25">
        <v>85520</v>
      </c>
      <c r="BX88" s="25">
        <v>0</v>
      </c>
      <c r="BY88" s="72">
        <v>5998860.0000000009</v>
      </c>
      <c r="BZ88" s="25">
        <v>1025056</v>
      </c>
      <c r="CA88" s="25">
        <v>1393480</v>
      </c>
      <c r="CB88" s="25">
        <v>102253</v>
      </c>
      <c r="CC88" s="25">
        <v>4423548</v>
      </c>
      <c r="CD88" s="25">
        <v>1057409</v>
      </c>
      <c r="CE88" s="25">
        <v>-131</v>
      </c>
      <c r="CF88" s="25">
        <v>8001615</v>
      </c>
      <c r="CG88" s="25">
        <v>14000475</v>
      </c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</row>
    <row r="89" spans="1:99" s="5" customFormat="1" x14ac:dyDescent="0.3">
      <c r="A89" s="66" t="s">
        <v>174</v>
      </c>
      <c r="B89" s="67" t="s">
        <v>175</v>
      </c>
      <c r="C89" s="5">
        <v>84</v>
      </c>
      <c r="D89" s="46">
        <v>34356</v>
      </c>
      <c r="E89" s="46">
        <v>22217</v>
      </c>
      <c r="F89" s="46">
        <v>2255</v>
      </c>
      <c r="G89" s="46">
        <v>4126</v>
      </c>
      <c r="H89" s="46">
        <v>16917</v>
      </c>
      <c r="I89" s="46">
        <v>4502</v>
      </c>
      <c r="J89" s="46">
        <v>2607</v>
      </c>
      <c r="K89" s="46">
        <v>30117</v>
      </c>
      <c r="L89" s="46">
        <v>8690</v>
      </c>
      <c r="M89" s="46">
        <v>35422</v>
      </c>
      <c r="N89" s="46">
        <v>9953</v>
      </c>
      <c r="O89" s="46">
        <v>1711</v>
      </c>
      <c r="P89" s="46">
        <v>11262</v>
      </c>
      <c r="Q89" s="46">
        <v>18543</v>
      </c>
      <c r="R89" s="46">
        <v>11048</v>
      </c>
      <c r="S89" s="46">
        <v>6644</v>
      </c>
      <c r="T89" s="46">
        <v>14028</v>
      </c>
      <c r="U89" s="46">
        <v>5664</v>
      </c>
      <c r="V89" s="25">
        <v>8644.8181295614868</v>
      </c>
      <c r="W89" s="25">
        <v>222.30000000000032</v>
      </c>
      <c r="X89" s="25">
        <v>24.88187043851331</v>
      </c>
      <c r="Y89" s="46">
        <v>7013</v>
      </c>
      <c r="Z89" s="46">
        <v>12903</v>
      </c>
      <c r="AA89" s="46">
        <v>9380</v>
      </c>
      <c r="AB89" s="46">
        <v>6854</v>
      </c>
      <c r="AC89" s="46">
        <v>12695</v>
      </c>
      <c r="AD89" s="46">
        <v>22917</v>
      </c>
      <c r="AE89" s="46">
        <v>19150</v>
      </c>
      <c r="AF89" s="46">
        <v>13401</v>
      </c>
      <c r="AG89" s="46">
        <v>6247</v>
      </c>
      <c r="AH89" s="46">
        <v>22042</v>
      </c>
      <c r="AI89" s="46">
        <v>9775</v>
      </c>
      <c r="AJ89" s="46">
        <v>14631</v>
      </c>
      <c r="AK89" s="46">
        <v>27620</v>
      </c>
      <c r="AL89" s="46">
        <v>20483</v>
      </c>
      <c r="AM89" s="46">
        <v>20855</v>
      </c>
      <c r="AN89" s="46">
        <v>8257</v>
      </c>
      <c r="AO89" s="46">
        <v>16648</v>
      </c>
      <c r="AP89" s="46">
        <v>13057</v>
      </c>
      <c r="AQ89" s="25">
        <v>14489.444041966393</v>
      </c>
      <c r="AR89" s="25">
        <v>1691.8721627726568</v>
      </c>
      <c r="AS89" s="25">
        <v>1627.8644560257585</v>
      </c>
      <c r="AT89" s="25">
        <v>3685.8193392351923</v>
      </c>
      <c r="AU89" s="46">
        <v>22993</v>
      </c>
      <c r="AV89" s="46">
        <v>104570</v>
      </c>
      <c r="AW89" s="46">
        <v>49181</v>
      </c>
      <c r="AX89" s="46">
        <v>352528</v>
      </c>
      <c r="AY89" s="48">
        <f>AY90+AY91+AY94</f>
        <v>87877</v>
      </c>
      <c r="AZ89" s="46">
        <v>5137</v>
      </c>
      <c r="BA89" s="46">
        <v>7492</v>
      </c>
      <c r="BB89" s="46">
        <v>44037</v>
      </c>
      <c r="BC89" s="46">
        <v>11307</v>
      </c>
      <c r="BD89" s="46">
        <v>60116</v>
      </c>
      <c r="BE89" s="46">
        <v>6798</v>
      </c>
      <c r="BF89" s="46">
        <v>11678</v>
      </c>
      <c r="BG89" s="46">
        <v>19212</v>
      </c>
      <c r="BH89" s="46">
        <v>57187</v>
      </c>
      <c r="BI89" s="46">
        <v>165217</v>
      </c>
      <c r="BJ89" s="46">
        <v>7923</v>
      </c>
      <c r="BK89" s="46">
        <v>61939</v>
      </c>
      <c r="BL89" s="46">
        <v>18585</v>
      </c>
      <c r="BM89" s="46">
        <v>15429</v>
      </c>
      <c r="BN89" s="46">
        <v>11344</v>
      </c>
      <c r="BO89" s="46">
        <v>118404</v>
      </c>
      <c r="BP89" s="46">
        <v>31074</v>
      </c>
      <c r="BQ89" s="46">
        <v>528703</v>
      </c>
      <c r="BR89" s="46">
        <v>282090</v>
      </c>
      <c r="BS89" s="46">
        <v>89933</v>
      </c>
      <c r="BT89" s="46">
        <v>127700</v>
      </c>
      <c r="BU89" s="46">
        <v>89831</v>
      </c>
      <c r="BV89" s="46">
        <v>13265</v>
      </c>
      <c r="BW89" s="46">
        <v>45395</v>
      </c>
      <c r="BX89" s="46">
        <v>74451</v>
      </c>
      <c r="BY89" s="72">
        <v>3055773</v>
      </c>
      <c r="BZ89" s="25">
        <v>0</v>
      </c>
      <c r="CA89" s="25">
        <v>0</v>
      </c>
      <c r="CB89" s="25">
        <v>0</v>
      </c>
      <c r="CC89" s="25">
        <v>0</v>
      </c>
      <c r="CD89" s="25">
        <v>0</v>
      </c>
      <c r="CE89" s="25">
        <v>0</v>
      </c>
      <c r="CF89" s="25">
        <v>0</v>
      </c>
      <c r="CG89" s="25">
        <v>3055773</v>
      </c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</row>
    <row r="90" spans="1:99" s="5" customFormat="1" x14ac:dyDescent="0.3">
      <c r="A90" s="28" t="s">
        <v>176</v>
      </c>
      <c r="B90" s="14" t="s">
        <v>177</v>
      </c>
      <c r="C90" s="5">
        <v>85</v>
      </c>
      <c r="D90" s="46">
        <v>29230</v>
      </c>
      <c r="E90" s="46">
        <v>19506</v>
      </c>
      <c r="F90" s="46">
        <v>1981</v>
      </c>
      <c r="G90" s="46">
        <v>3307</v>
      </c>
      <c r="H90" s="46">
        <v>12359</v>
      </c>
      <c r="I90" s="46">
        <v>3581</v>
      </c>
      <c r="J90" s="46">
        <v>2011</v>
      </c>
      <c r="K90" s="46">
        <v>23432</v>
      </c>
      <c r="L90" s="46">
        <v>6252</v>
      </c>
      <c r="M90" s="46">
        <v>27911</v>
      </c>
      <c r="N90" s="46">
        <v>7718</v>
      </c>
      <c r="O90" s="46">
        <v>1309</v>
      </c>
      <c r="P90" s="46">
        <v>9222</v>
      </c>
      <c r="Q90" s="46">
        <v>14743</v>
      </c>
      <c r="R90" s="46">
        <v>9151</v>
      </c>
      <c r="S90" s="46">
        <v>5395</v>
      </c>
      <c r="T90" s="46">
        <v>11059</v>
      </c>
      <c r="U90" s="46">
        <v>4600</v>
      </c>
      <c r="V90" s="25">
        <v>6069.455643595632</v>
      </c>
      <c r="W90" s="25">
        <v>156.07500000000022</v>
      </c>
      <c r="X90" s="25">
        <v>17.469356404367815</v>
      </c>
      <c r="Y90" s="46">
        <v>5622</v>
      </c>
      <c r="Z90" s="46">
        <v>9758</v>
      </c>
      <c r="AA90" s="46">
        <v>7225</v>
      </c>
      <c r="AB90" s="46">
        <v>5400</v>
      </c>
      <c r="AC90" s="46">
        <v>9702</v>
      </c>
      <c r="AD90" s="46">
        <v>17824</v>
      </c>
      <c r="AE90" s="46">
        <v>15527</v>
      </c>
      <c r="AF90" s="46">
        <v>10413</v>
      </c>
      <c r="AG90" s="46">
        <v>5015</v>
      </c>
      <c r="AH90" s="46">
        <v>17453</v>
      </c>
      <c r="AI90" s="46">
        <v>7775</v>
      </c>
      <c r="AJ90" s="46">
        <v>11477</v>
      </c>
      <c r="AK90" s="46">
        <v>21904</v>
      </c>
      <c r="AL90" s="46">
        <v>15859</v>
      </c>
      <c r="AM90" s="46">
        <v>17465</v>
      </c>
      <c r="AN90" s="46">
        <v>6659</v>
      </c>
      <c r="AO90" s="46">
        <v>13658</v>
      </c>
      <c r="AP90" s="46">
        <v>10523</v>
      </c>
      <c r="AQ90" s="25">
        <v>10400.44810995578</v>
      </c>
      <c r="AR90" s="25">
        <v>1214.4171016245323</v>
      </c>
      <c r="AS90" s="25">
        <v>1168.4727002568704</v>
      </c>
      <c r="AT90" s="25">
        <v>2645.6620881628182</v>
      </c>
      <c r="AU90" s="46">
        <v>17320</v>
      </c>
      <c r="AV90" s="46">
        <v>85935</v>
      </c>
      <c r="AW90" s="46">
        <v>40106</v>
      </c>
      <c r="AX90" s="46">
        <v>279452</v>
      </c>
      <c r="AY90" s="47">
        <v>71610</v>
      </c>
      <c r="AZ90" s="46">
        <v>4217</v>
      </c>
      <c r="BA90" s="46">
        <v>6119</v>
      </c>
      <c r="BB90" s="46">
        <v>34067</v>
      </c>
      <c r="BC90" s="46">
        <v>9520</v>
      </c>
      <c r="BD90" s="46">
        <v>50603</v>
      </c>
      <c r="BE90" s="46">
        <v>5563</v>
      </c>
      <c r="BF90" s="46">
        <v>9857</v>
      </c>
      <c r="BG90" s="46">
        <v>14372</v>
      </c>
      <c r="BH90" s="46">
        <v>45370</v>
      </c>
      <c r="BI90" s="46">
        <v>127124</v>
      </c>
      <c r="BJ90" s="46">
        <v>6253</v>
      </c>
      <c r="BK90" s="46">
        <v>50719</v>
      </c>
      <c r="BL90" s="46">
        <v>14886</v>
      </c>
      <c r="BM90" s="46">
        <v>12362</v>
      </c>
      <c r="BN90" s="46">
        <v>8992</v>
      </c>
      <c r="BO90" s="46">
        <v>95075</v>
      </c>
      <c r="BP90" s="46">
        <v>24376</v>
      </c>
      <c r="BQ90" s="46">
        <v>381003</v>
      </c>
      <c r="BR90" s="46">
        <v>227721</v>
      </c>
      <c r="BS90" s="46">
        <v>74374</v>
      </c>
      <c r="BT90" s="46">
        <v>102765</v>
      </c>
      <c r="BU90" s="46">
        <v>77743</v>
      </c>
      <c r="BV90" s="46">
        <v>11518</v>
      </c>
      <c r="BW90" s="46">
        <v>38820</v>
      </c>
      <c r="BX90" s="46">
        <v>70758</v>
      </c>
      <c r="BY90" s="72">
        <v>2422298</v>
      </c>
      <c r="BZ90" s="25">
        <v>0</v>
      </c>
      <c r="CA90" s="25">
        <v>0</v>
      </c>
      <c r="CB90" s="25">
        <v>0</v>
      </c>
      <c r="CC90" s="25">
        <v>0</v>
      </c>
      <c r="CD90" s="25">
        <v>0</v>
      </c>
      <c r="CE90" s="25">
        <v>0</v>
      </c>
      <c r="CF90" s="25">
        <v>0</v>
      </c>
      <c r="CG90" s="25">
        <v>2422298</v>
      </c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</row>
    <row r="91" spans="1:99" s="5" customFormat="1" x14ac:dyDescent="0.3">
      <c r="A91" s="28" t="s">
        <v>178</v>
      </c>
      <c r="B91" s="14" t="s">
        <v>179</v>
      </c>
      <c r="C91" s="5">
        <v>86</v>
      </c>
      <c r="D91" s="46">
        <v>5126</v>
      </c>
      <c r="E91" s="46">
        <v>2711</v>
      </c>
      <c r="F91" s="46">
        <v>274</v>
      </c>
      <c r="G91" s="46">
        <v>819</v>
      </c>
      <c r="H91" s="46">
        <v>4558</v>
      </c>
      <c r="I91" s="46">
        <v>921</v>
      </c>
      <c r="J91" s="46">
        <v>596</v>
      </c>
      <c r="K91" s="46">
        <v>6685</v>
      </c>
      <c r="L91" s="46">
        <v>2438</v>
      </c>
      <c r="M91" s="46">
        <v>7511</v>
      </c>
      <c r="N91" s="46">
        <v>2235</v>
      </c>
      <c r="O91" s="46">
        <v>402</v>
      </c>
      <c r="P91" s="46">
        <v>2040</v>
      </c>
      <c r="Q91" s="46">
        <v>3800</v>
      </c>
      <c r="R91" s="46">
        <v>1897</v>
      </c>
      <c r="S91" s="46">
        <v>1249</v>
      </c>
      <c r="T91" s="46">
        <v>2969</v>
      </c>
      <c r="U91" s="46">
        <v>1064</v>
      </c>
      <c r="V91" s="25">
        <v>2575.3624859658544</v>
      </c>
      <c r="W91" s="25">
        <v>66.225000000000094</v>
      </c>
      <c r="X91" s="25">
        <v>7.4125140341454969</v>
      </c>
      <c r="Y91" s="46">
        <v>1391</v>
      </c>
      <c r="Z91" s="46">
        <v>3145</v>
      </c>
      <c r="AA91" s="46">
        <v>2155</v>
      </c>
      <c r="AB91" s="46">
        <v>1454</v>
      </c>
      <c r="AC91" s="46">
        <v>2993</v>
      </c>
      <c r="AD91" s="46">
        <v>5093</v>
      </c>
      <c r="AE91" s="46">
        <v>3623</v>
      </c>
      <c r="AF91" s="46">
        <v>2988</v>
      </c>
      <c r="AG91" s="46">
        <v>1232</v>
      </c>
      <c r="AH91" s="46">
        <v>4589</v>
      </c>
      <c r="AI91" s="46">
        <v>2000</v>
      </c>
      <c r="AJ91" s="46">
        <v>3154</v>
      </c>
      <c r="AK91" s="46">
        <v>5716</v>
      </c>
      <c r="AL91" s="46">
        <v>4624</v>
      </c>
      <c r="AM91" s="46">
        <v>3390</v>
      </c>
      <c r="AN91" s="46">
        <v>1598</v>
      </c>
      <c r="AO91" s="46">
        <v>2990</v>
      </c>
      <c r="AP91" s="46">
        <v>2534</v>
      </c>
      <c r="AQ91" s="25">
        <v>4088.9959320106136</v>
      </c>
      <c r="AR91" s="25">
        <v>477.45506114812451</v>
      </c>
      <c r="AS91" s="25">
        <v>459.39175576888817</v>
      </c>
      <c r="AT91" s="25">
        <v>1040.1572510723738</v>
      </c>
      <c r="AU91" s="46">
        <v>5673</v>
      </c>
      <c r="AV91" s="46">
        <v>18635</v>
      </c>
      <c r="AW91" s="46">
        <v>9075</v>
      </c>
      <c r="AX91" s="46">
        <v>73076</v>
      </c>
      <c r="AY91" s="47">
        <f>AY92+AY93</f>
        <v>16267</v>
      </c>
      <c r="AZ91" s="46">
        <v>920</v>
      </c>
      <c r="BA91" s="46">
        <v>1373</v>
      </c>
      <c r="BB91" s="46">
        <v>9970</v>
      </c>
      <c r="BC91" s="46">
        <v>1787</v>
      </c>
      <c r="BD91" s="46">
        <v>9513</v>
      </c>
      <c r="BE91" s="46">
        <v>1235</v>
      </c>
      <c r="BF91" s="46">
        <v>1821</v>
      </c>
      <c r="BG91" s="46">
        <v>4840</v>
      </c>
      <c r="BH91" s="46">
        <v>11817</v>
      </c>
      <c r="BI91" s="46">
        <v>38093</v>
      </c>
      <c r="BJ91" s="46">
        <v>1670</v>
      </c>
      <c r="BK91" s="46">
        <v>11220</v>
      </c>
      <c r="BL91" s="46">
        <v>3699</v>
      </c>
      <c r="BM91" s="46">
        <v>3067</v>
      </c>
      <c r="BN91" s="46">
        <v>2352</v>
      </c>
      <c r="BO91" s="46">
        <v>23329</v>
      </c>
      <c r="BP91" s="46">
        <v>6698</v>
      </c>
      <c r="BQ91" s="46">
        <v>64857</v>
      </c>
      <c r="BR91" s="46">
        <v>47663</v>
      </c>
      <c r="BS91" s="46">
        <v>15559</v>
      </c>
      <c r="BT91" s="46">
        <v>17672</v>
      </c>
      <c r="BU91" s="46">
        <v>12088</v>
      </c>
      <c r="BV91" s="46">
        <v>1747</v>
      </c>
      <c r="BW91" s="46">
        <v>6575</v>
      </c>
      <c r="BX91" s="46">
        <v>3693</v>
      </c>
      <c r="BY91" s="72">
        <v>536663</v>
      </c>
      <c r="BZ91" s="25">
        <v>0</v>
      </c>
      <c r="CA91" s="25">
        <v>0</v>
      </c>
      <c r="CB91" s="25">
        <v>0</v>
      </c>
      <c r="CC91" s="25">
        <v>0</v>
      </c>
      <c r="CD91" s="25">
        <v>0</v>
      </c>
      <c r="CE91" s="25">
        <v>0</v>
      </c>
      <c r="CF91" s="25">
        <v>0</v>
      </c>
      <c r="CG91" s="25">
        <v>536663</v>
      </c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</row>
    <row r="92" spans="1:99" s="5" customFormat="1" x14ac:dyDescent="0.3">
      <c r="A92" s="28"/>
      <c r="B92" s="18" t="s">
        <v>180</v>
      </c>
      <c r="C92" s="5">
        <v>87</v>
      </c>
      <c r="D92" s="46">
        <v>5123</v>
      </c>
      <c r="E92" s="46">
        <v>2698</v>
      </c>
      <c r="F92" s="46">
        <v>272</v>
      </c>
      <c r="G92" s="46">
        <v>806</v>
      </c>
      <c r="H92" s="46">
        <v>3536</v>
      </c>
      <c r="I92" s="46">
        <v>884</v>
      </c>
      <c r="J92" s="46">
        <v>566</v>
      </c>
      <c r="K92" s="46">
        <v>6513</v>
      </c>
      <c r="L92" s="46">
        <v>2394</v>
      </c>
      <c r="M92" s="46">
        <v>7273</v>
      </c>
      <c r="N92" s="46">
        <v>2148</v>
      </c>
      <c r="O92" s="46">
        <v>367</v>
      </c>
      <c r="P92" s="46">
        <v>1996</v>
      </c>
      <c r="Q92" s="46">
        <v>3739</v>
      </c>
      <c r="R92" s="46">
        <v>1856</v>
      </c>
      <c r="S92" s="46">
        <v>1182</v>
      </c>
      <c r="T92" s="46">
        <v>2686</v>
      </c>
      <c r="U92" s="46">
        <v>1025</v>
      </c>
      <c r="V92" s="25">
        <v>1824.8227203314104</v>
      </c>
      <c r="W92" s="25">
        <v>46.925000000000907</v>
      </c>
      <c r="X92" s="25">
        <v>5.252279668588554</v>
      </c>
      <c r="Y92" s="46">
        <v>1350</v>
      </c>
      <c r="Z92" s="46">
        <v>2868</v>
      </c>
      <c r="AA92" s="46">
        <v>1980</v>
      </c>
      <c r="AB92" s="46">
        <v>1412</v>
      </c>
      <c r="AC92" s="46">
        <v>2814</v>
      </c>
      <c r="AD92" s="46">
        <v>4943</v>
      </c>
      <c r="AE92" s="46">
        <v>3466</v>
      </c>
      <c r="AF92" s="46">
        <v>2727</v>
      </c>
      <c r="AG92" s="46">
        <v>1168</v>
      </c>
      <c r="AH92" s="46">
        <v>4470</v>
      </c>
      <c r="AI92" s="46">
        <v>1937</v>
      </c>
      <c r="AJ92" s="46">
        <v>3036</v>
      </c>
      <c r="AK92" s="46">
        <v>5460</v>
      </c>
      <c r="AL92" s="46">
        <v>4407</v>
      </c>
      <c r="AM92" s="46">
        <v>3257</v>
      </c>
      <c r="AN92" s="46">
        <v>1477</v>
      </c>
      <c r="AO92" s="46">
        <v>2905</v>
      </c>
      <c r="AP92" s="46">
        <v>2436</v>
      </c>
      <c r="AQ92" s="25">
        <v>3142.581443295991</v>
      </c>
      <c r="AR92" s="25">
        <v>366.9461745915853</v>
      </c>
      <c r="AS92" s="25">
        <v>353.06369360279535</v>
      </c>
      <c r="AT92" s="25">
        <v>799.40868850962852</v>
      </c>
      <c r="AU92" s="46">
        <v>5109</v>
      </c>
      <c r="AV92" s="46">
        <v>18183</v>
      </c>
      <c r="AW92" s="46">
        <v>8959</v>
      </c>
      <c r="AX92" s="46">
        <v>71753</v>
      </c>
      <c r="AY92" s="47">
        <v>15650</v>
      </c>
      <c r="AZ92" s="46">
        <v>881</v>
      </c>
      <c r="BA92" s="46">
        <v>1333</v>
      </c>
      <c r="BB92" s="46">
        <v>8842</v>
      </c>
      <c r="BC92" s="46">
        <v>1736</v>
      </c>
      <c r="BD92" s="46">
        <v>9380</v>
      </c>
      <c r="BE92" s="46">
        <v>1198</v>
      </c>
      <c r="BF92" s="46">
        <v>1745</v>
      </c>
      <c r="BG92" s="46">
        <v>3960</v>
      </c>
      <c r="BH92" s="46">
        <v>11081</v>
      </c>
      <c r="BI92" s="46">
        <v>32184</v>
      </c>
      <c r="BJ92" s="46">
        <v>1614</v>
      </c>
      <c r="BK92" s="46">
        <v>10153</v>
      </c>
      <c r="BL92" s="46">
        <v>3565</v>
      </c>
      <c r="BM92" s="46">
        <v>3015</v>
      </c>
      <c r="BN92" s="46">
        <v>2297</v>
      </c>
      <c r="BO92" s="46">
        <v>22948</v>
      </c>
      <c r="BP92" s="46">
        <v>6601</v>
      </c>
      <c r="BQ92" s="46">
        <v>64134</v>
      </c>
      <c r="BR92" s="46">
        <v>47469</v>
      </c>
      <c r="BS92" s="46">
        <v>15429</v>
      </c>
      <c r="BT92" s="46">
        <v>17649</v>
      </c>
      <c r="BU92" s="46">
        <v>11939</v>
      </c>
      <c r="BV92" s="46">
        <v>1701</v>
      </c>
      <c r="BW92" s="46">
        <v>6456</v>
      </c>
      <c r="BX92" s="46">
        <v>3693</v>
      </c>
      <c r="BY92" s="72">
        <v>514373</v>
      </c>
      <c r="BZ92" s="25">
        <v>0</v>
      </c>
      <c r="CA92" s="25">
        <v>0</v>
      </c>
      <c r="CB92" s="25">
        <v>0</v>
      </c>
      <c r="CC92" s="25">
        <v>0</v>
      </c>
      <c r="CD92" s="25">
        <v>0</v>
      </c>
      <c r="CE92" s="25">
        <v>0</v>
      </c>
      <c r="CF92" s="25">
        <v>0</v>
      </c>
      <c r="CG92" s="25">
        <v>514373</v>
      </c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</row>
    <row r="93" spans="1:99" s="5" customFormat="1" x14ac:dyDescent="0.3">
      <c r="A93" s="28"/>
      <c r="B93" s="14" t="s">
        <v>181</v>
      </c>
      <c r="C93" s="5">
        <v>88</v>
      </c>
      <c r="D93" s="46">
        <v>3</v>
      </c>
      <c r="E93" s="46">
        <v>13</v>
      </c>
      <c r="F93" s="46">
        <v>2</v>
      </c>
      <c r="G93" s="46">
        <v>13</v>
      </c>
      <c r="H93" s="46">
        <v>1022</v>
      </c>
      <c r="I93" s="46">
        <v>37</v>
      </c>
      <c r="J93" s="46">
        <v>30</v>
      </c>
      <c r="K93" s="46">
        <v>172</v>
      </c>
      <c r="L93" s="46">
        <v>44</v>
      </c>
      <c r="M93" s="46">
        <v>238</v>
      </c>
      <c r="N93" s="46">
        <v>87</v>
      </c>
      <c r="O93" s="46">
        <v>35</v>
      </c>
      <c r="P93" s="46">
        <v>44</v>
      </c>
      <c r="Q93" s="46">
        <v>61</v>
      </c>
      <c r="R93" s="46">
        <v>41</v>
      </c>
      <c r="S93" s="46">
        <v>67</v>
      </c>
      <c r="T93" s="46">
        <v>283</v>
      </c>
      <c r="U93" s="46">
        <v>39</v>
      </c>
      <c r="V93" s="25">
        <v>750.53976563444269</v>
      </c>
      <c r="W93" s="25">
        <v>19.300000000000029</v>
      </c>
      <c r="X93" s="25">
        <v>2.1602343655569332</v>
      </c>
      <c r="Y93" s="46">
        <v>41</v>
      </c>
      <c r="Z93" s="46">
        <v>277</v>
      </c>
      <c r="AA93" s="46">
        <v>175</v>
      </c>
      <c r="AB93" s="46">
        <v>42</v>
      </c>
      <c r="AC93" s="46">
        <v>179</v>
      </c>
      <c r="AD93" s="46">
        <v>150</v>
      </c>
      <c r="AE93" s="46">
        <v>157</v>
      </c>
      <c r="AF93" s="46">
        <v>261</v>
      </c>
      <c r="AG93" s="46">
        <v>64</v>
      </c>
      <c r="AH93" s="46">
        <v>119</v>
      </c>
      <c r="AI93" s="46">
        <v>63</v>
      </c>
      <c r="AJ93" s="46">
        <v>118</v>
      </c>
      <c r="AK93" s="46">
        <v>256</v>
      </c>
      <c r="AL93" s="46">
        <v>217</v>
      </c>
      <c r="AM93" s="46">
        <v>133</v>
      </c>
      <c r="AN93" s="46">
        <v>121</v>
      </c>
      <c r="AO93" s="46">
        <v>85</v>
      </c>
      <c r="AP93" s="46">
        <v>98</v>
      </c>
      <c r="AQ93" s="25">
        <v>946.41448871462273</v>
      </c>
      <c r="AR93" s="25">
        <v>110.50888655653921</v>
      </c>
      <c r="AS93" s="25">
        <v>106.32806216609282</v>
      </c>
      <c r="AT93" s="25">
        <v>240.74856256274529</v>
      </c>
      <c r="AU93" s="46">
        <v>564</v>
      </c>
      <c r="AV93" s="46">
        <v>452</v>
      </c>
      <c r="AW93" s="46">
        <v>116</v>
      </c>
      <c r="AX93" s="46">
        <v>1323</v>
      </c>
      <c r="AY93" s="47">
        <v>617</v>
      </c>
      <c r="AZ93" s="46">
        <v>39</v>
      </c>
      <c r="BA93" s="46">
        <v>40</v>
      </c>
      <c r="BB93" s="46">
        <v>1128</v>
      </c>
      <c r="BC93" s="46">
        <v>51</v>
      </c>
      <c r="BD93" s="46">
        <v>133</v>
      </c>
      <c r="BE93" s="46">
        <v>37</v>
      </c>
      <c r="BF93" s="46">
        <v>76</v>
      </c>
      <c r="BG93" s="46">
        <v>880</v>
      </c>
      <c r="BH93" s="46">
        <v>736</v>
      </c>
      <c r="BI93" s="46">
        <v>5909</v>
      </c>
      <c r="BJ93" s="46">
        <v>56</v>
      </c>
      <c r="BK93" s="46">
        <v>1067</v>
      </c>
      <c r="BL93" s="46">
        <v>134</v>
      </c>
      <c r="BM93" s="46">
        <v>52</v>
      </c>
      <c r="BN93" s="46">
        <v>55</v>
      </c>
      <c r="BO93" s="46">
        <v>381</v>
      </c>
      <c r="BP93" s="46">
        <v>97</v>
      </c>
      <c r="BQ93" s="46">
        <v>723</v>
      </c>
      <c r="BR93" s="46">
        <v>194</v>
      </c>
      <c r="BS93" s="46">
        <v>130</v>
      </c>
      <c r="BT93" s="46">
        <v>23</v>
      </c>
      <c r="BU93" s="46">
        <v>149</v>
      </c>
      <c r="BV93" s="46">
        <v>46</v>
      </c>
      <c r="BW93" s="46">
        <v>119</v>
      </c>
      <c r="BX93" s="46">
        <v>0</v>
      </c>
      <c r="BY93" s="72">
        <v>22290</v>
      </c>
      <c r="BZ93" s="25">
        <v>0</v>
      </c>
      <c r="CA93" s="25">
        <v>0</v>
      </c>
      <c r="CB93" s="25">
        <v>0</v>
      </c>
      <c r="CC93" s="25">
        <v>0</v>
      </c>
      <c r="CD93" s="25">
        <v>0</v>
      </c>
      <c r="CE93" s="25">
        <v>0</v>
      </c>
      <c r="CF93" s="25">
        <v>0</v>
      </c>
      <c r="CG93" s="25">
        <v>22290</v>
      </c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</row>
    <row r="94" spans="1:99" s="5" customFormat="1" x14ac:dyDescent="0.3">
      <c r="A94" s="28" t="s">
        <v>182</v>
      </c>
      <c r="B94" s="14" t="s">
        <v>183</v>
      </c>
      <c r="C94" s="5">
        <v>89</v>
      </c>
      <c r="D94" s="46">
        <v>0</v>
      </c>
      <c r="E94" s="46">
        <v>0</v>
      </c>
      <c r="F94" s="46">
        <v>0</v>
      </c>
      <c r="G94" s="46">
        <v>0</v>
      </c>
      <c r="H94" s="46">
        <v>0</v>
      </c>
      <c r="I94" s="46">
        <v>0</v>
      </c>
      <c r="J94" s="46">
        <v>0</v>
      </c>
      <c r="K94" s="46">
        <v>0</v>
      </c>
      <c r="L94" s="46">
        <v>0</v>
      </c>
      <c r="M94" s="46">
        <v>0</v>
      </c>
      <c r="N94" s="46">
        <v>0</v>
      </c>
      <c r="O94" s="46">
        <v>0</v>
      </c>
      <c r="P94" s="46">
        <v>0</v>
      </c>
      <c r="Q94" s="46">
        <v>0</v>
      </c>
      <c r="R94" s="46">
        <v>0</v>
      </c>
      <c r="S94" s="46">
        <v>0</v>
      </c>
      <c r="T94" s="46">
        <v>0</v>
      </c>
      <c r="U94" s="46">
        <v>0</v>
      </c>
      <c r="V94" s="25">
        <v>0</v>
      </c>
      <c r="W94" s="25">
        <v>0</v>
      </c>
      <c r="X94" s="25">
        <v>0</v>
      </c>
      <c r="Y94" s="46">
        <v>0</v>
      </c>
      <c r="Z94" s="46">
        <v>0</v>
      </c>
      <c r="AA94" s="46">
        <v>0</v>
      </c>
      <c r="AB94" s="46">
        <v>0</v>
      </c>
      <c r="AC94" s="46">
        <v>0</v>
      </c>
      <c r="AD94" s="46">
        <v>0</v>
      </c>
      <c r="AE94" s="46">
        <v>0</v>
      </c>
      <c r="AF94" s="46">
        <v>0</v>
      </c>
      <c r="AG94" s="46">
        <v>0</v>
      </c>
      <c r="AH94" s="46">
        <v>0</v>
      </c>
      <c r="AI94" s="46">
        <v>0</v>
      </c>
      <c r="AJ94" s="46">
        <v>0</v>
      </c>
      <c r="AK94" s="46">
        <v>0</v>
      </c>
      <c r="AL94" s="46">
        <v>0</v>
      </c>
      <c r="AM94" s="46">
        <v>0</v>
      </c>
      <c r="AN94" s="46">
        <v>0</v>
      </c>
      <c r="AO94" s="46">
        <v>0</v>
      </c>
      <c r="AP94" s="46">
        <v>0</v>
      </c>
      <c r="AQ94" s="25">
        <v>0</v>
      </c>
      <c r="AR94" s="25">
        <v>0</v>
      </c>
      <c r="AS94" s="25">
        <v>0</v>
      </c>
      <c r="AT94" s="25">
        <v>0</v>
      </c>
      <c r="AU94" s="46">
        <v>0</v>
      </c>
      <c r="AV94" s="46">
        <v>0</v>
      </c>
      <c r="AW94" s="46">
        <v>0</v>
      </c>
      <c r="AX94" s="46">
        <v>0</v>
      </c>
      <c r="AY94" s="47">
        <v>0</v>
      </c>
      <c r="AZ94" s="46">
        <v>0</v>
      </c>
      <c r="BA94" s="46">
        <v>0</v>
      </c>
      <c r="BB94" s="46">
        <v>0</v>
      </c>
      <c r="BC94" s="46">
        <v>0</v>
      </c>
      <c r="BD94" s="46">
        <v>0</v>
      </c>
      <c r="BE94" s="46">
        <v>0</v>
      </c>
      <c r="BF94" s="46">
        <v>0</v>
      </c>
      <c r="BG94" s="46">
        <v>0</v>
      </c>
      <c r="BH94" s="46">
        <v>0</v>
      </c>
      <c r="BI94" s="46">
        <v>0</v>
      </c>
      <c r="BJ94" s="46">
        <v>0</v>
      </c>
      <c r="BK94" s="46">
        <v>0</v>
      </c>
      <c r="BL94" s="46">
        <v>0</v>
      </c>
      <c r="BM94" s="46">
        <v>0</v>
      </c>
      <c r="BN94" s="46">
        <v>0</v>
      </c>
      <c r="BO94" s="46">
        <v>0</v>
      </c>
      <c r="BP94" s="46">
        <v>0</v>
      </c>
      <c r="BQ94" s="46">
        <v>82843</v>
      </c>
      <c r="BR94" s="46">
        <v>6706</v>
      </c>
      <c r="BS94" s="46">
        <v>0</v>
      </c>
      <c r="BT94" s="46">
        <v>7263</v>
      </c>
      <c r="BU94" s="46">
        <v>0</v>
      </c>
      <c r="BV94" s="46">
        <v>0</v>
      </c>
      <c r="BW94" s="46">
        <v>0</v>
      </c>
      <c r="BX94" s="46">
        <v>0</v>
      </c>
      <c r="BY94" s="72">
        <v>96812</v>
      </c>
      <c r="BZ94" s="25">
        <v>0</v>
      </c>
      <c r="CA94" s="25">
        <v>0</v>
      </c>
      <c r="CB94" s="25">
        <v>0</v>
      </c>
      <c r="CC94" s="25">
        <v>0</v>
      </c>
      <c r="CD94" s="25">
        <v>0</v>
      </c>
      <c r="CE94" s="25">
        <v>0</v>
      </c>
      <c r="CF94" s="25">
        <v>0</v>
      </c>
      <c r="CG94" s="25">
        <v>96812</v>
      </c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</row>
    <row r="95" spans="1:99" s="5" customFormat="1" x14ac:dyDescent="0.3">
      <c r="A95" s="66" t="s">
        <v>184</v>
      </c>
      <c r="B95" s="67" t="s">
        <v>185</v>
      </c>
      <c r="C95" s="5">
        <v>90</v>
      </c>
      <c r="D95" s="46">
        <v>182575</v>
      </c>
      <c r="E95" s="46">
        <v>48953</v>
      </c>
      <c r="F95" s="46">
        <v>26039</v>
      </c>
      <c r="G95" s="46">
        <v>3887</v>
      </c>
      <c r="H95" s="46">
        <v>82275</v>
      </c>
      <c r="I95" s="46">
        <v>40026</v>
      </c>
      <c r="J95" s="46">
        <v>4247</v>
      </c>
      <c r="K95" s="46">
        <v>13233</v>
      </c>
      <c r="L95" s="46">
        <v>-927</v>
      </c>
      <c r="M95" s="46">
        <v>27501</v>
      </c>
      <c r="N95" s="46">
        <v>11221</v>
      </c>
      <c r="O95" s="46">
        <v>1741</v>
      </c>
      <c r="P95" s="46">
        <v>4276</v>
      </c>
      <c r="Q95" s="46">
        <v>9211</v>
      </c>
      <c r="R95" s="46">
        <v>4032</v>
      </c>
      <c r="S95" s="46">
        <v>4783</v>
      </c>
      <c r="T95" s="46">
        <v>16893</v>
      </c>
      <c r="U95" s="46">
        <v>4315</v>
      </c>
      <c r="V95" s="25">
        <v>31352.534847079216</v>
      </c>
      <c r="W95" s="25">
        <v>806.22500000000116</v>
      </c>
      <c r="X95" s="25">
        <v>90.240152920784496</v>
      </c>
      <c r="Y95" s="46">
        <v>4134</v>
      </c>
      <c r="Z95" s="46">
        <v>12505</v>
      </c>
      <c r="AA95" s="46">
        <v>5167</v>
      </c>
      <c r="AB95" s="46">
        <v>3587</v>
      </c>
      <c r="AC95" s="46">
        <v>21406</v>
      </c>
      <c r="AD95" s="46">
        <v>5651</v>
      </c>
      <c r="AE95" s="46">
        <v>4831</v>
      </c>
      <c r="AF95" s="46">
        <v>19673</v>
      </c>
      <c r="AG95" s="46">
        <v>9072</v>
      </c>
      <c r="AH95" s="46">
        <v>10310</v>
      </c>
      <c r="AI95" s="46">
        <v>4751</v>
      </c>
      <c r="AJ95" s="46">
        <v>4693</v>
      </c>
      <c r="AK95" s="46">
        <v>8755</v>
      </c>
      <c r="AL95" s="46">
        <v>1419</v>
      </c>
      <c r="AM95" s="46">
        <v>8283</v>
      </c>
      <c r="AN95" s="46">
        <v>2054</v>
      </c>
      <c r="AO95" s="46">
        <v>15383</v>
      </c>
      <c r="AP95" s="46">
        <v>14972</v>
      </c>
      <c r="AQ95" s="25">
        <v>60670.726369437907</v>
      </c>
      <c r="AR95" s="25">
        <v>9910.61827089703</v>
      </c>
      <c r="AS95" s="25">
        <v>7100.5881564106267</v>
      </c>
      <c r="AT95" s="25">
        <v>18879.067203254435</v>
      </c>
      <c r="AU95" s="46">
        <v>26426</v>
      </c>
      <c r="AV95" s="46">
        <v>135690</v>
      </c>
      <c r="AW95" s="46">
        <v>47260</v>
      </c>
      <c r="AX95" s="46">
        <v>320736</v>
      </c>
      <c r="AY95" s="48">
        <f>AY96+AY97</f>
        <v>75354</v>
      </c>
      <c r="AZ95" s="46">
        <v>4521</v>
      </c>
      <c r="BA95" s="46">
        <v>1775</v>
      </c>
      <c r="BB95" s="46">
        <v>33698</v>
      </c>
      <c r="BC95" s="46">
        <v>3121</v>
      </c>
      <c r="BD95" s="46">
        <v>68654</v>
      </c>
      <c r="BE95" s="46">
        <v>1586</v>
      </c>
      <c r="BF95" s="46">
        <v>3948</v>
      </c>
      <c r="BG95" s="46">
        <v>43825</v>
      </c>
      <c r="BH95" s="46">
        <v>51289</v>
      </c>
      <c r="BI95" s="46">
        <v>249222</v>
      </c>
      <c r="BJ95" s="46">
        <v>579640</v>
      </c>
      <c r="BK95" s="46">
        <v>92276</v>
      </c>
      <c r="BL95" s="46">
        <v>20171</v>
      </c>
      <c r="BM95" s="46">
        <v>22865</v>
      </c>
      <c r="BN95" s="46">
        <v>18437</v>
      </c>
      <c r="BO95" s="46">
        <v>54852</v>
      </c>
      <c r="BP95" s="46">
        <v>2998</v>
      </c>
      <c r="BQ95" s="46">
        <v>87157</v>
      </c>
      <c r="BR95" s="46">
        <v>13026</v>
      </c>
      <c r="BS95" s="46">
        <v>10137</v>
      </c>
      <c r="BT95" s="46">
        <v>6529</v>
      </c>
      <c r="BU95" s="46">
        <v>77062</v>
      </c>
      <c r="BV95" s="46">
        <v>9413</v>
      </c>
      <c r="BW95" s="46">
        <v>39805</v>
      </c>
      <c r="BX95" s="46">
        <v>0</v>
      </c>
      <c r="BY95" s="72">
        <v>2871210</v>
      </c>
      <c r="BZ95" s="25">
        <v>0</v>
      </c>
      <c r="CA95" s="25">
        <v>0</v>
      </c>
      <c r="CB95" s="25">
        <v>0</v>
      </c>
      <c r="CC95" s="25">
        <v>0</v>
      </c>
      <c r="CD95" s="25">
        <v>0</v>
      </c>
      <c r="CE95" s="25">
        <v>0</v>
      </c>
      <c r="CF95" s="25">
        <v>0</v>
      </c>
      <c r="CG95" s="25">
        <v>2871210</v>
      </c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</row>
    <row r="96" spans="1:99" s="5" customFormat="1" x14ac:dyDescent="0.3">
      <c r="A96" s="28"/>
      <c r="B96" s="14" t="s">
        <v>186</v>
      </c>
      <c r="C96" s="5">
        <v>91</v>
      </c>
      <c r="D96" s="46">
        <v>97228</v>
      </c>
      <c r="E96" s="46">
        <v>38269</v>
      </c>
      <c r="F96" s="46">
        <v>12179</v>
      </c>
      <c r="G96" s="46">
        <v>254</v>
      </c>
      <c r="H96" s="46">
        <v>0</v>
      </c>
      <c r="I96" s="46">
        <v>0</v>
      </c>
      <c r="J96" s="46">
        <v>0</v>
      </c>
      <c r="K96" s="46">
        <v>365</v>
      </c>
      <c r="L96" s="46">
        <v>0</v>
      </c>
      <c r="M96" s="46">
        <v>4151</v>
      </c>
      <c r="N96" s="46">
        <v>23</v>
      </c>
      <c r="O96" s="46">
        <v>0</v>
      </c>
      <c r="P96" s="46">
        <v>1228</v>
      </c>
      <c r="Q96" s="46">
        <v>6429</v>
      </c>
      <c r="R96" s="46">
        <v>625</v>
      </c>
      <c r="S96" s="46">
        <v>1625</v>
      </c>
      <c r="T96" s="46">
        <v>296</v>
      </c>
      <c r="U96" s="46">
        <v>460</v>
      </c>
      <c r="V96" s="25">
        <v>0</v>
      </c>
      <c r="W96" s="25">
        <v>0</v>
      </c>
      <c r="X96" s="25">
        <v>0</v>
      </c>
      <c r="Y96" s="46">
        <v>0</v>
      </c>
      <c r="Z96" s="46">
        <v>0</v>
      </c>
      <c r="AA96" s="46">
        <v>0</v>
      </c>
      <c r="AB96" s="46">
        <v>585</v>
      </c>
      <c r="AC96" s="46">
        <v>0</v>
      </c>
      <c r="AD96" s="46">
        <v>373</v>
      </c>
      <c r="AE96" s="46">
        <v>799</v>
      </c>
      <c r="AF96" s="46">
        <v>0</v>
      </c>
      <c r="AG96" s="46">
        <v>-18</v>
      </c>
      <c r="AH96" s="46">
        <v>2385</v>
      </c>
      <c r="AI96" s="46">
        <v>0</v>
      </c>
      <c r="AJ96" s="46">
        <v>0</v>
      </c>
      <c r="AK96" s="46">
        <v>0</v>
      </c>
      <c r="AL96" s="46">
        <v>0</v>
      </c>
      <c r="AM96" s="46">
        <v>28</v>
      </c>
      <c r="AN96" s="46">
        <v>0</v>
      </c>
      <c r="AO96" s="46">
        <v>1333</v>
      </c>
      <c r="AP96" s="46">
        <v>5023</v>
      </c>
      <c r="AQ96" s="25">
        <v>0</v>
      </c>
      <c r="AR96" s="25">
        <v>0</v>
      </c>
      <c r="AS96" s="25">
        <v>0</v>
      </c>
      <c r="AT96" s="25">
        <v>0</v>
      </c>
      <c r="AU96" s="46">
        <v>1734</v>
      </c>
      <c r="AV96" s="46">
        <v>68569</v>
      </c>
      <c r="AW96" s="46">
        <v>22740</v>
      </c>
      <c r="AX96" s="46">
        <v>58881</v>
      </c>
      <c r="AY96" s="47">
        <v>25394</v>
      </c>
      <c r="AZ96" s="46">
        <v>430</v>
      </c>
      <c r="BA96" s="46">
        <v>0</v>
      </c>
      <c r="BB96" s="46">
        <v>1273</v>
      </c>
      <c r="BC96" s="46">
        <v>1302</v>
      </c>
      <c r="BD96" s="46">
        <v>48476</v>
      </c>
      <c r="BE96" s="46">
        <v>56</v>
      </c>
      <c r="BF96" s="46">
        <v>853</v>
      </c>
      <c r="BG96" s="46">
        <v>253</v>
      </c>
      <c r="BH96" s="46">
        <v>9240</v>
      </c>
      <c r="BI96" s="46">
        <v>2638</v>
      </c>
      <c r="BJ96" s="46">
        <v>4300</v>
      </c>
      <c r="BK96" s="46">
        <v>39398</v>
      </c>
      <c r="BL96" s="46">
        <v>11034</v>
      </c>
      <c r="BM96" s="46">
        <v>6368</v>
      </c>
      <c r="BN96" s="46">
        <v>793</v>
      </c>
      <c r="BO96" s="46">
        <v>7868</v>
      </c>
      <c r="BP96" s="46">
        <v>1175</v>
      </c>
      <c r="BQ96" s="46">
        <v>0</v>
      </c>
      <c r="BR96" s="46">
        <v>0</v>
      </c>
      <c r="BS96" s="46">
        <v>7947</v>
      </c>
      <c r="BT96" s="46">
        <v>0</v>
      </c>
      <c r="BU96" s="46">
        <v>50020</v>
      </c>
      <c r="BV96" s="46">
        <v>6325</v>
      </c>
      <c r="BW96" s="46">
        <v>32861</v>
      </c>
      <c r="BX96" s="46">
        <v>0</v>
      </c>
      <c r="BY96" s="72">
        <v>583568</v>
      </c>
      <c r="BZ96" s="25">
        <v>0</v>
      </c>
      <c r="CA96" s="25">
        <v>0</v>
      </c>
      <c r="CB96" s="25">
        <v>0</v>
      </c>
      <c r="CC96" s="25">
        <v>0</v>
      </c>
      <c r="CD96" s="25">
        <v>0</v>
      </c>
      <c r="CE96" s="25">
        <v>0</v>
      </c>
      <c r="CF96" s="25">
        <v>0</v>
      </c>
      <c r="CG96" s="25">
        <v>583568</v>
      </c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</row>
    <row r="97" spans="1:99" s="5" customFormat="1" x14ac:dyDescent="0.3">
      <c r="A97" s="28"/>
      <c r="B97" s="14" t="s">
        <v>187</v>
      </c>
      <c r="C97" s="5">
        <v>92</v>
      </c>
      <c r="D97" s="46">
        <v>85347</v>
      </c>
      <c r="E97" s="46">
        <v>10684</v>
      </c>
      <c r="F97" s="46">
        <v>13860</v>
      </c>
      <c r="G97" s="46">
        <v>3633</v>
      </c>
      <c r="H97" s="46">
        <v>82275</v>
      </c>
      <c r="I97" s="46">
        <v>40026</v>
      </c>
      <c r="J97" s="46">
        <v>4247</v>
      </c>
      <c r="K97" s="46">
        <v>12868</v>
      </c>
      <c r="L97" s="46">
        <v>-927</v>
      </c>
      <c r="M97" s="46">
        <v>23350</v>
      </c>
      <c r="N97" s="46">
        <v>11198</v>
      </c>
      <c r="O97" s="46">
        <v>1741</v>
      </c>
      <c r="P97" s="46">
        <v>3048</v>
      </c>
      <c r="Q97" s="46">
        <v>2782</v>
      </c>
      <c r="R97" s="46">
        <v>3407</v>
      </c>
      <c r="S97" s="46">
        <v>3158</v>
      </c>
      <c r="T97" s="46">
        <v>16597</v>
      </c>
      <c r="U97" s="46">
        <v>3855</v>
      </c>
      <c r="V97" s="25">
        <v>31352.534847079216</v>
      </c>
      <c r="W97" s="25">
        <v>806.22500000000116</v>
      </c>
      <c r="X97" s="25">
        <v>90.240152920784496</v>
      </c>
      <c r="Y97" s="46">
        <v>4134</v>
      </c>
      <c r="Z97" s="46">
        <v>12505</v>
      </c>
      <c r="AA97" s="46">
        <v>5167</v>
      </c>
      <c r="AB97" s="46">
        <v>3002</v>
      </c>
      <c r="AC97" s="46">
        <v>21406</v>
      </c>
      <c r="AD97" s="46">
        <v>5278</v>
      </c>
      <c r="AE97" s="46">
        <v>4032</v>
      </c>
      <c r="AF97" s="46">
        <v>19673</v>
      </c>
      <c r="AG97" s="46">
        <v>9090</v>
      </c>
      <c r="AH97" s="46">
        <v>7925</v>
      </c>
      <c r="AI97" s="46">
        <v>4751</v>
      </c>
      <c r="AJ97" s="46">
        <v>4693</v>
      </c>
      <c r="AK97" s="46">
        <v>8755</v>
      </c>
      <c r="AL97" s="46">
        <v>1419</v>
      </c>
      <c r="AM97" s="46">
        <v>8255</v>
      </c>
      <c r="AN97" s="46">
        <v>2054</v>
      </c>
      <c r="AO97" s="46">
        <v>14050</v>
      </c>
      <c r="AP97" s="46">
        <v>9949</v>
      </c>
      <c r="AQ97" s="25">
        <v>60670.726369437907</v>
      </c>
      <c r="AR97" s="25">
        <v>9910.61827089703</v>
      </c>
      <c r="AS97" s="25">
        <v>7100.5881564106267</v>
      </c>
      <c r="AT97" s="25">
        <v>18879.067203254435</v>
      </c>
      <c r="AU97" s="46">
        <v>24692</v>
      </c>
      <c r="AV97" s="46">
        <v>67121</v>
      </c>
      <c r="AW97" s="46">
        <v>24520</v>
      </c>
      <c r="AX97" s="46">
        <v>261855</v>
      </c>
      <c r="AY97" s="47">
        <v>49960</v>
      </c>
      <c r="AZ97" s="46">
        <v>4091</v>
      </c>
      <c r="BA97" s="46">
        <v>1775</v>
      </c>
      <c r="BB97" s="46">
        <v>32425</v>
      </c>
      <c r="BC97" s="46">
        <v>1819</v>
      </c>
      <c r="BD97" s="46">
        <v>20178</v>
      </c>
      <c r="BE97" s="46">
        <v>1530</v>
      </c>
      <c r="BF97" s="46">
        <v>3095</v>
      </c>
      <c r="BG97" s="46">
        <v>43572</v>
      </c>
      <c r="BH97" s="46">
        <v>42049</v>
      </c>
      <c r="BI97" s="46">
        <v>246584</v>
      </c>
      <c r="BJ97" s="46">
        <v>575340</v>
      </c>
      <c r="BK97" s="46">
        <v>52878</v>
      </c>
      <c r="BL97" s="46">
        <v>9137</v>
      </c>
      <c r="BM97" s="46">
        <v>16497</v>
      </c>
      <c r="BN97" s="46">
        <v>17644</v>
      </c>
      <c r="BO97" s="46">
        <v>46984</v>
      </c>
      <c r="BP97" s="46">
        <v>1823</v>
      </c>
      <c r="BQ97" s="46">
        <v>87157</v>
      </c>
      <c r="BR97" s="46">
        <v>13026</v>
      </c>
      <c r="BS97" s="46">
        <v>2190</v>
      </c>
      <c r="BT97" s="46">
        <v>6529</v>
      </c>
      <c r="BU97" s="46">
        <v>27042</v>
      </c>
      <c r="BV97" s="46">
        <v>3088</v>
      </c>
      <c r="BW97" s="46">
        <v>6944</v>
      </c>
      <c r="BX97" s="46">
        <v>0</v>
      </c>
      <c r="BY97" s="72">
        <v>2287642</v>
      </c>
      <c r="BZ97" s="25">
        <v>0</v>
      </c>
      <c r="CA97" s="25">
        <v>0</v>
      </c>
      <c r="CB97" s="25">
        <v>0</v>
      </c>
      <c r="CC97" s="25">
        <v>0</v>
      </c>
      <c r="CD97" s="25">
        <v>0</v>
      </c>
      <c r="CE97" s="25">
        <v>0</v>
      </c>
      <c r="CF97" s="25">
        <v>0</v>
      </c>
      <c r="CG97" s="25">
        <v>2287642</v>
      </c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</row>
    <row r="98" spans="1:99" s="5" customFormat="1" x14ac:dyDescent="0.3">
      <c r="A98" s="66" t="s">
        <v>188</v>
      </c>
      <c r="B98" s="67" t="s">
        <v>189</v>
      </c>
      <c r="C98" s="5">
        <v>93</v>
      </c>
      <c r="D98" s="25">
        <v>216931</v>
      </c>
      <c r="E98" s="25">
        <v>71170</v>
      </c>
      <c r="F98" s="25">
        <v>28294</v>
      </c>
      <c r="G98" s="25">
        <v>8013</v>
      </c>
      <c r="H98" s="25">
        <v>99192</v>
      </c>
      <c r="I98" s="25">
        <v>44528</v>
      </c>
      <c r="J98" s="25">
        <v>6854</v>
      </c>
      <c r="K98" s="25">
        <v>43350</v>
      </c>
      <c r="L98" s="25">
        <v>7763</v>
      </c>
      <c r="M98" s="25">
        <v>62923</v>
      </c>
      <c r="N98" s="25">
        <v>21174</v>
      </c>
      <c r="O98" s="25">
        <v>3452</v>
      </c>
      <c r="P98" s="25">
        <v>15538</v>
      </c>
      <c r="Q98" s="25">
        <v>27754</v>
      </c>
      <c r="R98" s="25">
        <v>15080</v>
      </c>
      <c r="S98" s="25">
        <v>11427</v>
      </c>
      <c r="T98" s="25">
        <v>30921</v>
      </c>
      <c r="U98" s="25">
        <v>9979</v>
      </c>
      <c r="V98" s="25">
        <v>39997.352976640701</v>
      </c>
      <c r="W98" s="25">
        <v>1028.5250000000015</v>
      </c>
      <c r="X98" s="25">
        <v>115.1220233592978</v>
      </c>
      <c r="Y98" s="25">
        <v>11147</v>
      </c>
      <c r="Z98" s="25">
        <v>25408</v>
      </c>
      <c r="AA98" s="25">
        <v>14547</v>
      </c>
      <c r="AB98" s="25">
        <v>10441</v>
      </c>
      <c r="AC98" s="25">
        <v>34101</v>
      </c>
      <c r="AD98" s="25">
        <v>28568</v>
      </c>
      <c r="AE98" s="25">
        <v>23981</v>
      </c>
      <c r="AF98" s="25">
        <v>33074</v>
      </c>
      <c r="AG98" s="25">
        <v>15319</v>
      </c>
      <c r="AH98" s="25">
        <v>32352</v>
      </c>
      <c r="AI98" s="25">
        <v>14526</v>
      </c>
      <c r="AJ98" s="25">
        <v>19324</v>
      </c>
      <c r="AK98" s="25">
        <v>36375</v>
      </c>
      <c r="AL98" s="25">
        <v>21902</v>
      </c>
      <c r="AM98" s="25">
        <v>29138</v>
      </c>
      <c r="AN98" s="25">
        <v>10311</v>
      </c>
      <c r="AO98" s="25">
        <v>32031</v>
      </c>
      <c r="AP98" s="25">
        <v>28029</v>
      </c>
      <c r="AQ98" s="25">
        <v>75160.170411404295</v>
      </c>
      <c r="AR98" s="25">
        <v>11602.490433669687</v>
      </c>
      <c r="AS98" s="25">
        <v>8728.4526124363856</v>
      </c>
      <c r="AT98" s="25">
        <v>22564.886542489628</v>
      </c>
      <c r="AU98" s="25">
        <v>49419</v>
      </c>
      <c r="AV98" s="25">
        <v>240260</v>
      </c>
      <c r="AW98" s="25">
        <v>96441</v>
      </c>
      <c r="AX98" s="25">
        <v>673264</v>
      </c>
      <c r="AY98" s="41">
        <f>AY95+AY89</f>
        <v>163231</v>
      </c>
      <c r="AZ98" s="25">
        <v>9658</v>
      </c>
      <c r="BA98" s="25">
        <v>9267</v>
      </c>
      <c r="BB98" s="25">
        <v>77735</v>
      </c>
      <c r="BC98" s="25">
        <v>14428</v>
      </c>
      <c r="BD98" s="25">
        <v>128770</v>
      </c>
      <c r="BE98" s="25">
        <v>8384</v>
      </c>
      <c r="BF98" s="25">
        <v>15626</v>
      </c>
      <c r="BG98" s="25">
        <v>63037</v>
      </c>
      <c r="BH98" s="25">
        <v>108476</v>
      </c>
      <c r="BI98" s="25">
        <v>414439</v>
      </c>
      <c r="BJ98" s="25">
        <v>587563</v>
      </c>
      <c r="BK98" s="25">
        <v>154215</v>
      </c>
      <c r="BL98" s="25">
        <v>38756</v>
      </c>
      <c r="BM98" s="25">
        <v>38294</v>
      </c>
      <c r="BN98" s="25">
        <v>29781</v>
      </c>
      <c r="BO98" s="25">
        <v>173256</v>
      </c>
      <c r="BP98" s="25">
        <v>34072</v>
      </c>
      <c r="BQ98" s="25">
        <v>615860</v>
      </c>
      <c r="BR98" s="25">
        <v>295116</v>
      </c>
      <c r="BS98" s="25">
        <v>100070</v>
      </c>
      <c r="BT98" s="25">
        <v>134229</v>
      </c>
      <c r="BU98" s="25">
        <v>166893</v>
      </c>
      <c r="BV98" s="25">
        <v>22678</v>
      </c>
      <c r="BW98" s="25">
        <v>85200</v>
      </c>
      <c r="BX98" s="25">
        <v>74451</v>
      </c>
      <c r="BY98" s="72">
        <v>5926983</v>
      </c>
      <c r="BZ98" s="25">
        <v>0</v>
      </c>
      <c r="CA98" s="25">
        <v>0</v>
      </c>
      <c r="CB98" s="25">
        <v>0</v>
      </c>
      <c r="CC98" s="25">
        <v>0</v>
      </c>
      <c r="CD98" s="25">
        <v>0</v>
      </c>
      <c r="CE98" s="25">
        <v>0</v>
      </c>
      <c r="CF98" s="25">
        <v>0</v>
      </c>
      <c r="CG98" s="25">
        <v>5926983</v>
      </c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</row>
    <row r="99" spans="1:99" s="5" customFormat="1" x14ac:dyDescent="0.3">
      <c r="A99" s="28" t="s">
        <v>190</v>
      </c>
      <c r="B99" s="14" t="s">
        <v>191</v>
      </c>
      <c r="C99" s="5">
        <v>94</v>
      </c>
      <c r="D99" s="46">
        <v>1841</v>
      </c>
      <c r="E99" s="46">
        <v>641</v>
      </c>
      <c r="F99" s="46">
        <v>151</v>
      </c>
      <c r="G99" s="46">
        <v>199</v>
      </c>
      <c r="H99" s="46">
        <v>1568</v>
      </c>
      <c r="I99" s="46">
        <v>630</v>
      </c>
      <c r="J99" s="46">
        <v>170</v>
      </c>
      <c r="K99" s="46">
        <v>2563</v>
      </c>
      <c r="L99" s="46">
        <v>775</v>
      </c>
      <c r="M99" s="46">
        <v>3210</v>
      </c>
      <c r="N99" s="46">
        <v>938</v>
      </c>
      <c r="O99" s="46">
        <v>130</v>
      </c>
      <c r="P99" s="46">
        <v>530</v>
      </c>
      <c r="Q99" s="46">
        <v>650</v>
      </c>
      <c r="R99" s="46">
        <v>490</v>
      </c>
      <c r="S99" s="46">
        <v>363</v>
      </c>
      <c r="T99" s="46">
        <v>939</v>
      </c>
      <c r="U99" s="46">
        <v>281</v>
      </c>
      <c r="V99" s="25">
        <v>1318.044608560534</v>
      </c>
      <c r="W99" s="25">
        <v>26.900000000000002</v>
      </c>
      <c r="X99" s="25">
        <v>5.5391439466079474E-2</v>
      </c>
      <c r="Y99" s="46">
        <v>501</v>
      </c>
      <c r="Z99" s="46">
        <v>1318</v>
      </c>
      <c r="AA99" s="46">
        <v>705</v>
      </c>
      <c r="AB99" s="46">
        <v>479</v>
      </c>
      <c r="AC99" s="46">
        <v>709</v>
      </c>
      <c r="AD99" s="46">
        <v>1197</v>
      </c>
      <c r="AE99" s="46">
        <v>875</v>
      </c>
      <c r="AF99" s="46">
        <v>1156</v>
      </c>
      <c r="AG99" s="46">
        <v>555</v>
      </c>
      <c r="AH99" s="46">
        <v>1058</v>
      </c>
      <c r="AI99" s="46">
        <v>1074</v>
      </c>
      <c r="AJ99" s="46">
        <v>784</v>
      </c>
      <c r="AK99" s="46">
        <v>1363</v>
      </c>
      <c r="AL99" s="46">
        <v>1530</v>
      </c>
      <c r="AM99" s="46">
        <v>1108</v>
      </c>
      <c r="AN99" s="46">
        <v>419</v>
      </c>
      <c r="AO99" s="46">
        <v>725</v>
      </c>
      <c r="AP99" s="46">
        <v>486</v>
      </c>
      <c r="AQ99" s="25">
        <v>2228.8840747626796</v>
      </c>
      <c r="AR99" s="25">
        <v>364.09023852039769</v>
      </c>
      <c r="AS99" s="25">
        <v>260.85706913910423</v>
      </c>
      <c r="AT99" s="25">
        <v>303.16861757781845</v>
      </c>
      <c r="AU99" s="46">
        <v>951</v>
      </c>
      <c r="AV99" s="46">
        <v>3384</v>
      </c>
      <c r="AW99" s="46">
        <v>1466</v>
      </c>
      <c r="AX99" s="46">
        <v>12523</v>
      </c>
      <c r="AY99" s="47">
        <v>3613</v>
      </c>
      <c r="AZ99" s="46">
        <v>417</v>
      </c>
      <c r="BA99" s="46">
        <v>712</v>
      </c>
      <c r="BB99" s="46">
        <v>1734</v>
      </c>
      <c r="BC99" s="46">
        <v>394</v>
      </c>
      <c r="BD99" s="46">
        <v>1741</v>
      </c>
      <c r="BE99" s="46">
        <v>228</v>
      </c>
      <c r="BF99" s="46">
        <v>1362</v>
      </c>
      <c r="BG99" s="46">
        <v>6971</v>
      </c>
      <c r="BH99" s="46">
        <v>2073</v>
      </c>
      <c r="BI99" s="46">
        <v>8223</v>
      </c>
      <c r="BJ99" s="46">
        <v>473</v>
      </c>
      <c r="BK99" s="46">
        <v>2660</v>
      </c>
      <c r="BL99" s="46">
        <v>617</v>
      </c>
      <c r="BM99" s="46">
        <v>520</v>
      </c>
      <c r="BN99" s="46">
        <v>525</v>
      </c>
      <c r="BO99" s="46">
        <v>3452</v>
      </c>
      <c r="BP99" s="46">
        <v>1043</v>
      </c>
      <c r="BQ99" s="46">
        <v>163</v>
      </c>
      <c r="BR99" s="46">
        <v>17</v>
      </c>
      <c r="BS99" s="46">
        <v>2814</v>
      </c>
      <c r="BT99" s="46">
        <v>0</v>
      </c>
      <c r="BU99" s="46">
        <v>3006</v>
      </c>
      <c r="BV99" s="46">
        <v>306</v>
      </c>
      <c r="BW99" s="46">
        <v>1199</v>
      </c>
      <c r="BX99" s="46">
        <v>0</v>
      </c>
      <c r="BY99" s="72">
        <v>99200</v>
      </c>
      <c r="BZ99" s="25">
        <v>0</v>
      </c>
      <c r="CA99" s="25">
        <v>0</v>
      </c>
      <c r="CB99" s="25">
        <v>0</v>
      </c>
      <c r="CC99" s="25">
        <v>0</v>
      </c>
      <c r="CD99" s="25">
        <v>0</v>
      </c>
      <c r="CE99" s="25">
        <v>0</v>
      </c>
      <c r="CF99" s="25">
        <v>0</v>
      </c>
      <c r="CG99" s="25">
        <v>99200</v>
      </c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</row>
    <row r="100" spans="1:99" s="5" customFormat="1" x14ac:dyDescent="0.3">
      <c r="A100" s="28" t="s">
        <v>192</v>
      </c>
      <c r="B100" s="14" t="s">
        <v>193</v>
      </c>
      <c r="C100" s="5">
        <v>95</v>
      </c>
      <c r="D100" s="46">
        <v>-9261</v>
      </c>
      <c r="E100" s="46">
        <v>-119</v>
      </c>
      <c r="F100" s="46">
        <v>-37</v>
      </c>
      <c r="G100" s="46">
        <v>-61</v>
      </c>
      <c r="H100" s="46">
        <v>0</v>
      </c>
      <c r="I100" s="46">
        <v>-24</v>
      </c>
      <c r="J100" s="46">
        <v>0</v>
      </c>
      <c r="K100" s="46">
        <v>-82</v>
      </c>
      <c r="L100" s="46">
        <v>-114</v>
      </c>
      <c r="M100" s="46">
        <v>-105</v>
      </c>
      <c r="N100" s="46">
        <v>-32</v>
      </c>
      <c r="O100" s="46">
        <v>0</v>
      </c>
      <c r="P100" s="46">
        <v>-21</v>
      </c>
      <c r="Q100" s="46">
        <v>0</v>
      </c>
      <c r="R100" s="46">
        <v>0</v>
      </c>
      <c r="S100" s="46">
        <v>-31</v>
      </c>
      <c r="T100" s="46">
        <v>-80</v>
      </c>
      <c r="U100" s="46">
        <v>0</v>
      </c>
      <c r="V100" s="25">
        <v>-146.99382251604467</v>
      </c>
      <c r="W100" s="25">
        <v>-3</v>
      </c>
      <c r="X100" s="25">
        <v>-6.1774839553248488E-3</v>
      </c>
      <c r="Y100" s="46">
        <v>-124</v>
      </c>
      <c r="Z100" s="46">
        <v>-30</v>
      </c>
      <c r="AA100" s="46">
        <v>0</v>
      </c>
      <c r="AB100" s="46">
        <v>0</v>
      </c>
      <c r="AC100" s="46">
        <v>-21</v>
      </c>
      <c r="AD100" s="46">
        <v>-120</v>
      </c>
      <c r="AE100" s="46">
        <v>-99</v>
      </c>
      <c r="AF100" s="46">
        <v>-53</v>
      </c>
      <c r="AG100" s="46">
        <v>-28</v>
      </c>
      <c r="AH100" s="46">
        <v>-67</v>
      </c>
      <c r="AI100" s="46">
        <v>0</v>
      </c>
      <c r="AJ100" s="46">
        <v>-74</v>
      </c>
      <c r="AK100" s="46">
        <v>-195</v>
      </c>
      <c r="AL100" s="46">
        <v>-219</v>
      </c>
      <c r="AM100" s="46">
        <v>-180</v>
      </c>
      <c r="AN100" s="46">
        <v>-51</v>
      </c>
      <c r="AO100" s="46">
        <v>-28</v>
      </c>
      <c r="AP100" s="46">
        <v>0</v>
      </c>
      <c r="AQ100" s="25">
        <v>-84.01558596666419</v>
      </c>
      <c r="AR100" s="25">
        <v>-13.724022294560445</v>
      </c>
      <c r="AS100" s="25">
        <v>-9.8327498345116879</v>
      </c>
      <c r="AT100" s="25">
        <v>-11.427641904263668</v>
      </c>
      <c r="AU100" s="46">
        <v>-31</v>
      </c>
      <c r="AV100" s="46">
        <v>-364</v>
      </c>
      <c r="AW100" s="46">
        <v>-29</v>
      </c>
      <c r="AX100" s="46">
        <v>-618</v>
      </c>
      <c r="AY100" s="47">
        <v>-1629</v>
      </c>
      <c r="AZ100" s="46">
        <v>0</v>
      </c>
      <c r="BA100" s="46">
        <v>-25</v>
      </c>
      <c r="BB100" s="46">
        <v>-49</v>
      </c>
      <c r="BC100" s="46">
        <v>0</v>
      </c>
      <c r="BD100" s="46">
        <v>0</v>
      </c>
      <c r="BE100" s="46">
        <v>0</v>
      </c>
      <c r="BF100" s="46">
        <v>0</v>
      </c>
      <c r="BG100" s="46">
        <v>-64</v>
      </c>
      <c r="BH100" s="46">
        <v>0</v>
      </c>
      <c r="BI100" s="46">
        <v>0</v>
      </c>
      <c r="BJ100" s="46">
        <v>0</v>
      </c>
      <c r="BK100" s="46">
        <v>0</v>
      </c>
      <c r="BL100" s="46">
        <v>-374</v>
      </c>
      <c r="BM100" s="46">
        <v>0</v>
      </c>
      <c r="BN100" s="46">
        <v>-155</v>
      </c>
      <c r="BO100" s="46">
        <v>-49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-121</v>
      </c>
      <c r="BV100" s="46">
        <v>0</v>
      </c>
      <c r="BW100" s="46">
        <v>0</v>
      </c>
      <c r="BX100" s="46">
        <v>0</v>
      </c>
      <c r="BY100" s="72">
        <v>-15033</v>
      </c>
      <c r="BZ100" s="25">
        <v>0</v>
      </c>
      <c r="CA100" s="25">
        <v>0</v>
      </c>
      <c r="CB100" s="25">
        <v>0</v>
      </c>
      <c r="CC100" s="25">
        <v>0</v>
      </c>
      <c r="CD100" s="25">
        <v>0</v>
      </c>
      <c r="CE100" s="25">
        <v>0</v>
      </c>
      <c r="CF100" s="25">
        <v>0</v>
      </c>
      <c r="CG100" s="25">
        <v>-15033</v>
      </c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</row>
    <row r="101" spans="1:99" s="5" customFormat="1" x14ac:dyDescent="0.3">
      <c r="A101" s="66" t="s">
        <v>194</v>
      </c>
      <c r="B101" s="67" t="s">
        <v>195</v>
      </c>
      <c r="C101" s="5">
        <v>96</v>
      </c>
      <c r="D101" s="46">
        <v>209511</v>
      </c>
      <c r="E101" s="46">
        <v>71692</v>
      </c>
      <c r="F101" s="46">
        <v>28408</v>
      </c>
      <c r="G101" s="46">
        <v>8151</v>
      </c>
      <c r="H101" s="46">
        <v>100760</v>
      </c>
      <c r="I101" s="46">
        <v>45134</v>
      </c>
      <c r="J101" s="46">
        <v>7024</v>
      </c>
      <c r="K101" s="46">
        <v>45831</v>
      </c>
      <c r="L101" s="46">
        <v>8424</v>
      </c>
      <c r="M101" s="46">
        <v>66028</v>
      </c>
      <c r="N101" s="46">
        <v>22080</v>
      </c>
      <c r="O101" s="46">
        <v>3582</v>
      </c>
      <c r="P101" s="46">
        <v>16047</v>
      </c>
      <c r="Q101" s="46">
        <v>28404</v>
      </c>
      <c r="R101" s="46">
        <v>15570</v>
      </c>
      <c r="S101" s="46">
        <v>11759</v>
      </c>
      <c r="T101" s="46">
        <v>31780</v>
      </c>
      <c r="U101" s="46">
        <v>10260</v>
      </c>
      <c r="V101" s="25">
        <v>41168.403762685193</v>
      </c>
      <c r="W101" s="25">
        <v>1052.4250000000015</v>
      </c>
      <c r="X101" s="25">
        <v>115.17123731480855</v>
      </c>
      <c r="Y101" s="46">
        <v>11524</v>
      </c>
      <c r="Z101" s="46">
        <v>26696</v>
      </c>
      <c r="AA101" s="46">
        <v>15252</v>
      </c>
      <c r="AB101" s="46">
        <v>10920</v>
      </c>
      <c r="AC101" s="46">
        <v>34789</v>
      </c>
      <c r="AD101" s="46">
        <v>29645</v>
      </c>
      <c r="AE101" s="46">
        <v>24757</v>
      </c>
      <c r="AF101" s="46">
        <v>34177</v>
      </c>
      <c r="AG101" s="46">
        <v>15846</v>
      </c>
      <c r="AH101" s="46">
        <v>33343</v>
      </c>
      <c r="AI101" s="46">
        <v>15600</v>
      </c>
      <c r="AJ101" s="46">
        <v>20034</v>
      </c>
      <c r="AK101" s="46">
        <v>37543</v>
      </c>
      <c r="AL101" s="46">
        <v>23213</v>
      </c>
      <c r="AM101" s="46">
        <v>30066</v>
      </c>
      <c r="AN101" s="46">
        <v>10679</v>
      </c>
      <c r="AO101" s="46">
        <v>32728</v>
      </c>
      <c r="AP101" s="46">
        <v>28515</v>
      </c>
      <c r="AQ101" s="25">
        <v>77305.038900200307</v>
      </c>
      <c r="AR101" s="25">
        <v>11952.856649895524</v>
      </c>
      <c r="AS101" s="25">
        <v>8979.4769317409791</v>
      </c>
      <c r="AT101" s="25">
        <v>22856.627518163183</v>
      </c>
      <c r="AU101" s="46">
        <v>50339</v>
      </c>
      <c r="AV101" s="46">
        <v>243280</v>
      </c>
      <c r="AW101" s="46">
        <v>97878</v>
      </c>
      <c r="AX101" s="46">
        <v>685169</v>
      </c>
      <c r="AY101" s="48">
        <f>AY98+AY99+AY100</f>
        <v>165215</v>
      </c>
      <c r="AZ101" s="46">
        <v>10075</v>
      </c>
      <c r="BA101" s="46">
        <v>9954</v>
      </c>
      <c r="BB101" s="46">
        <v>79420</v>
      </c>
      <c r="BC101" s="46">
        <v>14822</v>
      </c>
      <c r="BD101" s="46">
        <v>130511</v>
      </c>
      <c r="BE101" s="46">
        <v>8612</v>
      </c>
      <c r="BF101" s="46">
        <v>16988</v>
      </c>
      <c r="BG101" s="46">
        <v>69944</v>
      </c>
      <c r="BH101" s="46">
        <v>110549</v>
      </c>
      <c r="BI101" s="46">
        <v>422662</v>
      </c>
      <c r="BJ101" s="46">
        <v>588036</v>
      </c>
      <c r="BK101" s="46">
        <v>156875</v>
      </c>
      <c r="BL101" s="46">
        <v>38999</v>
      </c>
      <c r="BM101" s="46">
        <v>38814</v>
      </c>
      <c r="BN101" s="46">
        <v>30151</v>
      </c>
      <c r="BO101" s="46">
        <v>176659</v>
      </c>
      <c r="BP101" s="46">
        <v>35115</v>
      </c>
      <c r="BQ101" s="46">
        <v>616023</v>
      </c>
      <c r="BR101" s="46">
        <v>295133</v>
      </c>
      <c r="BS101" s="46">
        <v>102884</v>
      </c>
      <c r="BT101" s="46">
        <v>134229</v>
      </c>
      <c r="BU101" s="46">
        <v>169778</v>
      </c>
      <c r="BV101" s="46">
        <v>22984</v>
      </c>
      <c r="BW101" s="46">
        <v>86399</v>
      </c>
      <c r="BX101" s="46">
        <v>74451</v>
      </c>
      <c r="BY101" s="72">
        <v>6011150</v>
      </c>
      <c r="BZ101" s="25">
        <v>0</v>
      </c>
      <c r="CA101" s="25">
        <v>0</v>
      </c>
      <c r="CB101" s="25">
        <v>0</v>
      </c>
      <c r="CC101" s="25">
        <v>0</v>
      </c>
      <c r="CD101" s="25">
        <v>0</v>
      </c>
      <c r="CE101" s="25">
        <v>0</v>
      </c>
      <c r="CF101" s="25">
        <v>0</v>
      </c>
      <c r="CG101" s="25">
        <v>6011150</v>
      </c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</row>
    <row r="102" spans="1:99" s="5" customFormat="1" x14ac:dyDescent="0.3">
      <c r="A102" s="28" t="s">
        <v>196</v>
      </c>
      <c r="B102" s="14" t="s">
        <v>197</v>
      </c>
      <c r="C102" s="5">
        <v>97</v>
      </c>
      <c r="D102" s="46">
        <v>398037</v>
      </c>
      <c r="E102" s="46">
        <v>151959</v>
      </c>
      <c r="F102" s="46">
        <v>37870</v>
      </c>
      <c r="G102" s="46">
        <v>20011</v>
      </c>
      <c r="H102" s="46">
        <v>225938</v>
      </c>
      <c r="I102" s="46">
        <v>92326</v>
      </c>
      <c r="J102" s="46">
        <v>18273</v>
      </c>
      <c r="K102" s="46">
        <v>292406</v>
      </c>
      <c r="L102" s="46">
        <v>51555</v>
      </c>
      <c r="M102" s="46">
        <v>324943</v>
      </c>
      <c r="N102" s="46">
        <v>78544</v>
      </c>
      <c r="O102" s="46">
        <v>15694</v>
      </c>
      <c r="P102" s="46">
        <v>54793</v>
      </c>
      <c r="Q102" s="46">
        <v>66432</v>
      </c>
      <c r="R102" s="46">
        <v>43848</v>
      </c>
      <c r="S102" s="46">
        <v>32687</v>
      </c>
      <c r="T102" s="46">
        <v>109595</v>
      </c>
      <c r="U102" s="46">
        <v>21333</v>
      </c>
      <c r="V102" s="25">
        <v>433811.26648911083</v>
      </c>
      <c r="W102" s="25">
        <v>10385.862128765166</v>
      </c>
      <c r="X102" s="25">
        <v>3303.8713821240121</v>
      </c>
      <c r="Y102" s="46">
        <v>54637</v>
      </c>
      <c r="Z102" s="46">
        <v>179506</v>
      </c>
      <c r="AA102" s="46">
        <v>88308</v>
      </c>
      <c r="AB102" s="46">
        <v>50176</v>
      </c>
      <c r="AC102" s="46">
        <v>76244</v>
      </c>
      <c r="AD102" s="46">
        <v>121217</v>
      </c>
      <c r="AE102" s="46">
        <v>83888</v>
      </c>
      <c r="AF102" s="46">
        <v>150065</v>
      </c>
      <c r="AG102" s="46">
        <v>73148</v>
      </c>
      <c r="AH102" s="46">
        <v>101954</v>
      </c>
      <c r="AI102" s="46">
        <v>103544</v>
      </c>
      <c r="AJ102" s="46">
        <v>79945</v>
      </c>
      <c r="AK102" s="46">
        <v>129313</v>
      </c>
      <c r="AL102" s="46">
        <v>187915</v>
      </c>
      <c r="AM102" s="46">
        <v>105992</v>
      </c>
      <c r="AN102" s="46">
        <v>41813</v>
      </c>
      <c r="AO102" s="46">
        <v>75235</v>
      </c>
      <c r="AP102" s="46">
        <v>79968</v>
      </c>
      <c r="AQ102" s="25">
        <v>231741.35660714976</v>
      </c>
      <c r="AR102" s="25">
        <v>34484.752941129023</v>
      </c>
      <c r="AS102" s="25">
        <v>16753.735752267654</v>
      </c>
      <c r="AT102" s="25">
        <v>40159.15469945356</v>
      </c>
      <c r="AU102" s="46">
        <v>82220</v>
      </c>
      <c r="AV102" s="46">
        <v>552073</v>
      </c>
      <c r="AW102" s="46">
        <v>175093</v>
      </c>
      <c r="AX102" s="46">
        <v>1120579</v>
      </c>
      <c r="AY102" s="48">
        <f>AY101+AY88</f>
        <v>398813.00000000012</v>
      </c>
      <c r="AZ102" s="46">
        <v>23042</v>
      </c>
      <c r="BA102" s="46">
        <v>44807</v>
      </c>
      <c r="BB102" s="46">
        <v>138844</v>
      </c>
      <c r="BC102" s="46">
        <v>27787</v>
      </c>
      <c r="BD102" s="46">
        <v>276938</v>
      </c>
      <c r="BE102" s="46">
        <v>17903</v>
      </c>
      <c r="BF102" s="46">
        <v>43874</v>
      </c>
      <c r="BG102" s="46">
        <v>166879</v>
      </c>
      <c r="BH102" s="46">
        <v>167410</v>
      </c>
      <c r="BI102" s="46">
        <v>649009</v>
      </c>
      <c r="BJ102" s="46">
        <v>639752</v>
      </c>
      <c r="BK102" s="46">
        <v>228613</v>
      </c>
      <c r="BL102" s="46">
        <v>62891</v>
      </c>
      <c r="BM102" s="46">
        <v>104820</v>
      </c>
      <c r="BN102" s="46">
        <v>48479</v>
      </c>
      <c r="BO102" s="46">
        <v>261715</v>
      </c>
      <c r="BP102" s="46">
        <v>43096</v>
      </c>
      <c r="BQ102" s="46">
        <v>858764</v>
      </c>
      <c r="BR102" s="46">
        <v>351095</v>
      </c>
      <c r="BS102" s="46">
        <v>143437</v>
      </c>
      <c r="BT102" s="46">
        <v>202716</v>
      </c>
      <c r="BU102" s="46">
        <v>302873</v>
      </c>
      <c r="BV102" s="46">
        <v>40366</v>
      </c>
      <c r="BW102" s="46">
        <v>171919</v>
      </c>
      <c r="BX102" s="46">
        <v>74451</v>
      </c>
      <c r="BY102" s="72">
        <v>12010010</v>
      </c>
      <c r="BZ102" s="25">
        <v>0</v>
      </c>
      <c r="CA102" s="25">
        <v>0</v>
      </c>
      <c r="CB102" s="25">
        <v>0</v>
      </c>
      <c r="CC102" s="25">
        <v>0</v>
      </c>
      <c r="CD102" s="25">
        <v>0</v>
      </c>
      <c r="CE102" s="25">
        <v>0</v>
      </c>
      <c r="CF102" s="25">
        <v>0</v>
      </c>
      <c r="CG102" s="25">
        <v>12010010</v>
      </c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</row>
    <row r="103" spans="1:99" s="5" customFormat="1" x14ac:dyDescent="0.3">
      <c r="A103" s="28"/>
      <c r="B103" s="14" t="s">
        <v>198</v>
      </c>
      <c r="C103" s="5">
        <v>98</v>
      </c>
      <c r="D103" s="25">
        <v>6687599</v>
      </c>
      <c r="E103" s="25">
        <v>5891326</v>
      </c>
      <c r="F103" s="46">
        <v>801096</v>
      </c>
      <c r="G103" s="25">
        <v>118276</v>
      </c>
      <c r="H103" s="25">
        <v>50144</v>
      </c>
      <c r="I103" s="25">
        <v>35440</v>
      </c>
      <c r="J103" s="25">
        <v>28949</v>
      </c>
      <c r="K103" s="25">
        <v>765202</v>
      </c>
      <c r="L103" s="25">
        <v>156442</v>
      </c>
      <c r="M103" s="25">
        <v>1285134</v>
      </c>
      <c r="N103" s="25">
        <v>190956</v>
      </c>
      <c r="O103" s="25">
        <v>17784</v>
      </c>
      <c r="P103" s="25">
        <v>632157</v>
      </c>
      <c r="Q103" s="25">
        <v>1676586</v>
      </c>
      <c r="R103" s="25">
        <v>468535</v>
      </c>
      <c r="S103" s="25">
        <v>376397</v>
      </c>
      <c r="T103" s="25">
        <v>201777</v>
      </c>
      <c r="U103" s="25">
        <v>180593</v>
      </c>
      <c r="V103" s="25">
        <v>18842.967500000002</v>
      </c>
      <c r="W103" s="25">
        <v>2617.3804999999988</v>
      </c>
      <c r="X103" s="25">
        <v>260.65199999999999</v>
      </c>
      <c r="Y103" s="25">
        <v>98255</v>
      </c>
      <c r="Z103" s="25">
        <v>92285</v>
      </c>
      <c r="AA103" s="25">
        <v>85311</v>
      </c>
      <c r="AB103" s="25">
        <v>137454</v>
      </c>
      <c r="AC103" s="25">
        <v>104114</v>
      </c>
      <c r="AD103" s="25">
        <v>444627</v>
      </c>
      <c r="AE103" s="25">
        <v>563545</v>
      </c>
      <c r="AF103" s="25">
        <v>122810</v>
      </c>
      <c r="AG103" s="25">
        <v>100208</v>
      </c>
      <c r="AH103" s="25">
        <v>669483</v>
      </c>
      <c r="AI103" s="25">
        <v>127233</v>
      </c>
      <c r="AJ103" s="25">
        <v>198332</v>
      </c>
      <c r="AK103" s="25">
        <v>378379</v>
      </c>
      <c r="AL103" s="25">
        <v>160623</v>
      </c>
      <c r="AM103" s="25">
        <v>305020</v>
      </c>
      <c r="AN103" s="25">
        <v>81338</v>
      </c>
      <c r="AO103" s="25">
        <v>744311</v>
      </c>
      <c r="AP103" s="25">
        <v>532601</v>
      </c>
      <c r="AQ103" s="25">
        <v>102497.99157891489</v>
      </c>
      <c r="AR103" s="25">
        <v>16271.463246158866</v>
      </c>
      <c r="AS103" s="25">
        <v>12467.511832466309</v>
      </c>
      <c r="AT103" s="25">
        <v>27161.033342459919</v>
      </c>
      <c r="AU103" s="25">
        <v>563905</v>
      </c>
      <c r="AV103" s="25">
        <v>7617875</v>
      </c>
      <c r="AW103" s="25">
        <v>2968849</v>
      </c>
      <c r="AX103" s="25">
        <v>16293655</v>
      </c>
      <c r="AY103" s="40">
        <v>4076625</v>
      </c>
      <c r="AZ103" s="25">
        <v>52733</v>
      </c>
      <c r="BA103" s="25">
        <v>60529</v>
      </c>
      <c r="BB103" s="25">
        <v>808476</v>
      </c>
      <c r="BC103" s="25">
        <v>438611</v>
      </c>
      <c r="BD103" s="25">
        <v>5622208</v>
      </c>
      <c r="BE103" s="25">
        <v>136112</v>
      </c>
      <c r="BF103" s="25">
        <v>166605</v>
      </c>
      <c r="BG103" s="25">
        <v>252106</v>
      </c>
      <c r="BH103" s="25">
        <v>752017</v>
      </c>
      <c r="BI103" s="25">
        <v>1241143</v>
      </c>
      <c r="BJ103" s="25">
        <v>466409</v>
      </c>
      <c r="BK103" s="25">
        <v>1887743</v>
      </c>
      <c r="BL103" s="25">
        <v>630552</v>
      </c>
      <c r="BM103" s="25">
        <v>613009</v>
      </c>
      <c r="BN103" s="25">
        <v>298455</v>
      </c>
      <c r="BO103" s="25">
        <v>4178701</v>
      </c>
      <c r="BP103" s="25">
        <v>781913</v>
      </c>
      <c r="BQ103" s="25">
        <v>4825230</v>
      </c>
      <c r="BR103" s="25">
        <v>4202039</v>
      </c>
      <c r="BS103" s="25">
        <v>2878667</v>
      </c>
      <c r="BT103" s="25">
        <v>2218572</v>
      </c>
      <c r="BU103" s="25">
        <v>3428002</v>
      </c>
      <c r="BV103" s="25">
        <v>1122849</v>
      </c>
      <c r="BW103" s="25">
        <v>4502808</v>
      </c>
      <c r="BX103" s="25">
        <v>6563436</v>
      </c>
      <c r="BY103" s="72">
        <v>104340275</v>
      </c>
      <c r="BZ103" s="25">
        <v>0</v>
      </c>
      <c r="CA103" s="25">
        <v>0</v>
      </c>
      <c r="CB103" s="25">
        <v>0</v>
      </c>
      <c r="CC103" s="25">
        <v>0</v>
      </c>
      <c r="CD103" s="25">
        <v>0</v>
      </c>
      <c r="CE103" s="25">
        <v>0</v>
      </c>
      <c r="CF103" s="25">
        <v>0</v>
      </c>
      <c r="CG103" s="25">
        <v>104340275</v>
      </c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</row>
    <row r="105" spans="1:99" x14ac:dyDescent="0.3">
      <c r="AY105" s="29">
        <f>AY101-AY102</f>
        <v>-233598.00000000012</v>
      </c>
    </row>
    <row r="107" spans="1:99" x14ac:dyDescent="0.3">
      <c r="AY107" s="29"/>
    </row>
  </sheetData>
  <mergeCells count="2">
    <mergeCell ref="A3:C3"/>
    <mergeCell ref="A4:C4"/>
  </mergeCells>
  <pageMargins left="0.511811024" right="0.511811024" top="0.78740157499999996" bottom="0.78740157499999996" header="0.31496062000000002" footer="0.31496062000000002"/>
  <ignoredErrors>
    <ignoredError sqref="BY6:BY10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Fluxos Monetários</vt:lpstr>
      <vt:lpstr>FM - C1</vt:lpstr>
      <vt:lpstr>FM - C2</vt:lpstr>
      <vt:lpstr>FM - C3</vt:lpstr>
      <vt:lpstr>Fluxos Energia</vt:lpstr>
      <vt:lpstr>Energia Demanda Final</vt:lpstr>
      <vt:lpstr>Emprego Setorial</vt:lpstr>
      <vt:lpstr>Fluxos Monetários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Nikolaos Mikail Dimitriadis</dc:creator>
  <cp:lastModifiedBy>Guilherme Nogueira</cp:lastModifiedBy>
  <dcterms:created xsi:type="dcterms:W3CDTF">2025-06-11T19:53:19Z</dcterms:created>
  <dcterms:modified xsi:type="dcterms:W3CDTF">2025-12-08T13:49:19Z</dcterms:modified>
</cp:coreProperties>
</file>