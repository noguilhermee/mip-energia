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 (2025-2)/ERU 799 - Pesquisa/Estimação/mip-energia/data/graphs/"/>
    </mc:Choice>
  </mc:AlternateContent>
  <xr:revisionPtr revIDLastSave="13" documentId="13_ncr:1_{6C151B24-4335-4B2A-852F-E83AE2AB3691}" xr6:coauthVersionLast="47" xr6:coauthVersionMax="47" xr10:uidLastSave="{3AC7DCA9-8A91-43D7-8C48-1879ABC26EDB}"/>
  <bookViews>
    <workbookView xWindow="-108" yWindow="-108" windowWidth="23256" windowHeight="12456" firstSheet="1" activeTab="4" xr2:uid="{00000000-000D-0000-FFFF-FFFF00000000}"/>
  </bookViews>
  <sheets>
    <sheet name="Oferta Interna de Energia" sheetId="3" r:id="rId1"/>
    <sheet name="Oferta por Fonte" sheetId="1" r:id="rId2"/>
    <sheet name="Emissões Totais" sheetId="6" r:id="rId3"/>
    <sheet name="Emissões Setor Transporte" sheetId="8" r:id="rId4"/>
    <sheet name="Renovável vs Não Renovável" sheetId="4" r:id="rId5"/>
  </sheets>
  <definedNames>
    <definedName name="_xlnm._FilterDatabase" localSheetId="3" hidden="1">'Emissões Setor Transporte'!$R$3:$S$12</definedName>
    <definedName name="_xlnm._FilterDatabase" localSheetId="4" hidden="1">'Renovável vs Não Renovável'!$A$1:$D$23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C5" i="8"/>
  <c r="C6" i="8"/>
  <c r="C7" i="8"/>
  <c r="C8" i="8"/>
  <c r="C9" i="8"/>
  <c r="C10" i="8"/>
  <c r="C11" i="8"/>
  <c r="C12" i="8"/>
  <c r="B5" i="8"/>
  <c r="B6" i="8"/>
  <c r="B7" i="8"/>
  <c r="B8" i="8"/>
  <c r="B9" i="8"/>
  <c r="B10" i="8"/>
  <c r="B11" i="8"/>
  <c r="B12" i="8"/>
  <c r="C4" i="8"/>
  <c r="B4" i="8"/>
  <c r="D8" i="6"/>
  <c r="D7" i="6"/>
  <c r="D6" i="6"/>
  <c r="D5" i="6"/>
  <c r="D4" i="6"/>
  <c r="C8" i="6"/>
  <c r="J2" i="6"/>
  <c r="J4" i="6" s="1"/>
  <c r="C8" i="3"/>
  <c r="C7" i="3"/>
  <c r="C6" i="3"/>
  <c r="C5" i="3"/>
  <c r="C9" i="3"/>
  <c r="C14" i="3"/>
  <c r="C13" i="3"/>
  <c r="C12" i="3"/>
  <c r="C11" i="3"/>
  <c r="C10" i="3"/>
  <c r="B14" i="3"/>
  <c r="B10" i="3"/>
  <c r="B11" i="3"/>
  <c r="B12" i="3"/>
  <c r="B13" i="3"/>
  <c r="B9" i="3"/>
  <c r="B5" i="3"/>
  <c r="B6" i="3"/>
  <c r="B7" i="3"/>
  <c r="B8" i="3"/>
  <c r="B4" i="3"/>
  <c r="C16" i="1"/>
  <c r="C13" i="8" l="1"/>
  <c r="D4" i="8" s="1"/>
  <c r="C16" i="3"/>
  <c r="D10" i="8" l="1"/>
  <c r="D5" i="8"/>
  <c r="D8" i="8"/>
  <c r="D7" i="8"/>
  <c r="D12" i="8"/>
  <c r="D9" i="8"/>
  <c r="D11" i="8"/>
  <c r="D6" i="8"/>
  <c r="D13" i="8" l="1"/>
  <c r="L13" i="8"/>
  <c r="J13" i="8"/>
  <c r="G13" i="8"/>
  <c r="P13" i="8"/>
  <c r="H13" i="8"/>
  <c r="O13" i="8"/>
  <c r="N13" i="8"/>
  <c r="M13" i="8"/>
  <c r="K13" i="8"/>
  <c r="I1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Guilherme Nogueira</author>
  </authors>
  <commentList>
    <comment ref="B9" authorId="0" shapeId="0" xr:uid="{101838A5-A983-441F-919B-65408A896739}">
      <text>
        <r>
          <rPr>
            <b/>
            <sz val="9"/>
            <color indexed="81"/>
            <rFont val="Segoe UI"/>
            <family val="2"/>
          </rPr>
          <t>Inclui Lenha, Biodiesel e Outras renováveis / Includes Firewood, Biodiesel and Other Renewables</t>
        </r>
      </text>
    </comment>
    <comment ref="B15" authorId="0" shapeId="0" xr:uid="{818BE744-BA52-4CC7-91FF-D7D87BDE5F16}">
      <text>
        <r>
          <rPr>
            <b/>
            <sz val="9"/>
            <color indexed="81"/>
            <rFont val="Segoe UI"/>
            <family val="2"/>
          </rPr>
          <t>Inclui Óleo Combustível, Gás de Coqueria, Outras Secundárias e Outras Não-Renováveis/ Includes Fuel Oil, Coke Oven Gas, Other Secondaries and Other Non-Renewables</t>
        </r>
      </text>
    </comment>
  </commentList>
</comments>
</file>

<file path=xl/sharedStrings.xml><?xml version="1.0" encoding="utf-8"?>
<sst xmlns="http://schemas.openxmlformats.org/spreadsheetml/2006/main" count="113" uniqueCount="57">
  <si>
    <t>Fonte</t>
  </si>
  <si>
    <t>Eólica</t>
  </si>
  <si>
    <t>Total</t>
  </si>
  <si>
    <t>FONTES</t>
  </si>
  <si>
    <t>ENERGIA NÃO RENOVÁVEL</t>
  </si>
  <si>
    <t>ENERGIA RENOVÁVEL</t>
  </si>
  <si>
    <t>TOTAL</t>
  </si>
  <si>
    <t>Tabela 1.3.a – Oferta Interna de Energia</t>
  </si>
  <si>
    <t>Figura 1 - Oferta Interna de Energia Elétrica por Fonte</t>
  </si>
  <si>
    <t>Participação</t>
  </si>
  <si>
    <t>Nuclear</t>
  </si>
  <si>
    <t>Hidráulica</t>
  </si>
  <si>
    <t>Solar</t>
  </si>
  <si>
    <t>Bagaço de cana</t>
  </si>
  <si>
    <t>Importação líquida</t>
  </si>
  <si>
    <t>Gás natural</t>
  </si>
  <si>
    <t>Carvão vapor</t>
  </si>
  <si>
    <t>Óleo diesel</t>
  </si>
  <si>
    <t>2015</t>
  </si>
  <si>
    <t>2016</t>
  </si>
  <si>
    <t>2017</t>
  </si>
  <si>
    <t>2018</t>
  </si>
  <si>
    <t>2019</t>
  </si>
  <si>
    <t>2020</t>
  </si>
  <si>
    <t>2021</t>
  </si>
  <si>
    <t>2022</t>
  </si>
  <si>
    <t>Petróleo e derivados</t>
  </si>
  <si>
    <t>Carvão mineral e coque</t>
  </si>
  <si>
    <t>Outras não renováveis</t>
  </si>
  <si>
    <t>Lenha e carvão vegetal</t>
  </si>
  <si>
    <t>Derivados da cana-de-açúcar</t>
  </si>
  <si>
    <t>Outras renováveis</t>
  </si>
  <si>
    <t>Urânio (U3O8)</t>
  </si>
  <si>
    <t>Figura 1 - Oferta Interna de Energia</t>
  </si>
  <si>
    <t>2023</t>
  </si>
  <si>
    <t>2024</t>
  </si>
  <si>
    <t>Licor preto (lixívia)</t>
  </si>
  <si>
    <t>Outras não renováveis*</t>
  </si>
  <si>
    <t>Outras renováveis**</t>
  </si>
  <si>
    <t>Energia Não Renovável</t>
  </si>
  <si>
    <t>Energia Renovável</t>
  </si>
  <si>
    <t>Ano</t>
  </si>
  <si>
    <t>Emissões totais (2024) em Mt CO₂ eq</t>
  </si>
  <si>
    <t>Transportes</t>
  </si>
  <si>
    <t>Indústrias</t>
  </si>
  <si>
    <t>Residências</t>
  </si>
  <si>
    <t>*¹ Inclui os setores Agropecuário, Serviços, Energético, Centrais Elétricas e as Emissões Fugitivas</t>
  </si>
  <si>
    <t>Outros setores*</t>
  </si>
  <si>
    <t>%</t>
  </si>
  <si>
    <t>Tabela 3.6.a – Setor Transportes</t>
  </si>
  <si>
    <t>Biodiesel</t>
  </si>
  <si>
    <t>Óleo combustível</t>
  </si>
  <si>
    <t>Gasolina automotiva</t>
  </si>
  <si>
    <t>Gasolina de aviação</t>
  </si>
  <si>
    <t>Querosene</t>
  </si>
  <si>
    <t>Eletricidade</t>
  </si>
  <si>
    <t>Álcool etílico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</si>
</sst>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9"/>
      <color indexed="81"/>
      <name val="Segoe UI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1" applyNumberFormat="1" applyFont="1" applyAlignment="1">
      <alignment horizontal="center" vertical="center"/>
    </xf>
    <xf numFmtId="10" fontId="1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5" fillId="4" borderId="0" xfId="1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center" vertical="center"/>
    </xf>
    <xf numFmtId="10" fontId="8" fillId="0" borderId="0" xfId="1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10" fontId="7" fillId="4" borderId="0" xfId="1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2" fontId="7" fillId="4" borderId="0" xfId="0" applyNumberFormat="1" applyFont="1" applyFill="1" applyAlignment="1">
      <alignment horizontal="center" vertical="center"/>
    </xf>
    <xf numFmtId="2" fontId="7" fillId="4" borderId="0" xfId="1" applyNumberFormat="1" applyFont="1" applyFill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3" fontId="8" fillId="0" borderId="0" xfId="1" applyNumberFormat="1" applyFont="1" applyFill="1" applyAlignment="1">
      <alignment horizontal="center" vertical="center"/>
    </xf>
    <xf numFmtId="3" fontId="8" fillId="0" borderId="0" xfId="1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5" fontId="5" fillId="4" borderId="0" xfId="1" applyNumberFormat="1" applyFont="1" applyFill="1" applyAlignment="1">
      <alignment horizontal="center" vertical="center"/>
    </xf>
    <xf numFmtId="3" fontId="8" fillId="0" borderId="0" xfId="0" applyNumberFormat="1" applyFont="1" applyAlignment="1">
      <alignment horizontal="left" vertical="center"/>
    </xf>
    <xf numFmtId="3" fontId="7" fillId="4" borderId="0" xfId="1" applyNumberFormat="1" applyFont="1" applyFill="1" applyAlignment="1">
      <alignment horizontal="center" vertical="center"/>
    </xf>
    <xf numFmtId="9" fontId="7" fillId="4" borderId="0" xfId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3" fontId="9" fillId="0" borderId="0" xfId="1" applyNumberFormat="1" applyFont="1" applyAlignment="1">
      <alignment horizontal="center" vertical="center"/>
    </xf>
    <xf numFmtId="164" fontId="9" fillId="0" borderId="0" xfId="1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3" fontId="8" fillId="3" borderId="0" xfId="0" applyNumberFormat="1" applyFont="1" applyFill="1" applyAlignment="1">
      <alignment horizontal="right" vertical="center"/>
    </xf>
    <xf numFmtId="3" fontId="8" fillId="3" borderId="0" xfId="1" applyNumberFormat="1" applyFont="1" applyFill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3" fontId="8" fillId="0" borderId="0" xfId="1" applyNumberFormat="1" applyFont="1" applyAlignment="1">
      <alignment horizontal="right" vertical="center"/>
    </xf>
    <xf numFmtId="3" fontId="7" fillId="4" borderId="0" xfId="0" applyNumberFormat="1" applyFont="1" applyFill="1" applyAlignment="1">
      <alignment horizontal="right" vertical="center"/>
    </xf>
    <xf numFmtId="3" fontId="8" fillId="0" borderId="0" xfId="1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center" vertical="center" wrapText="1"/>
    </xf>
    <xf numFmtId="2" fontId="10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3" fontId="10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1" fontId="10" fillId="0" borderId="0" xfId="0" applyNumberFormat="1" applyFont="1" applyFill="1" applyAlignment="1">
      <alignment horizontal="left" vertical="center"/>
    </xf>
    <xf numFmtId="1" fontId="10" fillId="0" borderId="0" xfId="1" applyNumberFormat="1" applyFont="1" applyFill="1" applyAlignment="1">
      <alignment horizontal="center" vertical="center"/>
    </xf>
    <xf numFmtId="0" fontId="10" fillId="0" borderId="0" xfId="1" applyNumberFormat="1" applyFont="1" applyFill="1" applyAlignment="1">
      <alignment horizontal="center" vertical="center"/>
    </xf>
    <xf numFmtId="3" fontId="10" fillId="0" borderId="0" xfId="1" applyNumberFormat="1" applyFont="1" applyFill="1" applyAlignment="1">
      <alignment horizontal="center" vertical="center"/>
    </xf>
    <xf numFmtId="1" fontId="10" fillId="0" borderId="0" xfId="0" applyNumberFormat="1" applyFont="1" applyFill="1" applyAlignment="1">
      <alignment horizontal="center" vertical="center"/>
    </xf>
    <xf numFmtId="10" fontId="10" fillId="0" borderId="0" xfId="1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2" fontId="10" fillId="0" borderId="0" xfId="1" applyNumberFormat="1" applyFont="1" applyFill="1" applyAlignment="1">
      <alignment horizontal="center" vertical="center"/>
    </xf>
  </cellXfs>
  <cellStyles count="2">
    <cellStyle name="Normal" xfId="0" builtinId="0"/>
    <cellStyle name="Porcentagem" xfId="1" builtinId="5"/>
  </cellStyles>
  <dxfs count="13"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 val="0"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 patternType="solid">
          <fgColor theme="0"/>
          <bgColor theme="3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Estilo de Tabela 1" pivot="0" count="3" xr9:uid="{EC5518E8-8BDC-45F8-9780-CD89E23993F7}">
      <tableStyleElement type="wholeTable" dxfId="12"/>
      <tableStyleElement type="headerRow" dxfId="11"/>
      <tableStyleElement type="secondRowStripe" dxfId="10"/>
    </tableStyle>
    <tableStyle name="Estilo de Tabela 2" pivot="0" count="2" xr9:uid="{4E17C47F-A32B-445E-ACA7-D03EF307FA63}">
      <tableStyleElement type="headerRow" dxfId="9"/>
      <tableStyleElement type="secondRowStripe" dxfId="8"/>
    </tableStyle>
  </tableStyles>
  <colors>
    <mruColors>
      <color rgb="FFE06666"/>
      <color rgb="FFF9DFDF"/>
      <color rgb="FF4F93D0"/>
      <color rgb="FF4D3A7C"/>
      <color rgb="FF9CC2E5"/>
      <color rgb="FF57BB8A"/>
      <color rgb="FFF1C232"/>
      <color rgb="FF674EA7"/>
      <color rgb="FFD5E4CF"/>
      <color rgb="FF106D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617052467103818"/>
          <c:y val="5.1716031969910675E-2"/>
          <c:w val="0.75435901824980911"/>
          <c:h val="0.763920887841775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'Emissões Totais'!$C$3</c:f>
              <c:strCache>
                <c:ptCount val="1"/>
                <c:pt idx="0">
                  <c:v>Participação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 w="127000">
              <a:solidFill>
                <a:schemeClr val="accent3">
                  <a:lumMod val="50000"/>
                </a:schemeClr>
              </a:soli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BC11861-B2E3-47D9-98AF-C1FCFBF96F35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D1C-4A78-BCB3-78AC248B292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E81181D-DC21-48B1-8F11-4D196C4023BE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D1C-4A78-BCB3-78AC248B2929}"/>
                </c:ext>
              </c:extLst>
            </c:dLbl>
            <c:dLbl>
              <c:idx val="2"/>
              <c:layout>
                <c:manualLayout>
                  <c:x val="-6.4485511635460305E-2"/>
                  <c:y val="-4.3096195457331431E-17"/>
                </c:manualLayout>
              </c:layout>
              <c:tx>
                <c:rich>
                  <a:bodyPr/>
                  <a:lstStyle/>
                  <a:p>
                    <a:fld id="{6D159D54-8BAC-4641-B85E-3E09BB50762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D1C-4A78-BCB3-78AC248B292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5CCF79E-8006-449B-A232-F489471CA1A3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D1C-4A78-BCB3-78AC248B2929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'Emissões Totais'!$B$4:$B$7</c:f>
              <c:strCache>
                <c:ptCount val="4"/>
                <c:pt idx="0">
                  <c:v>Transportes</c:v>
                </c:pt>
                <c:pt idx="1">
                  <c:v>Indústrias</c:v>
                </c:pt>
                <c:pt idx="2">
                  <c:v>Residências</c:v>
                </c:pt>
                <c:pt idx="3">
                  <c:v>Outros setores*</c:v>
                </c:pt>
              </c:strCache>
            </c:strRef>
          </c:cat>
          <c:val>
            <c:numRef>
              <c:f>'Emissões Totais'!$C$4:$C$7</c:f>
              <c:numCache>
                <c:formatCode>General</c:formatCode>
                <c:ptCount val="4"/>
                <c:pt idx="0">
                  <c:v>214.3</c:v>
                </c:pt>
                <c:pt idx="1">
                  <c:v>74.8</c:v>
                </c:pt>
                <c:pt idx="2">
                  <c:v>18.600000000000001</c:v>
                </c:pt>
                <c:pt idx="3">
                  <c:v>123.6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'Emissões Totais'!$D$4:$D$7</c15:f>
                <c15:dlblRangeCache>
                  <c:ptCount val="4"/>
                  <c:pt idx="0">
                    <c:v>49,7%</c:v>
                  </c:pt>
                  <c:pt idx="1">
                    <c:v>17,3%</c:v>
                  </c:pt>
                  <c:pt idx="2">
                    <c:v>4,3%</c:v>
                  </c:pt>
                  <c:pt idx="3">
                    <c:v>28,7%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D1C-4A78-BCB3-78AC248B2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182128"/>
        <c:axId val="42184048"/>
      </c:barChart>
      <c:catAx>
        <c:axId val="4218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2184048"/>
        <c:crosses val="autoZero"/>
        <c:auto val="1"/>
        <c:lblAlgn val="ctr"/>
        <c:lblOffset val="100"/>
        <c:noMultiLvlLbl val="0"/>
      </c:catAx>
      <c:valAx>
        <c:axId val="4218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000" b="1" i="0" u="none" strike="noStrike" baseline="0"/>
                  <a:t>Emissões totais (2024) em Mt CO₂ eq 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218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632460</xdr:colOff>
      <xdr:row>1</xdr:row>
      <xdr:rowOff>34290</xdr:rowOff>
    </xdr:from>
    <xdr:to>
      <xdr:col>8</xdr:col>
      <xdr:colOff>312420</xdr:colOff>
      <xdr:row>9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1BA7254-6947-01FE-0D42-DDFF4BB1E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Personalizada 5">
      <a:dk1>
        <a:sysClr val="windowText" lastClr="000000"/>
      </a:dk1>
      <a:lt1>
        <a:sysClr val="window" lastClr="FFFFFF"/>
      </a:lt1>
      <a:dk2>
        <a:srgbClr val="106D75"/>
      </a:dk2>
      <a:lt2>
        <a:srgbClr val="57BB8A"/>
      </a:lt2>
      <a:accent1>
        <a:srgbClr val="D5E4CF"/>
      </a:accent1>
      <a:accent2>
        <a:srgbClr val="9CC2E5"/>
      </a:accent2>
      <a:accent3>
        <a:srgbClr val="CDCDCC"/>
      </a:accent3>
      <a:accent4>
        <a:srgbClr val="F1C232"/>
      </a:accent4>
      <a:accent5>
        <a:srgbClr val="674EA7"/>
      </a:accent5>
      <a:accent6>
        <a:srgbClr val="E06666"/>
      </a:accent6>
      <a:hlink>
        <a:srgbClr val="674EA7"/>
      </a:hlink>
      <a:folHlink>
        <a:srgbClr val="E06666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D0AA-BE93-4887-8C05-DDBD4B3698F7}">
  <dimension ref="B2:O20"/>
  <sheetViews>
    <sheetView showGridLines="0" zoomScaleNormal="100" workbookViewId="0">
      <selection activeCell="C4" sqref="C4"/>
    </sheetView>
  </sheetViews>
  <sheetFormatPr defaultColWidth="17.77734375" defaultRowHeight="19.95" customHeight="1" x14ac:dyDescent="0.3"/>
  <cols>
    <col min="1" max="1" width="7.77734375" style="12" customWidth="1"/>
    <col min="2" max="2" width="21.5546875" style="12" customWidth="1"/>
    <col min="3" max="3" width="16.77734375" style="15" customWidth="1"/>
    <col min="4" max="4" width="17.77734375" style="12"/>
    <col min="5" max="5" width="32.33203125" style="12" bestFit="1" customWidth="1"/>
    <col min="6" max="15" width="10.77734375" style="14" customWidth="1"/>
    <col min="16" max="16384" width="17.77734375" style="12"/>
  </cols>
  <sheetData>
    <row r="2" spans="2:15" ht="42.6" customHeight="1" x14ac:dyDescent="0.3">
      <c r="B2" s="40" t="s">
        <v>33</v>
      </c>
      <c r="C2" s="40"/>
      <c r="E2" s="40" t="s">
        <v>7</v>
      </c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2:15" ht="19.95" customHeight="1" x14ac:dyDescent="0.3">
      <c r="B3" s="16" t="s">
        <v>0</v>
      </c>
      <c r="C3" s="18" t="s">
        <v>9</v>
      </c>
      <c r="E3" s="16" t="s">
        <v>3</v>
      </c>
      <c r="F3" s="20" t="s">
        <v>18</v>
      </c>
      <c r="G3" s="20" t="s">
        <v>19</v>
      </c>
      <c r="H3" s="20" t="s">
        <v>20</v>
      </c>
      <c r="I3" s="20" t="s">
        <v>21</v>
      </c>
      <c r="J3" s="20" t="s">
        <v>22</v>
      </c>
      <c r="K3" s="20" t="s">
        <v>23</v>
      </c>
      <c r="L3" s="20" t="s">
        <v>24</v>
      </c>
      <c r="M3" s="20" t="s">
        <v>25</v>
      </c>
      <c r="N3" s="21" t="s">
        <v>34</v>
      </c>
      <c r="O3" s="21" t="s">
        <v>35</v>
      </c>
    </row>
    <row r="4" spans="2:15" ht="19.95" customHeight="1" x14ac:dyDescent="0.3">
      <c r="B4" s="13" t="str">
        <f>E5</f>
        <v>Petróleo e derivados</v>
      </c>
      <c r="C4" s="22">
        <f>O5/$O$17</f>
        <v>0.3403387051190872</v>
      </c>
      <c r="E4" s="19" t="s">
        <v>4</v>
      </c>
      <c r="F4" s="34">
        <v>175879</v>
      </c>
      <c r="G4" s="34">
        <v>162787</v>
      </c>
      <c r="H4" s="34">
        <v>166827</v>
      </c>
      <c r="I4" s="34">
        <v>157768</v>
      </c>
      <c r="J4" s="34">
        <v>158316</v>
      </c>
      <c r="K4" s="34">
        <v>148591</v>
      </c>
      <c r="L4" s="34">
        <v>166527</v>
      </c>
      <c r="M4" s="34">
        <v>160383</v>
      </c>
      <c r="N4" s="35">
        <v>160143</v>
      </c>
      <c r="O4" s="35">
        <v>160979</v>
      </c>
    </row>
    <row r="5" spans="2:15" ht="19.95" customHeight="1" x14ac:dyDescent="0.3">
      <c r="B5" s="13" t="str">
        <f t="shared" ref="B5:B8" si="0">E6</f>
        <v>Gás natural</v>
      </c>
      <c r="C5" s="22">
        <f t="shared" ref="C5:C8" si="1">O6/$O$17</f>
        <v>9.6182812563084058E-2</v>
      </c>
      <c r="E5" s="13" t="s">
        <v>26</v>
      </c>
      <c r="F5" s="36">
        <v>111602</v>
      </c>
      <c r="G5" s="36">
        <v>105170</v>
      </c>
      <c r="H5" s="36">
        <v>106075</v>
      </c>
      <c r="I5" s="36">
        <v>99407</v>
      </c>
      <c r="J5" s="36">
        <v>100898</v>
      </c>
      <c r="K5" s="36">
        <v>95247</v>
      </c>
      <c r="L5" s="36">
        <v>103625</v>
      </c>
      <c r="M5" s="36">
        <v>108873</v>
      </c>
      <c r="N5" s="37">
        <v>110476</v>
      </c>
      <c r="O5" s="37">
        <v>109586</v>
      </c>
    </row>
    <row r="6" spans="2:15" ht="19.95" customHeight="1" x14ac:dyDescent="0.3">
      <c r="B6" s="13" t="str">
        <f t="shared" si="0"/>
        <v>Carvão mineral e coque</v>
      </c>
      <c r="C6" s="22">
        <f t="shared" si="1"/>
        <v>4.4818022863993091E-2</v>
      </c>
      <c r="E6" s="13" t="s">
        <v>15</v>
      </c>
      <c r="F6" s="36">
        <v>40971</v>
      </c>
      <c r="G6" s="36">
        <v>35569</v>
      </c>
      <c r="H6" s="36">
        <v>37938</v>
      </c>
      <c r="I6" s="36">
        <v>35905</v>
      </c>
      <c r="J6" s="36">
        <v>35909</v>
      </c>
      <c r="K6" s="36">
        <v>33824</v>
      </c>
      <c r="L6" s="36">
        <v>40049</v>
      </c>
      <c r="M6" s="36">
        <v>31739</v>
      </c>
      <c r="N6" s="37">
        <v>30223</v>
      </c>
      <c r="O6" s="37">
        <v>30970</v>
      </c>
    </row>
    <row r="7" spans="2:15" ht="19.95" customHeight="1" x14ac:dyDescent="0.3">
      <c r="B7" s="13" t="str">
        <f t="shared" si="0"/>
        <v>Urânio (U3O8)</v>
      </c>
      <c r="C7" s="22">
        <f t="shared" si="1"/>
        <v>1.2907193058191067E-2</v>
      </c>
      <c r="E7" s="13" t="s">
        <v>27</v>
      </c>
      <c r="F7" s="36">
        <v>17625</v>
      </c>
      <c r="G7" s="36">
        <v>15916</v>
      </c>
      <c r="H7" s="36">
        <v>16790</v>
      </c>
      <c r="I7" s="36">
        <v>16421</v>
      </c>
      <c r="J7" s="36">
        <v>15435</v>
      </c>
      <c r="K7" s="36">
        <v>13955</v>
      </c>
      <c r="L7" s="36">
        <v>16945</v>
      </c>
      <c r="M7" s="36">
        <v>13995</v>
      </c>
      <c r="N7" s="37">
        <v>13720</v>
      </c>
      <c r="O7" s="37">
        <v>14431</v>
      </c>
    </row>
    <row r="8" spans="2:15" ht="19.95" customHeight="1" x14ac:dyDescent="0.3">
      <c r="B8" s="13" t="str">
        <f t="shared" si="0"/>
        <v>Outras não renováveis</v>
      </c>
      <c r="C8" s="22">
        <f t="shared" si="1"/>
        <v>5.7020227273433107E-3</v>
      </c>
      <c r="E8" s="13" t="s">
        <v>32</v>
      </c>
      <c r="F8" s="36">
        <v>3855</v>
      </c>
      <c r="G8" s="36">
        <v>4211</v>
      </c>
      <c r="H8" s="36">
        <v>4193</v>
      </c>
      <c r="I8" s="36">
        <v>4174</v>
      </c>
      <c r="J8" s="36">
        <v>4292</v>
      </c>
      <c r="K8" s="36">
        <v>3727</v>
      </c>
      <c r="L8" s="36">
        <v>3900</v>
      </c>
      <c r="M8" s="36">
        <v>3861</v>
      </c>
      <c r="N8" s="37">
        <v>3850</v>
      </c>
      <c r="O8" s="37">
        <v>4156</v>
      </c>
    </row>
    <row r="9" spans="2:15" ht="19.95" customHeight="1" x14ac:dyDescent="0.3">
      <c r="B9" s="13" t="str">
        <f>E11</f>
        <v>Hidráulica</v>
      </c>
      <c r="C9" s="22">
        <f>O11/$O$17</f>
        <v>0.11575168250044256</v>
      </c>
      <c r="E9" s="13" t="s">
        <v>28</v>
      </c>
      <c r="F9" s="36">
        <v>1826</v>
      </c>
      <c r="G9" s="36">
        <v>1921</v>
      </c>
      <c r="H9" s="36">
        <v>1831</v>
      </c>
      <c r="I9" s="36">
        <v>1860</v>
      </c>
      <c r="J9" s="36">
        <v>1780</v>
      </c>
      <c r="K9" s="36">
        <v>1838</v>
      </c>
      <c r="L9" s="36">
        <v>2007</v>
      </c>
      <c r="M9" s="36">
        <v>1914</v>
      </c>
      <c r="N9" s="37">
        <v>1874</v>
      </c>
      <c r="O9" s="37">
        <v>1836</v>
      </c>
    </row>
    <row r="10" spans="2:15" ht="19.95" customHeight="1" x14ac:dyDescent="0.3">
      <c r="B10" s="13" t="str">
        <f t="shared" ref="B10:B13" si="2">E12</f>
        <v>Lenha e carvão vegetal</v>
      </c>
      <c r="C10" s="22">
        <f t="shared" ref="C10:C14" si="3">O12/$O$17</f>
        <v>8.5008587196536547E-2</v>
      </c>
      <c r="E10" s="19" t="s">
        <v>5</v>
      </c>
      <c r="F10" s="34">
        <v>124521</v>
      </c>
      <c r="G10" s="34">
        <v>126488</v>
      </c>
      <c r="H10" s="34">
        <v>127826</v>
      </c>
      <c r="I10" s="34">
        <v>133407</v>
      </c>
      <c r="J10" s="34">
        <v>137141</v>
      </c>
      <c r="K10" s="34">
        <v>140923</v>
      </c>
      <c r="L10" s="34">
        <v>137218</v>
      </c>
      <c r="M10" s="34">
        <v>143577</v>
      </c>
      <c r="N10" s="35">
        <v>154330</v>
      </c>
      <c r="O10" s="35">
        <v>161012</v>
      </c>
    </row>
    <row r="11" spans="2:15" ht="19.95" customHeight="1" x14ac:dyDescent="0.3">
      <c r="B11" s="13" t="str">
        <f t="shared" si="2"/>
        <v>Derivados da cana-de-açúcar</v>
      </c>
      <c r="C11" s="22">
        <f t="shared" si="3"/>
        <v>0.16682143289719278</v>
      </c>
      <c r="E11" s="13" t="s">
        <v>11</v>
      </c>
      <c r="F11" s="36">
        <v>33898</v>
      </c>
      <c r="G11" s="36">
        <v>36267</v>
      </c>
      <c r="H11" s="36">
        <v>35024</v>
      </c>
      <c r="I11" s="36">
        <v>36460</v>
      </c>
      <c r="J11" s="36">
        <v>36364</v>
      </c>
      <c r="K11" s="36">
        <v>36215</v>
      </c>
      <c r="L11" s="36">
        <v>33189</v>
      </c>
      <c r="M11" s="36">
        <v>37842</v>
      </c>
      <c r="N11" s="37">
        <v>37935</v>
      </c>
      <c r="O11" s="37">
        <v>37271</v>
      </c>
    </row>
    <row r="12" spans="2:15" ht="19.95" customHeight="1" x14ac:dyDescent="0.3">
      <c r="B12" s="13" t="str">
        <f t="shared" si="2"/>
        <v>Eólica</v>
      </c>
      <c r="C12" s="22">
        <f t="shared" si="3"/>
        <v>2.8752356432322643E-2</v>
      </c>
      <c r="E12" s="13" t="s">
        <v>29</v>
      </c>
      <c r="F12" s="36">
        <v>25075</v>
      </c>
      <c r="G12" s="36">
        <v>23502</v>
      </c>
      <c r="H12" s="36">
        <v>24864</v>
      </c>
      <c r="I12" s="36">
        <v>26250</v>
      </c>
      <c r="J12" s="36">
        <v>26411</v>
      </c>
      <c r="K12" s="36">
        <v>26457</v>
      </c>
      <c r="L12" s="36">
        <v>27407</v>
      </c>
      <c r="M12" s="36">
        <v>27265</v>
      </c>
      <c r="N12" s="37">
        <v>27265</v>
      </c>
      <c r="O12" s="37">
        <v>27372</v>
      </c>
    </row>
    <row r="13" spans="2:15" ht="19.95" customHeight="1" x14ac:dyDescent="0.3">
      <c r="B13" s="13" t="str">
        <f t="shared" si="2"/>
        <v>Solar</v>
      </c>
      <c r="C13" s="22">
        <f t="shared" si="3"/>
        <v>2.2450938069697599E-2</v>
      </c>
      <c r="E13" s="13" t="s">
        <v>30</v>
      </c>
      <c r="F13" s="36">
        <v>50623</v>
      </c>
      <c r="G13" s="36">
        <v>50318</v>
      </c>
      <c r="H13" s="36">
        <v>49758</v>
      </c>
      <c r="I13" s="36">
        <v>50090</v>
      </c>
      <c r="J13" s="36">
        <v>52841</v>
      </c>
      <c r="K13" s="36">
        <v>54933</v>
      </c>
      <c r="L13" s="36">
        <v>50105</v>
      </c>
      <c r="M13" s="36">
        <v>46732</v>
      </c>
      <c r="N13" s="37">
        <v>52851</v>
      </c>
      <c r="O13" s="37">
        <v>53715</v>
      </c>
    </row>
    <row r="14" spans="2:15" ht="19.95" customHeight="1" x14ac:dyDescent="0.3">
      <c r="B14" s="13" t="str">
        <f>E16</f>
        <v>Outras renováveis</v>
      </c>
      <c r="C14" s="22">
        <f t="shared" si="3"/>
        <v>8.1266246572109152E-2</v>
      </c>
      <c r="E14" s="13" t="s">
        <v>1</v>
      </c>
      <c r="F14" s="36">
        <v>1860</v>
      </c>
      <c r="G14" s="36">
        <v>2880</v>
      </c>
      <c r="H14" s="36">
        <v>3644</v>
      </c>
      <c r="I14" s="36">
        <v>4169</v>
      </c>
      <c r="J14" s="36">
        <v>4815</v>
      </c>
      <c r="K14" s="36">
        <v>4906</v>
      </c>
      <c r="L14" s="36">
        <v>6217</v>
      </c>
      <c r="M14" s="36">
        <v>7020</v>
      </c>
      <c r="N14" s="37">
        <v>8239</v>
      </c>
      <c r="O14" s="37">
        <v>9258</v>
      </c>
    </row>
    <row r="15" spans="2:15" ht="19.95" customHeight="1" x14ac:dyDescent="0.3">
      <c r="B15" s="13"/>
      <c r="E15" s="13" t="s">
        <v>12</v>
      </c>
      <c r="F15" s="36">
        <v>605</v>
      </c>
      <c r="G15" s="36">
        <v>667</v>
      </c>
      <c r="H15" s="36">
        <v>785</v>
      </c>
      <c r="I15" s="36">
        <v>1060</v>
      </c>
      <c r="J15" s="36">
        <v>1385</v>
      </c>
      <c r="K15" s="36">
        <v>1791</v>
      </c>
      <c r="L15" s="36">
        <v>2371</v>
      </c>
      <c r="M15" s="36">
        <v>3591</v>
      </c>
      <c r="N15" s="37">
        <v>5428</v>
      </c>
      <c r="O15" s="37">
        <v>7229</v>
      </c>
    </row>
    <row r="16" spans="2:15" ht="19.95" customHeight="1" x14ac:dyDescent="0.3">
      <c r="B16" s="17" t="s">
        <v>2</v>
      </c>
      <c r="C16" s="18">
        <f>SUM(C4:C15)</f>
        <v>1</v>
      </c>
      <c r="E16" s="13" t="s">
        <v>31</v>
      </c>
      <c r="F16" s="36">
        <v>12460</v>
      </c>
      <c r="G16" s="36">
        <v>12855</v>
      </c>
      <c r="H16" s="36">
        <v>13751</v>
      </c>
      <c r="I16" s="36">
        <v>15378</v>
      </c>
      <c r="J16" s="36">
        <v>15325</v>
      </c>
      <c r="K16" s="36">
        <v>16621</v>
      </c>
      <c r="L16" s="36">
        <v>17929</v>
      </c>
      <c r="M16" s="36">
        <v>21126</v>
      </c>
      <c r="N16" s="37">
        <v>22612</v>
      </c>
      <c r="O16" s="37">
        <v>26167</v>
      </c>
    </row>
    <row r="17" spans="2:15" s="15" customFormat="1" ht="19.95" customHeight="1" x14ac:dyDescent="0.3">
      <c r="B17" s="13"/>
      <c r="D17" s="12"/>
      <c r="E17" s="16" t="s">
        <v>6</v>
      </c>
      <c r="F17" s="38">
        <v>300400</v>
      </c>
      <c r="G17" s="38">
        <v>289276</v>
      </c>
      <c r="H17" s="38">
        <v>294654</v>
      </c>
      <c r="I17" s="38">
        <v>291175</v>
      </c>
      <c r="J17" s="38">
        <v>295456</v>
      </c>
      <c r="K17" s="38">
        <v>289514</v>
      </c>
      <c r="L17" s="38">
        <v>303744</v>
      </c>
      <c r="M17" s="38">
        <v>303960</v>
      </c>
      <c r="N17" s="38">
        <v>314472</v>
      </c>
      <c r="O17" s="38">
        <v>321991</v>
      </c>
    </row>
    <row r="18" spans="2:15" s="15" customFormat="1" ht="19.95" customHeight="1" x14ac:dyDescent="0.3">
      <c r="B18" s="13"/>
      <c r="D18" s="12"/>
      <c r="E18" s="12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2:15" s="15" customFormat="1" ht="19.95" customHeight="1" x14ac:dyDescent="0.3">
      <c r="B19" s="13"/>
      <c r="D19" s="12"/>
      <c r="E19" s="12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2:15" s="15" customFormat="1" ht="19.95" customHeight="1" x14ac:dyDescent="0.3">
      <c r="B20" s="13"/>
      <c r="D20" s="12"/>
      <c r="E20" s="12"/>
      <c r="F20" s="14"/>
      <c r="G20" s="14"/>
      <c r="H20" s="14"/>
      <c r="I20" s="14"/>
      <c r="J20" s="14"/>
      <c r="K20" s="14"/>
      <c r="L20" s="14"/>
      <c r="M20" s="14"/>
      <c r="N20" s="14"/>
      <c r="O20" s="14"/>
    </row>
  </sheetData>
  <mergeCells count="2">
    <mergeCell ref="B2:C2"/>
    <mergeCell ref="E2:O2"/>
  </mergeCells>
  <conditionalFormatting sqref="B4:C15">
    <cfRule type="expression" dxfId="7" priority="4">
      <formula>ODD(ROW())=ROW()</formula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F3:O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0"/>
  <sheetViews>
    <sheetView showGridLines="0" zoomScaleNormal="100" workbookViewId="0">
      <selection activeCell="C4" sqref="C4"/>
    </sheetView>
  </sheetViews>
  <sheetFormatPr defaultColWidth="17.77734375" defaultRowHeight="19.95" customHeight="1" x14ac:dyDescent="0.3"/>
  <cols>
    <col min="1" max="1" width="7.77734375" style="1" customWidth="1"/>
    <col min="2" max="2" width="21.5546875" style="1" customWidth="1"/>
    <col min="3" max="3" width="16.77734375" style="4" customWidth="1"/>
    <col min="4" max="16384" width="17.77734375" style="1"/>
  </cols>
  <sheetData>
    <row r="2" spans="2:6" ht="42.6" customHeight="1" x14ac:dyDescent="0.3">
      <c r="B2" s="40" t="s">
        <v>8</v>
      </c>
      <c r="C2" s="40"/>
      <c r="E2" s="2"/>
    </row>
    <row r="3" spans="2:6" ht="19.95" customHeight="1" x14ac:dyDescent="0.3">
      <c r="B3" s="16" t="s">
        <v>0</v>
      </c>
      <c r="C3" s="18" t="s">
        <v>9</v>
      </c>
    </row>
    <row r="4" spans="2:6" ht="19.95" customHeight="1" x14ac:dyDescent="0.3">
      <c r="B4" s="13" t="s">
        <v>11</v>
      </c>
      <c r="C4" s="1">
        <v>0.55299999999999994</v>
      </c>
      <c r="E4" s="5"/>
      <c r="F4" s="7"/>
    </row>
    <row r="5" spans="2:6" ht="19.95" customHeight="1" x14ac:dyDescent="0.3">
      <c r="B5" s="13" t="s">
        <v>1</v>
      </c>
      <c r="C5" s="1">
        <v>0.14099999999999999</v>
      </c>
      <c r="E5" s="8"/>
      <c r="F5" s="6"/>
    </row>
    <row r="6" spans="2:6" ht="19.95" customHeight="1" x14ac:dyDescent="0.3">
      <c r="B6" s="13" t="s">
        <v>12</v>
      </c>
      <c r="C6" s="1">
        <v>9.3000000000000013E-2</v>
      </c>
      <c r="E6" s="8"/>
      <c r="F6" s="6"/>
    </row>
    <row r="7" spans="2:6" ht="19.95" customHeight="1" x14ac:dyDescent="0.3">
      <c r="B7" s="13" t="s">
        <v>15</v>
      </c>
      <c r="C7" s="1">
        <v>6.3E-2</v>
      </c>
      <c r="E7" s="8"/>
      <c r="F7" s="6"/>
    </row>
    <row r="8" spans="2:6" ht="19.95" customHeight="1" x14ac:dyDescent="0.3">
      <c r="B8" s="13" t="s">
        <v>13</v>
      </c>
      <c r="C8" s="1">
        <v>4.9000000000000002E-2</v>
      </c>
      <c r="E8" s="8"/>
      <c r="F8" s="6"/>
    </row>
    <row r="9" spans="2:6" ht="19.95" customHeight="1" x14ac:dyDescent="0.3">
      <c r="B9" s="13" t="s">
        <v>36</v>
      </c>
      <c r="C9" s="1">
        <v>2.3E-2</v>
      </c>
      <c r="E9" s="8"/>
      <c r="F9" s="6"/>
    </row>
    <row r="10" spans="2:6" ht="19.95" customHeight="1" x14ac:dyDescent="0.3">
      <c r="B10" s="13" t="s">
        <v>10</v>
      </c>
      <c r="C10" s="1">
        <v>2.1000000000000001E-2</v>
      </c>
      <c r="E10" s="8"/>
      <c r="F10" s="6"/>
    </row>
    <row r="11" spans="2:6" ht="19.95" customHeight="1" x14ac:dyDescent="0.3">
      <c r="B11" s="13" t="s">
        <v>14</v>
      </c>
      <c r="C11" s="1">
        <v>1.4999999999999999E-2</v>
      </c>
      <c r="E11" s="8"/>
      <c r="F11" s="6"/>
    </row>
    <row r="12" spans="2:6" ht="19.95" customHeight="1" x14ac:dyDescent="0.3">
      <c r="B12" s="13" t="s">
        <v>37</v>
      </c>
      <c r="C12" s="1">
        <v>1.4999999999999999E-2</v>
      </c>
      <c r="E12" s="8"/>
      <c r="F12" s="6"/>
    </row>
    <row r="13" spans="2:6" ht="19.95" customHeight="1" x14ac:dyDescent="0.3">
      <c r="B13" s="13" t="s">
        <v>16</v>
      </c>
      <c r="C13" s="1">
        <v>1.3000000000000001E-2</v>
      </c>
      <c r="E13" s="8"/>
      <c r="F13" s="6"/>
    </row>
    <row r="14" spans="2:6" ht="19.95" customHeight="1" x14ac:dyDescent="0.3">
      <c r="B14" s="13" t="s">
        <v>38</v>
      </c>
      <c r="C14" s="1">
        <v>9.0000000000000011E-3</v>
      </c>
      <c r="E14" s="8"/>
      <c r="F14" s="6"/>
    </row>
    <row r="15" spans="2:6" ht="25.05" customHeight="1" x14ac:dyDescent="0.3">
      <c r="B15" s="13" t="s">
        <v>17</v>
      </c>
      <c r="C15" s="1">
        <v>6.0000000000000001E-3</v>
      </c>
      <c r="E15" s="8"/>
      <c r="F15" s="6"/>
    </row>
    <row r="16" spans="2:6" ht="19.95" customHeight="1" x14ac:dyDescent="0.3">
      <c r="B16" s="10" t="s">
        <v>2</v>
      </c>
      <c r="C16" s="9">
        <f>SUM(C4:C15)</f>
        <v>1.0009999999999999</v>
      </c>
    </row>
    <row r="17" spans="2:2" ht="19.95" customHeight="1" x14ac:dyDescent="0.3">
      <c r="B17" s="2"/>
    </row>
    <row r="18" spans="2:2" ht="19.95" customHeight="1" x14ac:dyDescent="0.3">
      <c r="B18" s="2"/>
    </row>
    <row r="19" spans="2:2" ht="19.95" customHeight="1" x14ac:dyDescent="0.3">
      <c r="B19" s="2"/>
    </row>
    <row r="20" spans="2:2" ht="19.95" customHeight="1" x14ac:dyDescent="0.3">
      <c r="B20" s="2"/>
    </row>
  </sheetData>
  <mergeCells count="1">
    <mergeCell ref="B2:C2"/>
  </mergeCells>
  <phoneticPr fontId="2" type="noConversion"/>
  <conditionalFormatting sqref="B4:C15">
    <cfRule type="expression" dxfId="6" priority="1">
      <formula>ODD(ROW())=ROW()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B1F2-83F2-4E9A-B780-5AA3F693D50F}">
  <dimension ref="B2:J14"/>
  <sheetViews>
    <sheetView showGridLines="0" zoomScaleNormal="100" workbookViewId="0">
      <selection activeCell="C4" sqref="C4"/>
    </sheetView>
  </sheetViews>
  <sheetFormatPr defaultColWidth="17.77734375" defaultRowHeight="19.95" customHeight="1" x14ac:dyDescent="0.3"/>
  <cols>
    <col min="1" max="1" width="7.77734375" style="1" customWidth="1"/>
    <col min="2" max="2" width="21.5546875" style="1" customWidth="1"/>
    <col min="3" max="4" width="16.77734375" style="4" customWidth="1"/>
    <col min="5" max="16384" width="17.77734375" style="1"/>
  </cols>
  <sheetData>
    <row r="2" spans="2:10" ht="42.6" customHeight="1" x14ac:dyDescent="0.3">
      <c r="B2" s="40" t="s">
        <v>42</v>
      </c>
      <c r="C2" s="40"/>
      <c r="D2" s="11"/>
      <c r="F2" s="2"/>
      <c r="J2" s="1">
        <f>95832</f>
        <v>95832</v>
      </c>
    </row>
    <row r="3" spans="2:10" ht="19.95" customHeight="1" x14ac:dyDescent="0.3">
      <c r="B3" s="16" t="s">
        <v>0</v>
      </c>
      <c r="C3" s="18" t="s">
        <v>9</v>
      </c>
      <c r="D3" s="18" t="s">
        <v>48</v>
      </c>
      <c r="J3" s="25">
        <v>272476</v>
      </c>
    </row>
    <row r="4" spans="2:10" ht="19.95" customHeight="1" x14ac:dyDescent="0.3">
      <c r="B4" s="13" t="s">
        <v>43</v>
      </c>
      <c r="C4" s="1">
        <v>214.3</v>
      </c>
      <c r="D4" s="3">
        <f>C4/$C$8</f>
        <v>0.49686992812427538</v>
      </c>
      <c r="F4" s="5"/>
      <c r="G4" s="7"/>
      <c r="J4" s="3">
        <f>J2/J3</f>
        <v>0.35170804034116765</v>
      </c>
    </row>
    <row r="5" spans="2:10" ht="19.95" customHeight="1" x14ac:dyDescent="0.3">
      <c r="B5" s="13" t="s">
        <v>44</v>
      </c>
      <c r="C5" s="1">
        <v>74.8</v>
      </c>
      <c r="D5" s="3">
        <f>C5/$C$8</f>
        <v>0.17342916763273819</v>
      </c>
      <c r="F5" s="8"/>
      <c r="G5" s="6"/>
    </row>
    <row r="6" spans="2:10" ht="19.95" customHeight="1" x14ac:dyDescent="0.3">
      <c r="B6" s="13" t="s">
        <v>45</v>
      </c>
      <c r="C6" s="1">
        <v>18.600000000000001</v>
      </c>
      <c r="D6" s="3">
        <f>C6/$C$8</f>
        <v>4.3125434732204961E-2</v>
      </c>
      <c r="F6" s="8"/>
      <c r="G6" s="6"/>
    </row>
    <row r="7" spans="2:10" ht="19.95" customHeight="1" x14ac:dyDescent="0.3">
      <c r="B7" s="13" t="s">
        <v>47</v>
      </c>
      <c r="C7" s="1">
        <v>123.6</v>
      </c>
      <c r="D7" s="3">
        <f>C7/$C$8</f>
        <v>0.28657546951078128</v>
      </c>
      <c r="F7" s="8"/>
      <c r="G7" s="6"/>
    </row>
    <row r="8" spans="2:10" ht="19.95" customHeight="1" x14ac:dyDescent="0.3">
      <c r="B8" s="10" t="s">
        <v>2</v>
      </c>
      <c r="C8" s="26">
        <f>SUM(C4:C7)</f>
        <v>431.30000000000007</v>
      </c>
      <c r="D8" s="9">
        <f>SUM(D4:D7)</f>
        <v>0.99999999999999989</v>
      </c>
    </row>
    <row r="9" spans="2:10" s="4" customFormat="1" ht="19.95" customHeight="1" x14ac:dyDescent="0.3">
      <c r="B9" s="2"/>
      <c r="E9" s="1"/>
      <c r="F9" s="1"/>
      <c r="G9" s="1"/>
      <c r="H9" s="1"/>
      <c r="I9" s="1"/>
      <c r="J9" s="1"/>
    </row>
    <row r="10" spans="2:10" s="4" customFormat="1" ht="19.95" customHeight="1" x14ac:dyDescent="0.3">
      <c r="B10" s="2"/>
      <c r="E10" s="1"/>
      <c r="F10" s="1"/>
      <c r="G10" s="1"/>
      <c r="H10" s="1"/>
      <c r="I10" s="1"/>
      <c r="J10" s="1"/>
    </row>
    <row r="11" spans="2:10" s="4" customFormat="1" ht="19.95" customHeight="1" x14ac:dyDescent="0.3">
      <c r="E11" s="1"/>
      <c r="F11" s="1"/>
      <c r="G11" s="1"/>
      <c r="H11" s="1"/>
      <c r="I11" s="1"/>
      <c r="J11" s="1"/>
    </row>
    <row r="12" spans="2:10" s="4" customFormat="1" ht="19.95" customHeight="1" x14ac:dyDescent="0.3">
      <c r="B12" s="2"/>
      <c r="E12" s="1"/>
      <c r="F12" s="1"/>
      <c r="G12" s="1"/>
      <c r="H12" s="1"/>
      <c r="I12" s="1"/>
      <c r="J12" s="1"/>
    </row>
    <row r="14" spans="2:10" ht="19.95" customHeight="1" x14ac:dyDescent="0.3">
      <c r="B14" s="2" t="s">
        <v>46</v>
      </c>
    </row>
  </sheetData>
  <mergeCells count="1">
    <mergeCell ref="B2:C2"/>
  </mergeCells>
  <conditionalFormatting sqref="B4:D7">
    <cfRule type="expression" dxfId="5" priority="1">
      <formula>ODD(ROW())=ROW()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6453-C79D-4304-B50E-5228262BAD92}">
  <dimension ref="B2:S20"/>
  <sheetViews>
    <sheetView showGridLines="0" zoomScale="105" zoomScaleNormal="130" workbookViewId="0">
      <selection activeCell="U13" sqref="U13"/>
    </sheetView>
  </sheetViews>
  <sheetFormatPr defaultColWidth="17.77734375" defaultRowHeight="19.95" customHeight="1" x14ac:dyDescent="0.3"/>
  <cols>
    <col min="1" max="1" width="7.77734375" style="12" customWidth="1"/>
    <col min="2" max="2" width="21.5546875" style="12" customWidth="1"/>
    <col min="3" max="4" width="16.77734375" style="15" customWidth="1"/>
    <col min="5" max="5" width="17.77734375" style="12"/>
    <col min="6" max="6" width="32.33203125" style="12" bestFit="1" customWidth="1"/>
    <col min="7" max="16" width="10.77734375" style="14" customWidth="1"/>
    <col min="17" max="16384" width="17.77734375" style="12"/>
  </cols>
  <sheetData>
    <row r="2" spans="2:19" ht="42.6" customHeight="1" x14ac:dyDescent="0.3">
      <c r="B2" s="40" t="s">
        <v>49</v>
      </c>
      <c r="C2" s="40"/>
      <c r="D2" s="11"/>
      <c r="F2" s="40" t="s">
        <v>49</v>
      </c>
      <c r="G2" s="40"/>
      <c r="H2" s="40"/>
      <c r="I2" s="40"/>
      <c r="J2" s="40"/>
      <c r="K2" s="40"/>
      <c r="L2" s="40"/>
      <c r="M2" s="40"/>
      <c r="N2" s="40"/>
      <c r="O2" s="40"/>
      <c r="P2" s="40"/>
    </row>
    <row r="3" spans="2:19" ht="19.95" customHeight="1" x14ac:dyDescent="0.3">
      <c r="B3" s="16" t="s">
        <v>0</v>
      </c>
      <c r="C3" s="18" t="s">
        <v>9</v>
      </c>
      <c r="D3" s="18" t="s">
        <v>48</v>
      </c>
      <c r="F3" s="16" t="s">
        <v>3</v>
      </c>
      <c r="G3" s="20" t="s">
        <v>18</v>
      </c>
      <c r="H3" s="20" t="s">
        <v>19</v>
      </c>
      <c r="I3" s="20" t="s">
        <v>20</v>
      </c>
      <c r="J3" s="20" t="s">
        <v>21</v>
      </c>
      <c r="K3" s="20" t="s">
        <v>22</v>
      </c>
      <c r="L3" s="20" t="s">
        <v>23</v>
      </c>
      <c r="M3" s="20" t="s">
        <v>24</v>
      </c>
      <c r="N3" s="20" t="s">
        <v>25</v>
      </c>
      <c r="O3" s="21" t="s">
        <v>34</v>
      </c>
      <c r="P3" s="21" t="s">
        <v>35</v>
      </c>
      <c r="R3" s="16" t="s">
        <v>3</v>
      </c>
      <c r="S3" s="21" t="s">
        <v>35</v>
      </c>
    </row>
    <row r="4" spans="2:19" ht="19.95" customHeight="1" x14ac:dyDescent="0.3">
      <c r="B4" s="30" t="str">
        <f t="shared" ref="B4:B12" si="0">R4</f>
        <v>Óleo diesel</v>
      </c>
      <c r="C4" s="31">
        <f t="shared" ref="C4:C12" si="1">S4</f>
        <v>40760</v>
      </c>
      <c r="D4" s="32">
        <f>C4/$C$13</f>
        <v>0.42532765673261541</v>
      </c>
      <c r="F4" s="13" t="s">
        <v>15</v>
      </c>
      <c r="G4" s="36">
        <v>1553</v>
      </c>
      <c r="H4" s="36">
        <v>1593</v>
      </c>
      <c r="I4" s="36">
        <v>1734</v>
      </c>
      <c r="J4" s="36">
        <v>1946</v>
      </c>
      <c r="K4" s="36">
        <v>2010</v>
      </c>
      <c r="L4" s="36">
        <v>1659</v>
      </c>
      <c r="M4" s="36">
        <v>1908</v>
      </c>
      <c r="N4" s="36">
        <v>1991</v>
      </c>
      <c r="O4" s="39">
        <v>1722</v>
      </c>
      <c r="P4" s="39">
        <v>1448</v>
      </c>
      <c r="R4" s="13" t="s">
        <v>17</v>
      </c>
      <c r="S4" s="23">
        <v>40760</v>
      </c>
    </row>
    <row r="5" spans="2:19" ht="19.95" customHeight="1" x14ac:dyDescent="0.3">
      <c r="B5" s="30" t="str">
        <f t="shared" si="0"/>
        <v>Gasolina automotiva</v>
      </c>
      <c r="C5" s="31">
        <f t="shared" si="1"/>
        <v>24846</v>
      </c>
      <c r="D5" s="32">
        <f t="shared" ref="D5:D12" si="2">C5/$C$13</f>
        <v>0.25926621587778614</v>
      </c>
      <c r="F5" s="13" t="s">
        <v>17</v>
      </c>
      <c r="G5" s="36">
        <v>36673</v>
      </c>
      <c r="H5" s="36">
        <v>35475</v>
      </c>
      <c r="I5" s="36">
        <v>35300</v>
      </c>
      <c r="J5" s="36">
        <v>34924</v>
      </c>
      <c r="K5" s="36">
        <v>35632</v>
      </c>
      <c r="L5" s="36">
        <v>35200</v>
      </c>
      <c r="M5" s="36">
        <v>38430</v>
      </c>
      <c r="N5" s="36">
        <v>39909</v>
      </c>
      <c r="O5" s="39">
        <v>40526</v>
      </c>
      <c r="P5" s="39">
        <v>40760</v>
      </c>
      <c r="R5" s="13" t="s">
        <v>52</v>
      </c>
      <c r="S5" s="23">
        <v>24846</v>
      </c>
    </row>
    <row r="6" spans="2:19" ht="19.95" customHeight="1" x14ac:dyDescent="0.3">
      <c r="B6" s="13" t="str">
        <f t="shared" si="0"/>
        <v>Álcool etílico</v>
      </c>
      <c r="C6" s="24">
        <f t="shared" si="1"/>
        <v>18622</v>
      </c>
      <c r="D6" s="22">
        <f t="shared" si="2"/>
        <v>0.19431922531096085</v>
      </c>
      <c r="F6" s="13" t="s">
        <v>50</v>
      </c>
      <c r="G6" s="36">
        <v>2498</v>
      </c>
      <c r="H6" s="36">
        <v>2471</v>
      </c>
      <c r="I6" s="36">
        <v>2754</v>
      </c>
      <c r="J6" s="36">
        <v>3474</v>
      </c>
      <c r="K6" s="36">
        <v>3799</v>
      </c>
      <c r="L6" s="36">
        <v>4118</v>
      </c>
      <c r="M6" s="36">
        <v>4391</v>
      </c>
      <c r="N6" s="36">
        <v>4104</v>
      </c>
      <c r="O6" s="39">
        <v>4892</v>
      </c>
      <c r="P6" s="39">
        <v>5835</v>
      </c>
      <c r="R6" s="13" t="s">
        <v>56</v>
      </c>
      <c r="S6" s="23">
        <v>18622</v>
      </c>
    </row>
    <row r="7" spans="2:19" ht="19.95" customHeight="1" x14ac:dyDescent="0.3">
      <c r="B7" s="13" t="str">
        <f t="shared" si="0"/>
        <v>Biodiesel</v>
      </c>
      <c r="C7" s="24">
        <f t="shared" si="1"/>
        <v>5835</v>
      </c>
      <c r="D7" s="22">
        <f t="shared" si="2"/>
        <v>6.0887803656398697E-2</v>
      </c>
      <c r="F7" s="13" t="s">
        <v>51</v>
      </c>
      <c r="G7" s="36">
        <v>964</v>
      </c>
      <c r="H7" s="36">
        <v>867</v>
      </c>
      <c r="I7" s="36">
        <v>925</v>
      </c>
      <c r="J7" s="36">
        <v>976</v>
      </c>
      <c r="K7" s="36">
        <v>812</v>
      </c>
      <c r="L7" s="36">
        <v>827</v>
      </c>
      <c r="M7" s="36">
        <v>795</v>
      </c>
      <c r="N7" s="36">
        <v>743</v>
      </c>
      <c r="O7" s="39">
        <v>701</v>
      </c>
      <c r="P7" s="39">
        <v>736</v>
      </c>
      <c r="R7" s="13" t="s">
        <v>50</v>
      </c>
      <c r="S7" s="23">
        <v>5835</v>
      </c>
    </row>
    <row r="8" spans="2:19" ht="19.95" customHeight="1" x14ac:dyDescent="0.3">
      <c r="B8" s="30" t="str">
        <f t="shared" si="0"/>
        <v>Querosene</v>
      </c>
      <c r="C8" s="31">
        <f t="shared" si="1"/>
        <v>3367</v>
      </c>
      <c r="D8" s="32">
        <f t="shared" si="2"/>
        <v>3.5134401869939061E-2</v>
      </c>
      <c r="F8" s="13" t="s">
        <v>52</v>
      </c>
      <c r="G8" s="36">
        <v>23257</v>
      </c>
      <c r="H8" s="36">
        <v>24181</v>
      </c>
      <c r="I8" s="36">
        <v>24816</v>
      </c>
      <c r="J8" s="36">
        <v>21558</v>
      </c>
      <c r="K8" s="36">
        <v>21453</v>
      </c>
      <c r="L8" s="36">
        <v>20136</v>
      </c>
      <c r="M8" s="36">
        <v>22100</v>
      </c>
      <c r="N8" s="36">
        <v>24192</v>
      </c>
      <c r="O8" s="39">
        <v>25873</v>
      </c>
      <c r="P8" s="39">
        <v>24846</v>
      </c>
      <c r="R8" s="13" t="s">
        <v>54</v>
      </c>
      <c r="S8" s="23">
        <v>3367</v>
      </c>
    </row>
    <row r="9" spans="2:19" ht="19.95" customHeight="1" x14ac:dyDescent="0.3">
      <c r="B9" s="30" t="str">
        <f t="shared" si="0"/>
        <v>Gás natural</v>
      </c>
      <c r="C9" s="31">
        <f t="shared" si="1"/>
        <v>1448</v>
      </c>
      <c r="D9" s="32">
        <f t="shared" si="2"/>
        <v>1.5109775440353954E-2</v>
      </c>
      <c r="F9" s="13" t="s">
        <v>53</v>
      </c>
      <c r="G9" s="36">
        <v>49</v>
      </c>
      <c r="H9" s="36">
        <v>44</v>
      </c>
      <c r="I9" s="36">
        <v>39</v>
      </c>
      <c r="J9" s="36">
        <v>37</v>
      </c>
      <c r="K9" s="36">
        <v>33</v>
      </c>
      <c r="L9" s="36">
        <v>30</v>
      </c>
      <c r="M9" s="36">
        <v>36</v>
      </c>
      <c r="N9" s="36">
        <v>35</v>
      </c>
      <c r="O9" s="39">
        <v>32</v>
      </c>
      <c r="P9" s="39">
        <v>32</v>
      </c>
      <c r="R9" s="13" t="s">
        <v>15</v>
      </c>
      <c r="S9" s="23">
        <v>1448</v>
      </c>
    </row>
    <row r="10" spans="2:19" ht="19.95" customHeight="1" x14ac:dyDescent="0.3">
      <c r="B10" s="30" t="str">
        <f t="shared" si="0"/>
        <v>Óleo combustível</v>
      </c>
      <c r="C10" s="31">
        <f t="shared" si="1"/>
        <v>736</v>
      </c>
      <c r="D10" s="32">
        <f t="shared" si="2"/>
        <v>7.6801068536605727E-3</v>
      </c>
      <c r="F10" s="13" t="s">
        <v>54</v>
      </c>
      <c r="G10" s="36">
        <v>3609</v>
      </c>
      <c r="H10" s="36">
        <v>3303</v>
      </c>
      <c r="I10" s="36">
        <v>3296</v>
      </c>
      <c r="J10" s="36">
        <v>3387</v>
      </c>
      <c r="K10" s="36">
        <v>3315</v>
      </c>
      <c r="L10" s="36">
        <v>1895</v>
      </c>
      <c r="M10" s="36">
        <v>2516</v>
      </c>
      <c r="N10" s="36">
        <v>3127</v>
      </c>
      <c r="O10" s="39">
        <v>3291</v>
      </c>
      <c r="P10" s="39">
        <v>3367</v>
      </c>
      <c r="R10" s="13" t="s">
        <v>51</v>
      </c>
      <c r="S10" s="23">
        <v>736</v>
      </c>
    </row>
    <row r="11" spans="2:19" ht="19.95" customHeight="1" x14ac:dyDescent="0.3">
      <c r="B11" s="13" t="str">
        <f t="shared" si="0"/>
        <v>Eletricidade</v>
      </c>
      <c r="C11" s="24">
        <f t="shared" si="1"/>
        <v>186</v>
      </c>
      <c r="D11" s="22">
        <f t="shared" si="2"/>
        <v>1.9408965689957426E-3</v>
      </c>
      <c r="F11" s="13" t="s">
        <v>55</v>
      </c>
      <c r="G11" s="36">
        <v>177</v>
      </c>
      <c r="H11" s="36">
        <v>173</v>
      </c>
      <c r="I11" s="36">
        <v>177</v>
      </c>
      <c r="J11" s="36">
        <v>169</v>
      </c>
      <c r="K11" s="36">
        <v>140</v>
      </c>
      <c r="L11" s="36">
        <v>174</v>
      </c>
      <c r="M11" s="36">
        <v>174</v>
      </c>
      <c r="N11" s="36">
        <v>175</v>
      </c>
      <c r="O11" s="39">
        <v>173</v>
      </c>
      <c r="P11" s="39">
        <v>186</v>
      </c>
      <c r="R11" s="13" t="s">
        <v>55</v>
      </c>
      <c r="S11" s="23">
        <v>186</v>
      </c>
    </row>
    <row r="12" spans="2:19" ht="19.95" customHeight="1" x14ac:dyDescent="0.3">
      <c r="B12" s="30" t="str">
        <f t="shared" si="0"/>
        <v>Gasolina de aviação</v>
      </c>
      <c r="C12" s="31">
        <f t="shared" si="1"/>
        <v>32</v>
      </c>
      <c r="D12" s="32">
        <f t="shared" si="2"/>
        <v>3.3391768928959012E-4</v>
      </c>
      <c r="F12" s="13" t="s">
        <v>56</v>
      </c>
      <c r="G12" s="36">
        <v>15424</v>
      </c>
      <c r="H12" s="36">
        <v>13880</v>
      </c>
      <c r="I12" s="36">
        <v>13848</v>
      </c>
      <c r="J12" s="36">
        <v>15718</v>
      </c>
      <c r="K12" s="36">
        <v>17492</v>
      </c>
      <c r="L12" s="36">
        <v>15337</v>
      </c>
      <c r="M12" s="36">
        <v>14865</v>
      </c>
      <c r="N12" s="36">
        <v>15155</v>
      </c>
      <c r="O12" s="39">
        <v>16105</v>
      </c>
      <c r="P12" s="39">
        <v>18622</v>
      </c>
      <c r="R12" s="13" t="s">
        <v>53</v>
      </c>
      <c r="S12" s="23">
        <v>32</v>
      </c>
    </row>
    <row r="13" spans="2:19" ht="19.95" customHeight="1" x14ac:dyDescent="0.3">
      <c r="B13" s="17" t="s">
        <v>2</v>
      </c>
      <c r="C13" s="28">
        <f>SUM(C4:C12)</f>
        <v>95832</v>
      </c>
      <c r="D13" s="29">
        <f>SUM(D4:D12)</f>
        <v>1.0000000000000002</v>
      </c>
      <c r="F13" s="16" t="s">
        <v>2</v>
      </c>
      <c r="G13" s="38">
        <f t="shared" ref="G13:P13" ca="1" si="3">SUM(G4:G13)</f>
        <v>84204</v>
      </c>
      <c r="H13" s="38">
        <f t="shared" ca="1" si="3"/>
        <v>81987</v>
      </c>
      <c r="I13" s="38">
        <f t="shared" ca="1" si="3"/>
        <v>82889</v>
      </c>
      <c r="J13" s="38">
        <f t="shared" ca="1" si="3"/>
        <v>82189</v>
      </c>
      <c r="K13" s="38">
        <f t="shared" ca="1" si="3"/>
        <v>84686</v>
      </c>
      <c r="L13" s="38">
        <f t="shared" ca="1" si="3"/>
        <v>79376</v>
      </c>
      <c r="M13" s="38">
        <f t="shared" ca="1" si="3"/>
        <v>85215</v>
      </c>
      <c r="N13" s="38">
        <f t="shared" ca="1" si="3"/>
        <v>89431</v>
      </c>
      <c r="O13" s="38">
        <f t="shared" ca="1" si="3"/>
        <v>93315</v>
      </c>
      <c r="P13" s="38">
        <f t="shared" ca="1" si="3"/>
        <v>95832</v>
      </c>
      <c r="R13" s="16"/>
    </row>
    <row r="14" spans="2:19" ht="19.95" customHeight="1" x14ac:dyDescent="0.3">
      <c r="B14" s="13"/>
      <c r="C14" s="24"/>
      <c r="D14" s="24"/>
    </row>
    <row r="15" spans="2:19" ht="19.95" customHeight="1" x14ac:dyDescent="0.3">
      <c r="B15" s="13"/>
      <c r="C15" s="24"/>
      <c r="D15" s="24"/>
      <c r="E15" s="33"/>
    </row>
    <row r="16" spans="2:19" ht="19.95" customHeight="1" x14ac:dyDescent="0.3">
      <c r="F16" s="13"/>
      <c r="G16" s="27"/>
      <c r="H16" s="27"/>
      <c r="I16" s="27"/>
      <c r="J16" s="27"/>
      <c r="K16" s="27"/>
      <c r="L16" s="27"/>
      <c r="M16" s="27"/>
      <c r="N16" s="27"/>
      <c r="O16" s="23"/>
      <c r="P16" s="23"/>
    </row>
    <row r="17" spans="2:16" s="15" customFormat="1" ht="19.95" customHeight="1" x14ac:dyDescent="0.3">
      <c r="B17" s="13"/>
      <c r="E17" s="33"/>
    </row>
    <row r="18" spans="2:16" s="15" customFormat="1" ht="19.95" customHeight="1" x14ac:dyDescent="0.3">
      <c r="B18" s="13"/>
      <c r="E18" s="12"/>
      <c r="F18" s="12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2:16" s="15" customFormat="1" ht="19.95" customHeight="1" x14ac:dyDescent="0.3">
      <c r="B19" s="13"/>
      <c r="E19" s="12"/>
      <c r="F19" s="12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2:16" s="15" customFormat="1" ht="19.95" customHeight="1" x14ac:dyDescent="0.3">
      <c r="B20" s="13"/>
      <c r="E20" s="12"/>
      <c r="F20" s="12"/>
      <c r="G20" s="14"/>
      <c r="H20" s="14"/>
      <c r="I20" s="14"/>
      <c r="J20" s="14"/>
      <c r="K20" s="14"/>
      <c r="L20" s="14"/>
      <c r="M20" s="14"/>
      <c r="N20" s="14"/>
      <c r="O20" s="14"/>
      <c r="P20" s="14"/>
    </row>
  </sheetData>
  <autoFilter ref="R3:S12" xr:uid="{638F6453-C79D-4304-B50E-5228262BAD92}">
    <sortState xmlns:xlrd2="http://schemas.microsoft.com/office/spreadsheetml/2017/richdata2" ref="R4:S12">
      <sortCondition descending="1" ref="S3:S12"/>
    </sortState>
  </autoFilter>
  <mergeCells count="2">
    <mergeCell ref="B2:C2"/>
    <mergeCell ref="F2:P2"/>
  </mergeCells>
  <conditionalFormatting sqref="B4:D12 F4:P12">
    <cfRule type="expression" dxfId="4" priority="4">
      <formula>ODD(ROW())=ROW()</formula>
    </cfRule>
  </conditionalFormatting>
  <conditionalFormatting sqref="F16:P16">
    <cfRule type="expression" dxfId="3" priority="3">
      <formula>ODD(ROW())=ROW()</formula>
    </cfRule>
  </conditionalFormatting>
  <conditionalFormatting sqref="R4:S12">
    <cfRule type="expression" dxfId="2" priority="1">
      <formula>ODD(ROW())=ROW()</formula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G3:P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6AD3-683D-4B62-A2DE-6BEE41C00B04}">
  <dimension ref="A1:AF24"/>
  <sheetViews>
    <sheetView showGridLines="0" tabSelected="1" zoomScaleNormal="100" workbookViewId="0">
      <selection activeCell="B1" sqref="B1"/>
    </sheetView>
  </sheetViews>
  <sheetFormatPr defaultColWidth="17.77734375" defaultRowHeight="19.95" customHeight="1" x14ac:dyDescent="0.3"/>
  <cols>
    <col min="1" max="1" width="8.5546875" style="42" customWidth="1"/>
    <col min="2" max="2" width="13.33203125" style="42" bestFit="1" customWidth="1"/>
    <col min="3" max="4" width="13.33203125" style="41" bestFit="1" customWidth="1"/>
    <col min="5" max="11" width="10.77734375" style="41" customWidth="1"/>
    <col min="12" max="16384" width="17.77734375" style="42"/>
  </cols>
  <sheetData>
    <row r="1" spans="1:32" s="42" customFormat="1" ht="42.6" customHeight="1" x14ac:dyDescent="0.3">
      <c r="A1" s="51" t="s">
        <v>41</v>
      </c>
      <c r="B1" s="51" t="s">
        <v>39</v>
      </c>
      <c r="C1" s="51" t="s">
        <v>40</v>
      </c>
      <c r="D1" s="51" t="s">
        <v>2</v>
      </c>
      <c r="E1" s="41"/>
      <c r="F1" s="41"/>
      <c r="G1" s="41"/>
      <c r="H1" s="41"/>
      <c r="I1" s="41"/>
      <c r="J1" s="41"/>
      <c r="K1" s="41"/>
      <c r="T1" s="52" t="s">
        <v>7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</row>
    <row r="2" spans="1:32" s="42" customFormat="1" ht="19.95" customHeight="1" x14ac:dyDescent="0.3">
      <c r="A2" s="42">
        <v>2003</v>
      </c>
      <c r="B2" s="43">
        <v>112669</v>
      </c>
      <c r="C2" s="43">
        <v>88206</v>
      </c>
      <c r="D2" s="43">
        <v>200875</v>
      </c>
      <c r="E2" s="41"/>
      <c r="F2" s="41"/>
      <c r="G2" s="41"/>
      <c r="H2" s="41"/>
      <c r="I2" s="41"/>
      <c r="J2" s="41"/>
      <c r="K2" s="41"/>
      <c r="T2" s="42" t="s">
        <v>3</v>
      </c>
      <c r="U2" s="42">
        <v>2013</v>
      </c>
      <c r="V2" s="42">
        <v>2014</v>
      </c>
      <c r="W2" s="41" t="s">
        <v>18</v>
      </c>
      <c r="X2" s="41" t="s">
        <v>19</v>
      </c>
      <c r="Y2" s="41" t="s">
        <v>20</v>
      </c>
      <c r="Z2" s="41" t="s">
        <v>21</v>
      </c>
      <c r="AA2" s="41" t="s">
        <v>22</v>
      </c>
      <c r="AB2" s="41" t="s">
        <v>23</v>
      </c>
      <c r="AC2" s="41" t="s">
        <v>24</v>
      </c>
      <c r="AD2" s="41" t="s">
        <v>25</v>
      </c>
      <c r="AE2" s="53" t="s">
        <v>34</v>
      </c>
      <c r="AF2" s="53" t="s">
        <v>35</v>
      </c>
    </row>
    <row r="3" spans="1:32" s="42" customFormat="1" ht="19.95" customHeight="1" x14ac:dyDescent="0.3">
      <c r="A3" s="42">
        <v>2004</v>
      </c>
      <c r="B3" s="43">
        <v>119348</v>
      </c>
      <c r="C3" s="43">
        <v>93642</v>
      </c>
      <c r="D3" s="43">
        <v>212990</v>
      </c>
      <c r="E3" s="41"/>
      <c r="F3" s="41"/>
      <c r="G3" s="41"/>
      <c r="H3" s="41"/>
      <c r="I3" s="41"/>
      <c r="J3" s="41"/>
      <c r="K3" s="41"/>
      <c r="T3" s="44" t="s">
        <v>39</v>
      </c>
      <c r="U3" s="44">
        <v>176166</v>
      </c>
      <c r="V3" s="44">
        <v>184724</v>
      </c>
      <c r="W3" s="45">
        <v>175879</v>
      </c>
      <c r="X3" s="45">
        <v>162787</v>
      </c>
      <c r="Y3" s="45">
        <v>166827</v>
      </c>
      <c r="Z3" s="45">
        <v>157768</v>
      </c>
      <c r="AA3" s="45">
        <v>158316</v>
      </c>
      <c r="AB3" s="45">
        <v>148591</v>
      </c>
      <c r="AC3" s="45">
        <v>166527</v>
      </c>
      <c r="AD3" s="45">
        <v>160383</v>
      </c>
      <c r="AE3" s="46">
        <v>160143</v>
      </c>
      <c r="AF3" s="46">
        <v>160979</v>
      </c>
    </row>
    <row r="4" spans="1:32" s="42" customFormat="1" ht="19.95" customHeight="1" x14ac:dyDescent="0.3">
      <c r="A4" s="47">
        <v>2005</v>
      </c>
      <c r="B4" s="48">
        <v>120619</v>
      </c>
      <c r="C4" s="48">
        <v>97317</v>
      </c>
      <c r="D4" s="48">
        <v>217936</v>
      </c>
      <c r="E4" s="41"/>
      <c r="F4" s="41"/>
      <c r="G4" s="41"/>
      <c r="H4" s="41"/>
      <c r="I4" s="41"/>
      <c r="J4" s="41"/>
      <c r="K4" s="41"/>
      <c r="T4" s="44" t="s">
        <v>40</v>
      </c>
      <c r="U4" s="44">
        <v>120640</v>
      </c>
      <c r="V4" s="44">
        <v>121391</v>
      </c>
      <c r="W4" s="45">
        <v>124521</v>
      </c>
      <c r="X4" s="45">
        <v>126488</v>
      </c>
      <c r="Y4" s="45">
        <v>127826</v>
      </c>
      <c r="Z4" s="45">
        <v>133407</v>
      </c>
      <c r="AA4" s="45">
        <v>137141</v>
      </c>
      <c r="AB4" s="45">
        <v>140923</v>
      </c>
      <c r="AC4" s="45">
        <v>137218</v>
      </c>
      <c r="AD4" s="45">
        <v>143577</v>
      </c>
      <c r="AE4" s="46">
        <v>154330</v>
      </c>
      <c r="AF4" s="46">
        <v>161012</v>
      </c>
    </row>
    <row r="5" spans="1:32" s="42" customFormat="1" ht="19.95" customHeight="1" x14ac:dyDescent="0.3">
      <c r="A5" s="47">
        <v>2006</v>
      </c>
      <c r="B5" s="48">
        <v>123737</v>
      </c>
      <c r="C5" s="48">
        <v>101884</v>
      </c>
      <c r="D5" s="48">
        <v>225621</v>
      </c>
      <c r="E5" s="41"/>
      <c r="F5" s="41"/>
      <c r="G5" s="41"/>
      <c r="H5" s="41"/>
      <c r="I5" s="41"/>
      <c r="J5" s="41"/>
      <c r="K5" s="41"/>
      <c r="T5" s="42" t="s">
        <v>6</v>
      </c>
      <c r="U5" s="42">
        <v>296806</v>
      </c>
      <c r="V5" s="42">
        <v>306115</v>
      </c>
      <c r="W5" s="49">
        <v>300400</v>
      </c>
      <c r="X5" s="49">
        <v>289276</v>
      </c>
      <c r="Y5" s="49">
        <v>294654</v>
      </c>
      <c r="Z5" s="49">
        <v>291175</v>
      </c>
      <c r="AA5" s="49">
        <v>295456</v>
      </c>
      <c r="AB5" s="49">
        <v>289514</v>
      </c>
      <c r="AC5" s="49">
        <v>303744</v>
      </c>
      <c r="AD5" s="49">
        <v>303960</v>
      </c>
      <c r="AE5" s="49">
        <v>314472</v>
      </c>
      <c r="AF5" s="49">
        <v>321991</v>
      </c>
    </row>
    <row r="6" spans="1:32" s="42" customFormat="1" ht="19.95" customHeight="1" x14ac:dyDescent="0.3">
      <c r="A6" s="47">
        <v>2007</v>
      </c>
      <c r="B6" s="48">
        <v>128321</v>
      </c>
      <c r="C6" s="48">
        <v>109690</v>
      </c>
      <c r="D6" s="48">
        <v>238011</v>
      </c>
      <c r="E6" s="45"/>
      <c r="F6" s="45"/>
      <c r="G6" s="41"/>
      <c r="H6" s="41"/>
      <c r="I6" s="41"/>
      <c r="J6" s="41"/>
      <c r="K6" s="46"/>
    </row>
    <row r="7" spans="1:32" s="42" customFormat="1" ht="19.95" customHeight="1" x14ac:dyDescent="0.3">
      <c r="A7" s="47">
        <v>2008</v>
      </c>
      <c r="B7" s="48">
        <v>135822</v>
      </c>
      <c r="C7" s="48">
        <v>116037</v>
      </c>
      <c r="D7" s="48">
        <v>251860</v>
      </c>
      <c r="E7" s="45"/>
      <c r="F7" s="45"/>
      <c r="G7" s="41"/>
      <c r="H7" s="41"/>
      <c r="I7" s="41"/>
      <c r="J7" s="41"/>
      <c r="K7" s="46"/>
    </row>
    <row r="8" spans="1:32" s="42" customFormat="1" ht="19.95" customHeight="1" x14ac:dyDescent="0.3">
      <c r="A8" s="42">
        <v>2009</v>
      </c>
      <c r="B8" s="43">
        <v>128136</v>
      </c>
      <c r="C8" s="43">
        <v>115074</v>
      </c>
      <c r="D8" s="43">
        <v>243209</v>
      </c>
      <c r="E8" s="45"/>
      <c r="F8" s="45"/>
      <c r="G8" s="41"/>
      <c r="H8" s="41"/>
      <c r="I8" s="41"/>
      <c r="J8" s="41"/>
      <c r="K8" s="46"/>
    </row>
    <row r="9" spans="1:32" s="42" customFormat="1" ht="19.95" customHeight="1" x14ac:dyDescent="0.3">
      <c r="A9" s="42">
        <v>2010</v>
      </c>
      <c r="B9" s="43">
        <v>147569</v>
      </c>
      <c r="C9" s="43">
        <v>121203</v>
      </c>
      <c r="D9" s="43">
        <v>268771</v>
      </c>
      <c r="E9" s="45"/>
      <c r="F9" s="45"/>
      <c r="G9" s="41"/>
      <c r="H9" s="41"/>
      <c r="I9" s="41"/>
      <c r="J9" s="41"/>
      <c r="K9" s="46"/>
    </row>
    <row r="10" spans="1:32" s="42" customFormat="1" ht="19.95" customHeight="1" x14ac:dyDescent="0.3">
      <c r="A10" s="42">
        <v>2011</v>
      </c>
      <c r="B10" s="43">
        <v>152529</v>
      </c>
      <c r="C10" s="43">
        <v>119809</v>
      </c>
      <c r="D10" s="43">
        <v>272338</v>
      </c>
      <c r="E10" s="45"/>
      <c r="F10" s="45"/>
      <c r="G10" s="41"/>
      <c r="H10" s="41"/>
      <c r="I10" s="41"/>
      <c r="J10" s="41"/>
      <c r="K10" s="46"/>
    </row>
    <row r="11" spans="1:32" s="42" customFormat="1" ht="19.95" customHeight="1" x14ac:dyDescent="0.3">
      <c r="A11" s="42">
        <v>2012</v>
      </c>
      <c r="B11" s="43">
        <v>163365</v>
      </c>
      <c r="C11" s="43">
        <v>120242</v>
      </c>
      <c r="D11" s="43">
        <v>283607</v>
      </c>
      <c r="E11" s="45"/>
      <c r="F11" s="45"/>
      <c r="K11" s="46"/>
    </row>
    <row r="12" spans="1:32" s="42" customFormat="1" ht="19.95" customHeight="1" x14ac:dyDescent="0.3">
      <c r="A12" s="49">
        <v>2013</v>
      </c>
      <c r="B12" s="43">
        <v>176166</v>
      </c>
      <c r="C12" s="43">
        <v>120640</v>
      </c>
      <c r="D12" s="43">
        <v>296806</v>
      </c>
      <c r="E12" s="45"/>
      <c r="F12" s="45"/>
      <c r="K12" s="46"/>
    </row>
    <row r="13" spans="1:32" s="42" customFormat="1" ht="19.95" customHeight="1" x14ac:dyDescent="0.3">
      <c r="A13" s="49">
        <v>2014</v>
      </c>
      <c r="B13" s="43">
        <v>184724</v>
      </c>
      <c r="C13" s="43">
        <v>121391</v>
      </c>
      <c r="D13" s="43">
        <v>306115</v>
      </c>
      <c r="E13" s="45"/>
      <c r="F13" s="45"/>
      <c r="K13" s="46"/>
    </row>
    <row r="14" spans="1:32" s="42" customFormat="1" ht="19.95" customHeight="1" x14ac:dyDescent="0.3">
      <c r="A14" s="42">
        <v>2015</v>
      </c>
      <c r="B14" s="43">
        <v>175879</v>
      </c>
      <c r="C14" s="43">
        <v>124521</v>
      </c>
      <c r="D14" s="43">
        <v>300400</v>
      </c>
      <c r="E14" s="45"/>
      <c r="F14" s="45"/>
      <c r="K14" s="46"/>
    </row>
    <row r="15" spans="1:32" s="42" customFormat="1" ht="19.95" customHeight="1" x14ac:dyDescent="0.3">
      <c r="A15" s="42">
        <v>2016</v>
      </c>
      <c r="B15" s="43">
        <v>162787</v>
      </c>
      <c r="C15" s="43">
        <v>126488</v>
      </c>
      <c r="D15" s="43">
        <v>289276</v>
      </c>
      <c r="E15" s="45"/>
      <c r="F15" s="45"/>
      <c r="K15" s="46"/>
    </row>
    <row r="16" spans="1:32" s="50" customFormat="1" ht="19.95" customHeight="1" x14ac:dyDescent="0.3">
      <c r="A16" s="42">
        <v>2017</v>
      </c>
      <c r="B16" s="43">
        <v>166827</v>
      </c>
      <c r="C16" s="43">
        <v>127826</v>
      </c>
      <c r="D16" s="43">
        <v>294654</v>
      </c>
      <c r="E16" s="49"/>
      <c r="F16" s="49"/>
      <c r="G16" s="49"/>
      <c r="H16" s="49"/>
      <c r="I16" s="49"/>
      <c r="J16" s="49"/>
      <c r="K16" s="49"/>
    </row>
    <row r="17" spans="1:11" s="50" customFormat="1" ht="19.95" customHeight="1" x14ac:dyDescent="0.3">
      <c r="A17" s="42">
        <v>2018</v>
      </c>
      <c r="B17" s="43">
        <v>157768</v>
      </c>
      <c r="C17" s="43">
        <v>133407</v>
      </c>
      <c r="D17" s="43">
        <v>291175</v>
      </c>
      <c r="E17" s="41"/>
      <c r="F17" s="41"/>
      <c r="G17" s="41"/>
      <c r="H17" s="41"/>
      <c r="I17" s="41"/>
      <c r="J17" s="41"/>
      <c r="K17" s="41"/>
    </row>
    <row r="18" spans="1:11" s="50" customFormat="1" ht="19.95" customHeight="1" x14ac:dyDescent="0.3">
      <c r="A18" s="42">
        <v>2019</v>
      </c>
      <c r="B18" s="43">
        <v>158316</v>
      </c>
      <c r="C18" s="43">
        <v>137141</v>
      </c>
      <c r="D18" s="43">
        <v>295456</v>
      </c>
      <c r="E18" s="41"/>
      <c r="F18" s="41"/>
      <c r="G18" s="41"/>
      <c r="H18" s="41"/>
      <c r="I18" s="41"/>
      <c r="J18" s="41"/>
      <c r="K18" s="41"/>
    </row>
    <row r="19" spans="1:11" s="50" customFormat="1" ht="19.95" customHeight="1" x14ac:dyDescent="0.3">
      <c r="A19" s="42">
        <v>2020</v>
      </c>
      <c r="B19" s="43">
        <v>148591</v>
      </c>
      <c r="C19" s="43">
        <v>140923</v>
      </c>
      <c r="D19" s="43">
        <v>289514</v>
      </c>
      <c r="E19" s="41"/>
      <c r="F19" s="41"/>
      <c r="G19" s="41"/>
      <c r="H19" s="41"/>
      <c r="I19" s="41"/>
      <c r="J19" s="41"/>
      <c r="K19" s="41"/>
    </row>
    <row r="20" spans="1:11" s="42" customFormat="1" ht="19.95" customHeight="1" x14ac:dyDescent="0.3">
      <c r="A20" s="42">
        <v>2021</v>
      </c>
      <c r="B20" s="43">
        <v>166527</v>
      </c>
      <c r="C20" s="43">
        <v>137218</v>
      </c>
      <c r="D20" s="43">
        <v>303744</v>
      </c>
      <c r="E20" s="41"/>
      <c r="F20" s="41"/>
      <c r="G20" s="41"/>
      <c r="H20" s="41"/>
      <c r="I20" s="41"/>
      <c r="J20" s="41"/>
      <c r="K20" s="41"/>
    </row>
    <row r="21" spans="1:11" s="42" customFormat="1" ht="19.95" customHeight="1" x14ac:dyDescent="0.3">
      <c r="A21" s="42">
        <v>2022</v>
      </c>
      <c r="B21" s="43">
        <v>160383</v>
      </c>
      <c r="C21" s="43">
        <v>143577</v>
      </c>
      <c r="D21" s="43">
        <v>303960</v>
      </c>
      <c r="E21" s="41"/>
      <c r="F21" s="41"/>
      <c r="G21" s="41"/>
      <c r="H21" s="41"/>
      <c r="I21" s="41"/>
      <c r="J21" s="41"/>
      <c r="K21" s="41"/>
    </row>
    <row r="22" spans="1:11" s="42" customFormat="1" ht="19.95" customHeight="1" x14ac:dyDescent="0.3">
      <c r="A22" s="47">
        <v>2023</v>
      </c>
      <c r="B22" s="48">
        <v>160143</v>
      </c>
      <c r="C22" s="48">
        <v>154330</v>
      </c>
      <c r="D22" s="43">
        <v>314472</v>
      </c>
      <c r="E22" s="41"/>
      <c r="F22" s="41"/>
      <c r="G22" s="41"/>
      <c r="H22" s="41"/>
      <c r="I22" s="41"/>
      <c r="J22" s="41"/>
      <c r="K22" s="41"/>
    </row>
    <row r="23" spans="1:11" s="42" customFormat="1" ht="19.95" customHeight="1" x14ac:dyDescent="0.3">
      <c r="A23" s="47">
        <v>2024</v>
      </c>
      <c r="B23" s="48">
        <v>160979</v>
      </c>
      <c r="C23" s="48">
        <v>161012</v>
      </c>
      <c r="D23" s="43">
        <v>321991</v>
      </c>
      <c r="E23" s="41"/>
      <c r="F23" s="41"/>
      <c r="G23" s="41"/>
      <c r="H23" s="41"/>
      <c r="I23" s="41"/>
      <c r="J23" s="41"/>
      <c r="K23" s="41"/>
    </row>
    <row r="24" spans="1:11" s="42" customFormat="1" ht="19.95" customHeight="1" x14ac:dyDescent="0.3">
      <c r="C24" s="41"/>
      <c r="D24" s="41"/>
      <c r="E24" s="41"/>
      <c r="F24" s="41"/>
      <c r="G24" s="41"/>
      <c r="H24" s="41"/>
      <c r="I24" s="41"/>
      <c r="J24" s="41"/>
      <c r="K24" s="41"/>
    </row>
  </sheetData>
  <mergeCells count="1">
    <mergeCell ref="T1:AF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Oferta Interna de Energia</vt:lpstr>
      <vt:lpstr>Oferta por Fonte</vt:lpstr>
      <vt:lpstr>Emissões Totais</vt:lpstr>
      <vt:lpstr>Emissões Setor Transporte</vt:lpstr>
      <vt:lpstr>Renovável vs Não Renovável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Nogueira</dc:creator>
  <cp:lastModifiedBy>Guilherme Nogueira</cp:lastModifiedBy>
  <dcterms:created xsi:type="dcterms:W3CDTF">2015-06-05T18:19:34Z</dcterms:created>
  <dcterms:modified xsi:type="dcterms:W3CDTF">2026-01-19T21:44:47Z</dcterms:modified>
</cp:coreProperties>
</file>