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graphs/"/>
    </mc:Choice>
  </mc:AlternateContent>
  <xr:revisionPtr revIDLastSave="124" documentId="13_ncr:1_{6C151B24-4335-4B2A-852F-E83AE2AB3691}" xr6:coauthVersionLast="47" xr6:coauthVersionMax="47" xr10:uidLastSave="{292CA889-25FB-4724-AD95-5BB2D00D390E}"/>
  <bookViews>
    <workbookView xWindow="-108" yWindow="-108" windowWidth="23256" windowHeight="12456" activeTab="4" xr2:uid="{00000000-000D-0000-FFFF-FFFF00000000}"/>
  </bookViews>
  <sheets>
    <sheet name="Figura 1" sheetId="9" r:id="rId1"/>
    <sheet name="Figura 2" sheetId="10" r:id="rId2"/>
    <sheet name="Figura 3" sheetId="11" r:id="rId3"/>
    <sheet name="Figura 4" sheetId="8" r:id="rId4"/>
    <sheet name="Figura 5" sheetId="4" r:id="rId5"/>
  </sheets>
  <definedNames>
    <definedName name="_xlnm._FilterDatabase" localSheetId="0" hidden="1">'Figura 1'!$A$2:$B$13</definedName>
    <definedName name="_xlnm._FilterDatabase" localSheetId="1" hidden="1">'Figura 2'!$A$2:$A$13</definedName>
    <definedName name="_xlnm._FilterDatabase" localSheetId="2" hidden="1">'Figura 3'!$A$2:$A$12</definedName>
    <definedName name="_xlnm._FilterDatabase" localSheetId="3" hidden="1">'Figura 4'!$A$2:$B$11</definedName>
    <definedName name="_xlnm._FilterDatabase" localSheetId="4" hidden="1">'Figura 5'!$A$1:$D$23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1" l="1"/>
  <c r="C5" i="11"/>
  <c r="C4" i="11"/>
  <c r="C3" i="11"/>
  <c r="C7" i="11"/>
  <c r="B7" i="11"/>
  <c r="B15" i="10"/>
  <c r="C14" i="9"/>
  <c r="C4" i="9"/>
  <c r="C5" i="9"/>
  <c r="C6" i="9"/>
  <c r="C7" i="9"/>
  <c r="C8" i="9"/>
  <c r="C9" i="9"/>
  <c r="C10" i="9"/>
  <c r="C11" i="9"/>
  <c r="C12" i="9"/>
  <c r="C13" i="9"/>
  <c r="C3" i="9"/>
  <c r="B14" i="9"/>
  <c r="B12" i="8"/>
  <c r="C3" i="8" l="1"/>
  <c r="C9" i="8" l="1"/>
  <c r="C4" i="8"/>
  <c r="C7" i="8"/>
  <c r="C6" i="8"/>
  <c r="C11" i="8"/>
  <c r="C8" i="8"/>
  <c r="C10" i="8"/>
  <c r="C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 Nogueira</author>
  </authors>
  <commentList>
    <comment ref="A8" authorId="0" shapeId="0" xr:uid="{BA204E80-1BC1-4409-B658-3D4261D2F3E9}">
      <text>
        <r>
          <rPr>
            <b/>
            <sz val="9"/>
            <color indexed="81"/>
            <rFont val="Segoe UI"/>
            <family val="2"/>
          </rPr>
          <t>Inclui Lenha, Biodiesel e Outras renováveis / Includes Firewood, Biodiesel and Other Renewables</t>
        </r>
      </text>
    </comment>
    <comment ref="A14" authorId="0" shapeId="0" xr:uid="{CBE8CEA8-A1E4-4FBE-A45C-8B664159912A}">
      <text>
        <r>
          <rPr>
            <b/>
            <sz val="9"/>
            <color indexed="81"/>
            <rFont val="Segoe UI"/>
            <family val="2"/>
          </rPr>
          <t>Inclui Óleo Combustível, Gás de Coqueria, Outras Secundárias e Outras Não-Renováveis/ Includes Fuel Oil, Coke Oven Gas, Other Secondaries and Other Non-Renewables</t>
        </r>
      </text>
    </comment>
  </commentList>
</comments>
</file>

<file path=xl/sharedStrings.xml><?xml version="1.0" encoding="utf-8"?>
<sst xmlns="http://schemas.openxmlformats.org/spreadsheetml/2006/main" count="75" uniqueCount="54">
  <si>
    <t>Fonte</t>
  </si>
  <si>
    <t>Eólica</t>
  </si>
  <si>
    <t>Total</t>
  </si>
  <si>
    <t>FONTES</t>
  </si>
  <si>
    <t>TOTAL</t>
  </si>
  <si>
    <t>Tabela 1.3.a – Oferta Interna de Energia</t>
  </si>
  <si>
    <t>Figura 1 - Oferta Interna de Energia Elétrica por Fonte</t>
  </si>
  <si>
    <t>Participação</t>
  </si>
  <si>
    <t>Nuclear</t>
  </si>
  <si>
    <t>Hidráulica</t>
  </si>
  <si>
    <t>Solar</t>
  </si>
  <si>
    <t>Bagaço de cana</t>
  </si>
  <si>
    <t>Importação líquida</t>
  </si>
  <si>
    <t>Gás natural</t>
  </si>
  <si>
    <t>Carvão vapor</t>
  </si>
  <si>
    <t>Óleo diesel</t>
  </si>
  <si>
    <t>2015</t>
  </si>
  <si>
    <t>2016</t>
  </si>
  <si>
    <t>2017</t>
  </si>
  <si>
    <t>2018</t>
  </si>
  <si>
    <t>2019</t>
  </si>
  <si>
    <t>2020</t>
  </si>
  <si>
    <t>2021</t>
  </si>
  <si>
    <t>2022</t>
  </si>
  <si>
    <t>Petróleo e derivados</t>
  </si>
  <si>
    <t>Carvão mineral e coque</t>
  </si>
  <si>
    <t>Outras não renováveis</t>
  </si>
  <si>
    <t>Lenha e carvão vegetal</t>
  </si>
  <si>
    <t>Derivados da cana-de-açúcar</t>
  </si>
  <si>
    <t>Outras renováveis</t>
  </si>
  <si>
    <t>Urânio (U3O8)</t>
  </si>
  <si>
    <t>2023</t>
  </si>
  <si>
    <t>2024</t>
  </si>
  <si>
    <t>Licor preto (lixívia)</t>
  </si>
  <si>
    <t>Outras não renováveis*</t>
  </si>
  <si>
    <t>Outras renováveis**</t>
  </si>
  <si>
    <t>Energia Não Renovável</t>
  </si>
  <si>
    <t>Energia Renovável</t>
  </si>
  <si>
    <t>Ano</t>
  </si>
  <si>
    <t>Transportes</t>
  </si>
  <si>
    <t>Indústrias</t>
  </si>
  <si>
    <t>Residências</t>
  </si>
  <si>
    <t>*¹ Inclui os setores Agropecuário, Serviços, Energético, Centrais Elétricas e as Emissões Fugitivas</t>
  </si>
  <si>
    <t>Outros setores*</t>
  </si>
  <si>
    <t>%</t>
  </si>
  <si>
    <t>Tabela 3.6.a – Setor Transportes</t>
  </si>
  <si>
    <t>Biodiesel</t>
  </si>
  <si>
    <t>Óleo combustível</t>
  </si>
  <si>
    <t>Gasolina automotiva</t>
  </si>
  <si>
    <t>Gasolina de aviação</t>
  </si>
  <si>
    <t>Querosene</t>
  </si>
  <si>
    <t>Eletricidade</t>
  </si>
  <si>
    <t>Álcool etílico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</si>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</sst>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C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0" fontId="3" fillId="0" borderId="0" xfId="1" applyNumberFormat="1" applyFont="1" applyFill="1" applyAlignment="1">
      <alignment horizontal="center" vertical="center"/>
    </xf>
    <xf numFmtId="2" fontId="3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right" vertical="center"/>
    </xf>
    <xf numFmtId="164" fontId="3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9" fontId="4" fillId="0" borderId="0" xfId="1" applyFont="1" applyFill="1" applyAlignment="1">
      <alignment horizontal="center" vertical="center"/>
    </xf>
    <xf numFmtId="3" fontId="4" fillId="0" borderId="0" xfId="1" applyNumberFormat="1" applyFont="1" applyFill="1" applyAlignment="1">
      <alignment horizontal="right" vertical="center"/>
    </xf>
    <xf numFmtId="4" fontId="4" fillId="0" borderId="0" xfId="1" applyNumberFormat="1" applyFont="1" applyFill="1" applyAlignment="1">
      <alignment horizontal="right" vertical="center"/>
    </xf>
    <xf numFmtId="4" fontId="3" fillId="0" borderId="0" xfId="1" applyNumberFormat="1" applyFont="1" applyFill="1" applyAlignment="1">
      <alignment horizontal="right" vertical="center"/>
    </xf>
    <xf numFmtId="4" fontId="3" fillId="0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4" fontId="5" fillId="0" borderId="0" xfId="1" applyNumberFormat="1" applyFont="1" applyFill="1" applyAlignment="1">
      <alignment horizontal="right" vertical="center"/>
    </xf>
    <xf numFmtId="4" fontId="4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0" fontId="7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5">
    <dxf>
      <font>
        <b val="0"/>
        <i val="0"/>
      </font>
      <fill>
        <patternFill>
          <bgColor theme="4"/>
        </patternFill>
      </fill>
    </dxf>
    <dxf>
      <font>
        <b/>
        <i val="0"/>
        <color theme="0"/>
      </font>
      <fill>
        <patternFill patternType="solid">
          <fgColor theme="0"/>
          <bgColor theme="3"/>
        </patternFill>
      </fill>
    </dxf>
    <dxf>
      <fill>
        <patternFill>
          <bgColor theme="4"/>
        </patternFill>
      </fill>
    </dxf>
    <dxf>
      <font>
        <b/>
        <i val="0"/>
        <color theme="0"/>
      </font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ela 1" pivot="0" count="3" xr9:uid="{EC5518E8-8BDC-45F8-9780-CD89E23993F7}">
      <tableStyleElement type="wholeTable" dxfId="4"/>
      <tableStyleElement type="headerRow" dxfId="3"/>
      <tableStyleElement type="secondRowStripe" dxfId="2"/>
    </tableStyle>
    <tableStyle name="Estilo de Tabela 2" pivot="0" count="2" xr9:uid="{4E17C47F-A32B-445E-ACA7-D03EF307FA63}">
      <tableStyleElement type="headerRow" dxfId="1"/>
      <tableStyleElement type="secondRowStripe" dxfId="0"/>
    </tableStyle>
  </tableStyles>
  <colors>
    <mruColors>
      <color rgb="FFE06666"/>
      <color rgb="FFF9DFDF"/>
      <color rgb="FF4F93D0"/>
      <color rgb="FF4D3A7C"/>
      <color rgb="FF9CC2E5"/>
      <color rgb="FF57BB8A"/>
      <color rgb="FFF1C232"/>
      <color rgb="FF674EA7"/>
      <color rgb="FFD5E4CF"/>
      <color rgb="FF106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Personalizada 5">
      <a:dk1>
        <a:sysClr val="windowText" lastClr="000000"/>
      </a:dk1>
      <a:lt1>
        <a:sysClr val="window" lastClr="FFFFFF"/>
      </a:lt1>
      <a:dk2>
        <a:srgbClr val="106D75"/>
      </a:dk2>
      <a:lt2>
        <a:srgbClr val="57BB8A"/>
      </a:lt2>
      <a:accent1>
        <a:srgbClr val="D5E4CF"/>
      </a:accent1>
      <a:accent2>
        <a:srgbClr val="9CC2E5"/>
      </a:accent2>
      <a:accent3>
        <a:srgbClr val="CDCDCC"/>
      </a:accent3>
      <a:accent4>
        <a:srgbClr val="F1C232"/>
      </a:accent4>
      <a:accent5>
        <a:srgbClr val="674EA7"/>
      </a:accent5>
      <a:accent6>
        <a:srgbClr val="E06666"/>
      </a:accent6>
      <a:hlink>
        <a:srgbClr val="674EA7"/>
      </a:hlink>
      <a:folHlink>
        <a:srgbClr val="E06666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1078-7C47-434B-A8A0-2B7A116F0434}">
  <dimension ref="A1:F20"/>
  <sheetViews>
    <sheetView showGridLines="0" zoomScale="105" zoomScaleNormal="130" workbookViewId="0">
      <selection activeCell="C16" sqref="C16"/>
    </sheetView>
  </sheetViews>
  <sheetFormatPr defaultColWidth="17.77734375" defaultRowHeight="19.95" customHeight="1" x14ac:dyDescent="0.3"/>
  <cols>
    <col min="1" max="1" width="21.5546875" style="2" customWidth="1"/>
    <col min="2" max="2" width="16.77734375" style="23" customWidth="1"/>
    <col min="3" max="3" width="16.77734375" style="10" customWidth="1"/>
    <col min="4" max="16384" width="17.77734375" style="2"/>
  </cols>
  <sheetData>
    <row r="1" spans="1:6" ht="42.6" customHeight="1" x14ac:dyDescent="0.3">
      <c r="A1" s="33" t="s">
        <v>5</v>
      </c>
      <c r="B1" s="33"/>
      <c r="C1" s="33"/>
    </row>
    <row r="2" spans="1:6" ht="19.95" customHeight="1" x14ac:dyDescent="0.3">
      <c r="A2" s="12" t="s">
        <v>0</v>
      </c>
      <c r="B2" s="12" t="s">
        <v>53</v>
      </c>
      <c r="C2" s="12" t="s">
        <v>7</v>
      </c>
    </row>
    <row r="3" spans="1:6" ht="19.95" customHeight="1" x14ac:dyDescent="0.3">
      <c r="A3" s="24" t="s">
        <v>24</v>
      </c>
      <c r="B3" s="25">
        <v>109586</v>
      </c>
      <c r="C3" s="10">
        <f>B3/$B$14</f>
        <v>0.3403387051190872</v>
      </c>
      <c r="E3" s="13"/>
      <c r="F3" s="15"/>
    </row>
    <row r="4" spans="1:6" ht="19.95" customHeight="1" x14ac:dyDescent="0.3">
      <c r="A4" s="4" t="s">
        <v>28</v>
      </c>
      <c r="B4" s="22">
        <v>53715</v>
      </c>
      <c r="C4" s="10">
        <f t="shared" ref="C4:C13" si="0">B4/$B$14</f>
        <v>0.16682143289719278</v>
      </c>
      <c r="E4" s="4"/>
      <c r="F4" s="8"/>
    </row>
    <row r="5" spans="1:6" ht="19.95" customHeight="1" x14ac:dyDescent="0.3">
      <c r="A5" s="4" t="s">
        <v>9</v>
      </c>
      <c r="B5" s="22">
        <v>37271</v>
      </c>
      <c r="C5" s="10">
        <f t="shared" si="0"/>
        <v>0.11575168250044256</v>
      </c>
      <c r="E5" s="4"/>
      <c r="F5" s="8"/>
    </row>
    <row r="6" spans="1:6" ht="19.95" customHeight="1" x14ac:dyDescent="0.3">
      <c r="A6" s="24" t="s">
        <v>13</v>
      </c>
      <c r="B6" s="25">
        <v>30970</v>
      </c>
      <c r="C6" s="10">
        <f t="shared" si="0"/>
        <v>9.6182812563084058E-2</v>
      </c>
      <c r="E6" s="4"/>
      <c r="F6" s="8"/>
    </row>
    <row r="7" spans="1:6" ht="19.95" customHeight="1" x14ac:dyDescent="0.3">
      <c r="A7" s="4" t="s">
        <v>27</v>
      </c>
      <c r="B7" s="22">
        <v>27372</v>
      </c>
      <c r="C7" s="10">
        <f t="shared" si="0"/>
        <v>8.5008587196536547E-2</v>
      </c>
      <c r="E7" s="4"/>
      <c r="F7" s="8"/>
    </row>
    <row r="8" spans="1:6" ht="19.95" customHeight="1" x14ac:dyDescent="0.3">
      <c r="A8" s="4" t="s">
        <v>29</v>
      </c>
      <c r="B8" s="22">
        <v>26167</v>
      </c>
      <c r="C8" s="10">
        <f t="shared" si="0"/>
        <v>8.1266246572109152E-2</v>
      </c>
      <c r="E8" s="4"/>
      <c r="F8" s="8"/>
    </row>
    <row r="9" spans="1:6" ht="19.95" customHeight="1" x14ac:dyDescent="0.3">
      <c r="A9" s="24" t="s">
        <v>25</v>
      </c>
      <c r="B9" s="25">
        <v>14431</v>
      </c>
      <c r="C9" s="10">
        <f t="shared" si="0"/>
        <v>4.4818022863993091E-2</v>
      </c>
      <c r="E9" s="4"/>
      <c r="F9" s="8"/>
    </row>
    <row r="10" spans="1:6" ht="19.95" customHeight="1" x14ac:dyDescent="0.3">
      <c r="A10" s="4" t="s">
        <v>1</v>
      </c>
      <c r="B10" s="22">
        <v>9258</v>
      </c>
      <c r="C10" s="10">
        <f t="shared" si="0"/>
        <v>2.8752356432322643E-2</v>
      </c>
      <c r="E10" s="4"/>
      <c r="F10" s="8"/>
    </row>
    <row r="11" spans="1:6" ht="19.95" customHeight="1" x14ac:dyDescent="0.3">
      <c r="A11" s="4" t="s">
        <v>10</v>
      </c>
      <c r="B11" s="22">
        <v>7229</v>
      </c>
      <c r="C11" s="10">
        <f t="shared" si="0"/>
        <v>2.2450938069697599E-2</v>
      </c>
      <c r="E11" s="4"/>
      <c r="F11" s="8"/>
    </row>
    <row r="12" spans="1:6" ht="19.95" customHeight="1" x14ac:dyDescent="0.3">
      <c r="A12" s="24" t="s">
        <v>30</v>
      </c>
      <c r="B12" s="25">
        <v>4156</v>
      </c>
      <c r="C12" s="10">
        <f t="shared" si="0"/>
        <v>1.2907193058191067E-2</v>
      </c>
      <c r="E12" s="4"/>
      <c r="F12" s="8"/>
    </row>
    <row r="13" spans="1:6" ht="19.95" customHeight="1" x14ac:dyDescent="0.3">
      <c r="A13" s="24" t="s">
        <v>26</v>
      </c>
      <c r="B13" s="25">
        <v>1836</v>
      </c>
      <c r="C13" s="10">
        <f t="shared" si="0"/>
        <v>5.7020227273433107E-3</v>
      </c>
      <c r="E13" s="13"/>
    </row>
    <row r="14" spans="1:6" ht="19.95" customHeight="1" x14ac:dyDescent="0.3">
      <c r="A14" s="18" t="s">
        <v>2</v>
      </c>
      <c r="B14" s="21">
        <f>SUM(B3:B13)</f>
        <v>321991</v>
      </c>
      <c r="C14" s="26">
        <f>SUM(C3:C13)</f>
        <v>1</v>
      </c>
    </row>
    <row r="15" spans="1:6" ht="19.95" customHeight="1" x14ac:dyDescent="0.3">
      <c r="A15" s="4"/>
      <c r="C15" s="8"/>
    </row>
    <row r="17" spans="1:2" s="10" customFormat="1" ht="19.95" customHeight="1" x14ac:dyDescent="0.3">
      <c r="A17" s="4"/>
      <c r="B17" s="23"/>
    </row>
    <row r="18" spans="1:2" s="10" customFormat="1" ht="19.95" customHeight="1" x14ac:dyDescent="0.3">
      <c r="A18" s="4"/>
      <c r="B18" s="23"/>
    </row>
    <row r="19" spans="1:2" s="10" customFormat="1" ht="19.95" customHeight="1" x14ac:dyDescent="0.3">
      <c r="A19" s="4"/>
      <c r="B19" s="23"/>
    </row>
    <row r="20" spans="1:2" s="10" customFormat="1" ht="19.95" customHeight="1" x14ac:dyDescent="0.3">
      <c r="A20" s="4"/>
      <c r="B20" s="23"/>
    </row>
  </sheetData>
  <autoFilter ref="A2:B13" xr:uid="{2CF31078-7C47-434B-A8A0-2B7A116F0434}">
    <sortState xmlns:xlrd2="http://schemas.microsoft.com/office/spreadsheetml/2017/richdata2" ref="A3:B13">
      <sortCondition descending="1" ref="B2:B13"/>
    </sortState>
  </autoFilter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7127-D235-440F-AE71-F170337C1B83}">
  <dimension ref="A1:E20"/>
  <sheetViews>
    <sheetView showGridLines="0" zoomScale="105" zoomScaleNormal="130" workbookViewId="0">
      <selection activeCell="C10" sqref="C10:D10"/>
    </sheetView>
  </sheetViews>
  <sheetFormatPr defaultColWidth="17.77734375" defaultRowHeight="19.95" customHeight="1" x14ac:dyDescent="0.3"/>
  <cols>
    <col min="1" max="1" width="21.5546875" style="2" customWidth="1"/>
    <col min="2" max="2" width="16.77734375" style="10" customWidth="1"/>
    <col min="3" max="16384" width="17.77734375" style="2"/>
  </cols>
  <sheetData>
    <row r="1" spans="1:5" ht="42.6" customHeight="1" x14ac:dyDescent="0.3">
      <c r="A1" s="33" t="s">
        <v>6</v>
      </c>
      <c r="B1" s="33"/>
    </row>
    <row r="2" spans="1:5" ht="19.95" customHeight="1" x14ac:dyDescent="0.3">
      <c r="A2" s="13" t="s">
        <v>0</v>
      </c>
      <c r="B2" s="14" t="s">
        <v>7</v>
      </c>
    </row>
    <row r="3" spans="1:5" ht="19.95" customHeight="1" x14ac:dyDescent="0.3">
      <c r="A3" s="4" t="s">
        <v>9</v>
      </c>
      <c r="B3" s="27">
        <v>0.55299999999999994</v>
      </c>
      <c r="D3" s="13"/>
      <c r="E3" s="15"/>
    </row>
    <row r="4" spans="1:5" ht="19.95" customHeight="1" x14ac:dyDescent="0.3">
      <c r="A4" s="4" t="s">
        <v>1</v>
      </c>
      <c r="B4" s="27">
        <v>0.14099999999999999</v>
      </c>
      <c r="D4" s="4"/>
      <c r="E4" s="8"/>
    </row>
    <row r="5" spans="1:5" ht="19.95" customHeight="1" x14ac:dyDescent="0.3">
      <c r="A5" s="4" t="s">
        <v>10</v>
      </c>
      <c r="B5" s="27">
        <v>9.3000000000000013E-2</v>
      </c>
      <c r="D5" s="4"/>
      <c r="E5" s="8"/>
    </row>
    <row r="6" spans="1:5" ht="19.95" customHeight="1" x14ac:dyDescent="0.3">
      <c r="A6" s="4" t="s">
        <v>13</v>
      </c>
      <c r="B6" s="27">
        <v>6.3E-2</v>
      </c>
      <c r="D6" s="4"/>
      <c r="E6" s="8"/>
    </row>
    <row r="7" spans="1:5" ht="19.95" customHeight="1" x14ac:dyDescent="0.3">
      <c r="A7" s="24" t="s">
        <v>11</v>
      </c>
      <c r="B7" s="30">
        <v>4.9000000000000002E-2</v>
      </c>
      <c r="D7" s="4"/>
      <c r="E7" s="8"/>
    </row>
    <row r="8" spans="1:5" ht="19.95" customHeight="1" x14ac:dyDescent="0.3">
      <c r="A8" s="24" t="s">
        <v>33</v>
      </c>
      <c r="B8" s="30">
        <v>2.3E-2</v>
      </c>
      <c r="D8" s="4"/>
      <c r="E8" s="8"/>
    </row>
    <row r="9" spans="1:5" ht="19.95" customHeight="1" x14ac:dyDescent="0.3">
      <c r="A9" s="24" t="s">
        <v>8</v>
      </c>
      <c r="B9" s="30">
        <v>2.1000000000000001E-2</v>
      </c>
      <c r="D9" s="4"/>
      <c r="E9" s="8"/>
    </row>
    <row r="10" spans="1:5" ht="19.95" customHeight="1" x14ac:dyDescent="0.3">
      <c r="A10" s="24" t="s">
        <v>12</v>
      </c>
      <c r="B10" s="30">
        <v>1.4999999999999999E-2</v>
      </c>
      <c r="D10" s="4"/>
      <c r="E10" s="8"/>
    </row>
    <row r="11" spans="1:5" ht="19.95" customHeight="1" x14ac:dyDescent="0.3">
      <c r="A11" s="24" t="s">
        <v>34</v>
      </c>
      <c r="B11" s="30">
        <v>1.4999999999999999E-2</v>
      </c>
      <c r="D11" s="4"/>
      <c r="E11" s="8"/>
    </row>
    <row r="12" spans="1:5" ht="19.95" customHeight="1" x14ac:dyDescent="0.3">
      <c r="A12" s="24" t="s">
        <v>14</v>
      </c>
      <c r="B12" s="30">
        <v>1.3000000000000001E-2</v>
      </c>
      <c r="D12" s="4"/>
      <c r="E12" s="8"/>
    </row>
    <row r="13" spans="1:5" ht="19.95" customHeight="1" x14ac:dyDescent="0.3">
      <c r="A13" s="4" t="s">
        <v>35</v>
      </c>
      <c r="B13" s="27">
        <v>9.0000000000000011E-3</v>
      </c>
      <c r="D13" s="13"/>
    </row>
    <row r="14" spans="1:5" ht="19.95" customHeight="1" x14ac:dyDescent="0.3">
      <c r="A14" s="24" t="s">
        <v>15</v>
      </c>
      <c r="B14" s="30">
        <v>6.0000000000000001E-3</v>
      </c>
    </row>
    <row r="15" spans="1:5" ht="19.95" customHeight="1" x14ac:dyDescent="0.3">
      <c r="A15" s="28" t="s">
        <v>2</v>
      </c>
      <c r="B15" s="29">
        <f>SUM(B3:B14)</f>
        <v>1.0009999999999999</v>
      </c>
    </row>
    <row r="17" spans="1:1" s="10" customFormat="1" ht="19.95" customHeight="1" x14ac:dyDescent="0.3">
      <c r="A17" s="4"/>
    </row>
    <row r="18" spans="1:1" s="10" customFormat="1" ht="19.95" customHeight="1" x14ac:dyDescent="0.3">
      <c r="A18" s="4"/>
    </row>
    <row r="19" spans="1:1" s="10" customFormat="1" ht="19.95" customHeight="1" x14ac:dyDescent="0.3">
      <c r="A19" s="4"/>
    </row>
    <row r="20" spans="1:1" s="10" customFormat="1" ht="19.95" customHeight="1" x14ac:dyDescent="0.3">
      <c r="A20" s="4"/>
    </row>
  </sheetData>
  <mergeCells count="1">
    <mergeCell ref="A1:B1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F875-229D-4B2D-873A-3EA8C3A946F8}">
  <dimension ref="A1:E19"/>
  <sheetViews>
    <sheetView showGridLines="0" zoomScale="105" zoomScaleNormal="130" workbookViewId="0">
      <selection activeCell="A9" sqref="A9"/>
    </sheetView>
  </sheetViews>
  <sheetFormatPr defaultColWidth="17.77734375" defaultRowHeight="19.95" customHeight="1" x14ac:dyDescent="0.3"/>
  <cols>
    <col min="1" max="1" width="21.5546875" style="2" customWidth="1"/>
    <col min="2" max="2" width="16.77734375" style="10" customWidth="1"/>
    <col min="3" max="16384" width="17.77734375" style="2"/>
  </cols>
  <sheetData>
    <row r="1" spans="1:5" ht="42.6" customHeight="1" x14ac:dyDescent="0.3">
      <c r="A1" s="33" t="s">
        <v>6</v>
      </c>
      <c r="B1" s="33"/>
    </row>
    <row r="2" spans="1:5" ht="19.95" customHeight="1" x14ac:dyDescent="0.3">
      <c r="A2" s="13" t="s">
        <v>0</v>
      </c>
      <c r="B2" s="14" t="s">
        <v>7</v>
      </c>
      <c r="C2" s="14" t="s">
        <v>44</v>
      </c>
    </row>
    <row r="3" spans="1:5" ht="19.95" customHeight="1" x14ac:dyDescent="0.3">
      <c r="A3" s="4" t="s">
        <v>39</v>
      </c>
      <c r="B3" s="27">
        <v>214.3</v>
      </c>
      <c r="C3" s="32">
        <f>B3/$B$7</f>
        <v>0.49686992812427538</v>
      </c>
      <c r="D3" s="4"/>
      <c r="E3" s="8"/>
    </row>
    <row r="4" spans="1:5" ht="19.95" customHeight="1" x14ac:dyDescent="0.3">
      <c r="A4" s="4" t="s">
        <v>40</v>
      </c>
      <c r="B4" s="27">
        <v>74.8</v>
      </c>
      <c r="C4" s="32">
        <f t="shared" ref="C4:C6" si="0">B4/$B$7</f>
        <v>0.17342916763273819</v>
      </c>
      <c r="D4" s="4"/>
      <c r="E4" s="8"/>
    </row>
    <row r="5" spans="1:5" ht="19.95" customHeight="1" x14ac:dyDescent="0.3">
      <c r="A5" s="4" t="s">
        <v>41</v>
      </c>
      <c r="B5" s="27">
        <v>18.600000000000001</v>
      </c>
      <c r="C5" s="32">
        <f t="shared" si="0"/>
        <v>4.3125434732204961E-2</v>
      </c>
      <c r="D5" s="4"/>
      <c r="E5" s="8"/>
    </row>
    <row r="6" spans="1:5" ht="19.95" customHeight="1" x14ac:dyDescent="0.3">
      <c r="A6" s="4" t="s">
        <v>43</v>
      </c>
      <c r="B6" s="27">
        <v>123.6</v>
      </c>
      <c r="C6" s="32">
        <f t="shared" si="0"/>
        <v>0.28657546951078128</v>
      </c>
      <c r="D6" s="4"/>
      <c r="E6" s="8"/>
    </row>
    <row r="7" spans="1:5" ht="19.95" customHeight="1" x14ac:dyDescent="0.3">
      <c r="A7" s="18" t="s">
        <v>2</v>
      </c>
      <c r="B7" s="31">
        <f>SUM(B3:B6)</f>
        <v>431.30000000000007</v>
      </c>
      <c r="C7" s="29">
        <f>SUM(C3:C6)</f>
        <v>0.99999999999999989</v>
      </c>
      <c r="D7" s="4"/>
      <c r="E7" s="8"/>
    </row>
    <row r="8" spans="1:5" ht="19.95" customHeight="1" x14ac:dyDescent="0.3">
      <c r="A8" s="24"/>
      <c r="B8" s="30"/>
      <c r="D8" s="4"/>
      <c r="E8" s="8"/>
    </row>
    <row r="9" spans="1:5" ht="19.95" customHeight="1" x14ac:dyDescent="0.3">
      <c r="A9" s="4" t="s">
        <v>42</v>
      </c>
      <c r="B9" s="30"/>
      <c r="D9" s="4"/>
      <c r="E9" s="8"/>
    </row>
    <row r="10" spans="1:5" ht="19.95" customHeight="1" x14ac:dyDescent="0.3">
      <c r="A10" s="24"/>
      <c r="B10" s="30"/>
      <c r="D10" s="4"/>
      <c r="E10" s="8"/>
    </row>
    <row r="11" spans="1:5" ht="19.95" customHeight="1" x14ac:dyDescent="0.3">
      <c r="A11" s="24"/>
      <c r="B11" s="30"/>
      <c r="D11" s="4"/>
      <c r="E11" s="8"/>
    </row>
    <row r="12" spans="1:5" ht="19.95" customHeight="1" x14ac:dyDescent="0.3">
      <c r="A12" s="4"/>
      <c r="B12" s="27"/>
      <c r="D12" s="13"/>
    </row>
    <row r="13" spans="1:5" ht="19.95" customHeight="1" x14ac:dyDescent="0.3">
      <c r="A13" s="24"/>
      <c r="B13" s="30"/>
    </row>
    <row r="14" spans="1:5" ht="19.95" customHeight="1" x14ac:dyDescent="0.3">
      <c r="A14" s="28"/>
      <c r="B14" s="29"/>
    </row>
    <row r="16" spans="1:5" s="10" customFormat="1" ht="19.95" customHeight="1" x14ac:dyDescent="0.3">
      <c r="A16" s="4"/>
    </row>
    <row r="17" spans="1:1" s="10" customFormat="1" ht="19.95" customHeight="1" x14ac:dyDescent="0.3">
      <c r="A17" s="4"/>
    </row>
    <row r="18" spans="1:1" s="10" customFormat="1" ht="19.95" customHeight="1" x14ac:dyDescent="0.3">
      <c r="A18" s="4"/>
    </row>
    <row r="19" spans="1:1" s="10" customFormat="1" ht="19.95" customHeight="1" x14ac:dyDescent="0.3">
      <c r="A19" s="4"/>
    </row>
  </sheetData>
  <mergeCells count="1">
    <mergeCell ref="A1:B1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6453-C79D-4304-B50E-5228262BAD92}">
  <dimension ref="A1:F19"/>
  <sheetViews>
    <sheetView showGridLines="0" zoomScale="105" zoomScaleNormal="130" workbookViewId="0">
      <selection activeCell="D8" sqref="D8"/>
    </sheetView>
  </sheetViews>
  <sheetFormatPr defaultColWidth="17.77734375" defaultRowHeight="19.95" customHeight="1" x14ac:dyDescent="0.3"/>
  <cols>
    <col min="1" max="1" width="21.5546875" style="2" customWidth="1"/>
    <col min="2" max="3" width="16.77734375" style="10" customWidth="1"/>
    <col min="4" max="16384" width="17.77734375" style="2"/>
  </cols>
  <sheetData>
    <row r="1" spans="1:6" ht="42.6" customHeight="1" x14ac:dyDescent="0.3">
      <c r="A1" s="33" t="s">
        <v>45</v>
      </c>
      <c r="B1" s="33"/>
      <c r="C1" s="33"/>
    </row>
    <row r="2" spans="1:6" ht="19.95" customHeight="1" x14ac:dyDescent="0.3">
      <c r="A2" s="13" t="s">
        <v>0</v>
      </c>
      <c r="B2" s="14" t="s">
        <v>7</v>
      </c>
      <c r="C2" s="14" t="s">
        <v>44</v>
      </c>
      <c r="E2" s="13"/>
      <c r="F2" s="15"/>
    </row>
    <row r="3" spans="1:6" ht="19.95" customHeight="1" x14ac:dyDescent="0.3">
      <c r="A3" s="4" t="s">
        <v>15</v>
      </c>
      <c r="B3" s="16">
        <v>40760</v>
      </c>
      <c r="C3" s="17">
        <f>B3/$B$12</f>
        <v>0.42532765673261541</v>
      </c>
      <c r="E3" s="4"/>
      <c r="F3" s="8"/>
    </row>
    <row r="4" spans="1:6" ht="19.95" customHeight="1" x14ac:dyDescent="0.3">
      <c r="A4" s="4" t="s">
        <v>48</v>
      </c>
      <c r="B4" s="16">
        <v>24846</v>
      </c>
      <c r="C4" s="17">
        <f t="shared" ref="C4:C11" si="0">B4/$B$12</f>
        <v>0.25926621587778614</v>
      </c>
      <c r="E4" s="4"/>
      <c r="F4" s="8"/>
    </row>
    <row r="5" spans="1:6" ht="19.95" customHeight="1" x14ac:dyDescent="0.3">
      <c r="A5" s="4" t="s">
        <v>52</v>
      </c>
      <c r="B5" s="16">
        <v>18622</v>
      </c>
      <c r="C5" s="17">
        <f t="shared" si="0"/>
        <v>0.19431922531096085</v>
      </c>
      <c r="E5" s="4"/>
      <c r="F5" s="8"/>
    </row>
    <row r="6" spans="1:6" ht="19.95" customHeight="1" x14ac:dyDescent="0.3">
      <c r="A6" s="4" t="s">
        <v>46</v>
      </c>
      <c r="B6" s="16">
        <v>5835</v>
      </c>
      <c r="C6" s="17">
        <f t="shared" si="0"/>
        <v>6.0887803656398697E-2</v>
      </c>
      <c r="E6" s="4"/>
      <c r="F6" s="8"/>
    </row>
    <row r="7" spans="1:6" ht="19.95" customHeight="1" x14ac:dyDescent="0.3">
      <c r="A7" s="4" t="s">
        <v>50</v>
      </c>
      <c r="B7" s="16">
        <v>3367</v>
      </c>
      <c r="C7" s="17">
        <f t="shared" si="0"/>
        <v>3.5134401869939061E-2</v>
      </c>
      <c r="E7" s="4"/>
      <c r="F7" s="8"/>
    </row>
    <row r="8" spans="1:6" ht="19.95" customHeight="1" x14ac:dyDescent="0.3">
      <c r="A8" s="4" t="s">
        <v>13</v>
      </c>
      <c r="B8" s="16">
        <v>1448</v>
      </c>
      <c r="C8" s="17">
        <f t="shared" si="0"/>
        <v>1.5109775440353954E-2</v>
      </c>
      <c r="E8" s="4"/>
      <c r="F8" s="8"/>
    </row>
    <row r="9" spans="1:6" ht="19.95" customHeight="1" x14ac:dyDescent="0.3">
      <c r="A9" s="4" t="s">
        <v>47</v>
      </c>
      <c r="B9" s="16">
        <v>736</v>
      </c>
      <c r="C9" s="17">
        <f t="shared" si="0"/>
        <v>7.6801068536605727E-3</v>
      </c>
      <c r="E9" s="4"/>
      <c r="F9" s="8"/>
    </row>
    <row r="10" spans="1:6" ht="19.95" customHeight="1" x14ac:dyDescent="0.3">
      <c r="A10" s="4" t="s">
        <v>51</v>
      </c>
      <c r="B10" s="16">
        <v>186</v>
      </c>
      <c r="C10" s="17">
        <f t="shared" si="0"/>
        <v>1.9408965689957426E-3</v>
      </c>
      <c r="E10" s="4"/>
      <c r="F10" s="8"/>
    </row>
    <row r="11" spans="1:6" ht="19.95" customHeight="1" x14ac:dyDescent="0.3">
      <c r="A11" s="4" t="s">
        <v>49</v>
      </c>
      <c r="B11" s="16">
        <v>32</v>
      </c>
      <c r="C11" s="17">
        <f t="shared" si="0"/>
        <v>3.3391768928959012E-4</v>
      </c>
      <c r="E11" s="4"/>
      <c r="F11" s="8"/>
    </row>
    <row r="12" spans="1:6" ht="19.95" customHeight="1" x14ac:dyDescent="0.3">
      <c r="A12" s="18" t="s">
        <v>2</v>
      </c>
      <c r="B12" s="20">
        <f>SUM(B3:B11)</f>
        <v>95832</v>
      </c>
      <c r="C12" s="19"/>
      <c r="E12" s="13"/>
    </row>
    <row r="13" spans="1:6" ht="19.95" customHeight="1" x14ac:dyDescent="0.3">
      <c r="A13" s="4"/>
      <c r="B13" s="8"/>
      <c r="C13" s="8"/>
    </row>
    <row r="14" spans="1:6" ht="19.95" customHeight="1" x14ac:dyDescent="0.3">
      <c r="A14" s="4"/>
      <c r="B14" s="8"/>
      <c r="C14" s="8"/>
    </row>
    <row r="16" spans="1:6" s="10" customFormat="1" ht="19.95" customHeight="1" x14ac:dyDescent="0.3">
      <c r="A16" s="4"/>
    </row>
    <row r="17" spans="1:1" s="10" customFormat="1" ht="19.95" customHeight="1" x14ac:dyDescent="0.3">
      <c r="A17" s="4"/>
    </row>
    <row r="18" spans="1:1" s="10" customFormat="1" ht="19.95" customHeight="1" x14ac:dyDescent="0.3">
      <c r="A18" s="4"/>
    </row>
    <row r="19" spans="1:1" s="10" customFormat="1" ht="19.95" customHeight="1" x14ac:dyDescent="0.3">
      <c r="A19" s="4"/>
    </row>
  </sheetData>
  <autoFilter ref="A2:B11" xr:uid="{638F6453-C79D-4304-B50E-5228262BAD92}">
    <sortState xmlns:xlrd2="http://schemas.microsoft.com/office/spreadsheetml/2017/richdata2" ref="A3:B11">
      <sortCondition descending="1" ref="B2:B11"/>
    </sortState>
  </autoFilter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6AD3-683D-4B62-A2DE-6BEE41C00B04}">
  <dimension ref="A1:AE23"/>
  <sheetViews>
    <sheetView showGridLines="0" tabSelected="1" zoomScaleNormal="100" workbookViewId="0">
      <selection activeCell="E1" sqref="E1"/>
    </sheetView>
  </sheetViews>
  <sheetFormatPr defaultColWidth="17.77734375" defaultRowHeight="19.95" customHeight="1" x14ac:dyDescent="0.3"/>
  <cols>
    <col min="1" max="1" width="8.5546875" style="2" customWidth="1"/>
    <col min="2" max="2" width="13.33203125" style="2" bestFit="1" customWidth="1"/>
    <col min="3" max="4" width="13.33203125" style="1" bestFit="1" customWidth="1"/>
    <col min="5" max="10" width="10.77734375" style="1" customWidth="1"/>
    <col min="11" max="16384" width="17.77734375" style="2"/>
  </cols>
  <sheetData>
    <row r="1" spans="1:31" ht="42.6" customHeight="1" x14ac:dyDescent="0.3">
      <c r="A1" s="12" t="s">
        <v>38</v>
      </c>
      <c r="B1" s="12" t="s">
        <v>36</v>
      </c>
      <c r="C1" s="12" t="s">
        <v>37</v>
      </c>
      <c r="D1" s="12" t="s">
        <v>2</v>
      </c>
      <c r="S1" s="34" t="s">
        <v>5</v>
      </c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1" ht="19.95" customHeight="1" x14ac:dyDescent="0.3">
      <c r="A2" s="2">
        <v>2003</v>
      </c>
      <c r="B2" s="3">
        <v>112669</v>
      </c>
      <c r="C2" s="3">
        <v>88206</v>
      </c>
      <c r="D2" s="3">
        <v>200875</v>
      </c>
      <c r="S2" s="2" t="s">
        <v>3</v>
      </c>
      <c r="T2" s="2">
        <v>2013</v>
      </c>
      <c r="U2" s="2">
        <v>2014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22</v>
      </c>
      <c r="AC2" s="1" t="s">
        <v>23</v>
      </c>
      <c r="AD2" s="11" t="s">
        <v>31</v>
      </c>
      <c r="AE2" s="11" t="s">
        <v>32</v>
      </c>
    </row>
    <row r="3" spans="1:31" ht="19.95" customHeight="1" x14ac:dyDescent="0.3">
      <c r="A3" s="2">
        <v>2004</v>
      </c>
      <c r="B3" s="3">
        <v>119348</v>
      </c>
      <c r="C3" s="3">
        <v>93642</v>
      </c>
      <c r="D3" s="3">
        <v>212990</v>
      </c>
      <c r="S3" s="4" t="s">
        <v>36</v>
      </c>
      <c r="T3" s="4">
        <v>176166</v>
      </c>
      <c r="U3" s="4">
        <v>184724</v>
      </c>
      <c r="V3" s="5">
        <v>175879</v>
      </c>
      <c r="W3" s="5">
        <v>162787</v>
      </c>
      <c r="X3" s="5">
        <v>166827</v>
      </c>
      <c r="Y3" s="5">
        <v>157768</v>
      </c>
      <c r="Z3" s="5">
        <v>158316</v>
      </c>
      <c r="AA3" s="5">
        <v>148591</v>
      </c>
      <c r="AB3" s="5">
        <v>166527</v>
      </c>
      <c r="AC3" s="5">
        <v>160383</v>
      </c>
      <c r="AD3" s="6">
        <v>160143</v>
      </c>
      <c r="AE3" s="6">
        <v>160979</v>
      </c>
    </row>
    <row r="4" spans="1:31" ht="19.95" customHeight="1" x14ac:dyDescent="0.3">
      <c r="A4" s="7">
        <v>2005</v>
      </c>
      <c r="B4" s="8">
        <v>120619</v>
      </c>
      <c r="C4" s="8">
        <v>97317</v>
      </c>
      <c r="D4" s="8">
        <v>217936</v>
      </c>
      <c r="S4" s="4" t="s">
        <v>37</v>
      </c>
      <c r="T4" s="4">
        <v>120640</v>
      </c>
      <c r="U4" s="4">
        <v>121391</v>
      </c>
      <c r="V4" s="5">
        <v>124521</v>
      </c>
      <c r="W4" s="5">
        <v>126488</v>
      </c>
      <c r="X4" s="5">
        <v>127826</v>
      </c>
      <c r="Y4" s="5">
        <v>133407</v>
      </c>
      <c r="Z4" s="5">
        <v>137141</v>
      </c>
      <c r="AA4" s="5">
        <v>140923</v>
      </c>
      <c r="AB4" s="5">
        <v>137218</v>
      </c>
      <c r="AC4" s="5">
        <v>143577</v>
      </c>
      <c r="AD4" s="6">
        <v>154330</v>
      </c>
      <c r="AE4" s="6">
        <v>161012</v>
      </c>
    </row>
    <row r="5" spans="1:31" ht="19.95" customHeight="1" x14ac:dyDescent="0.3">
      <c r="A5" s="7">
        <v>2006</v>
      </c>
      <c r="B5" s="8">
        <v>123737</v>
      </c>
      <c r="C5" s="8">
        <v>101884</v>
      </c>
      <c r="D5" s="8">
        <v>225621</v>
      </c>
      <c r="S5" s="2" t="s">
        <v>4</v>
      </c>
      <c r="T5" s="2">
        <v>296806</v>
      </c>
      <c r="U5" s="2">
        <v>306115</v>
      </c>
      <c r="V5" s="9">
        <v>300400</v>
      </c>
      <c r="W5" s="9">
        <v>289276</v>
      </c>
      <c r="X5" s="9">
        <v>294654</v>
      </c>
      <c r="Y5" s="9">
        <v>291175</v>
      </c>
      <c r="Z5" s="9">
        <v>295456</v>
      </c>
      <c r="AA5" s="9">
        <v>289514</v>
      </c>
      <c r="AB5" s="9">
        <v>303744</v>
      </c>
      <c r="AC5" s="9">
        <v>303960</v>
      </c>
      <c r="AD5" s="9">
        <v>314472</v>
      </c>
      <c r="AE5" s="9">
        <v>321991</v>
      </c>
    </row>
    <row r="6" spans="1:31" ht="19.95" customHeight="1" x14ac:dyDescent="0.3">
      <c r="A6" s="7">
        <v>2007</v>
      </c>
      <c r="B6" s="8">
        <v>128321</v>
      </c>
      <c r="C6" s="8">
        <v>109690</v>
      </c>
      <c r="D6" s="8">
        <v>238011</v>
      </c>
      <c r="E6" s="5"/>
      <c r="J6" s="6"/>
    </row>
    <row r="7" spans="1:31" ht="19.95" customHeight="1" x14ac:dyDescent="0.3">
      <c r="A7" s="7">
        <v>2008</v>
      </c>
      <c r="B7" s="8">
        <v>135822</v>
      </c>
      <c r="C7" s="8">
        <v>116037</v>
      </c>
      <c r="D7" s="8">
        <v>251860</v>
      </c>
      <c r="E7" s="5"/>
      <c r="J7" s="6"/>
    </row>
    <row r="8" spans="1:31" ht="19.95" customHeight="1" x14ac:dyDescent="0.3">
      <c r="A8" s="2">
        <v>2009</v>
      </c>
      <c r="B8" s="3">
        <v>128136</v>
      </c>
      <c r="C8" s="3">
        <v>115074</v>
      </c>
      <c r="D8" s="3">
        <v>243209</v>
      </c>
      <c r="E8" s="5"/>
      <c r="J8" s="6"/>
    </row>
    <row r="9" spans="1:31" ht="19.95" customHeight="1" x14ac:dyDescent="0.3">
      <c r="A9" s="2">
        <v>2010</v>
      </c>
      <c r="B9" s="3">
        <v>147569</v>
      </c>
      <c r="C9" s="3">
        <v>121203</v>
      </c>
      <c r="D9" s="3">
        <v>268771</v>
      </c>
      <c r="E9" s="5"/>
      <c r="J9" s="6"/>
    </row>
    <row r="10" spans="1:31" ht="19.95" customHeight="1" x14ac:dyDescent="0.3">
      <c r="A10" s="2">
        <v>2011</v>
      </c>
      <c r="B10" s="3">
        <v>152529</v>
      </c>
      <c r="C10" s="3">
        <v>119809</v>
      </c>
      <c r="D10" s="3">
        <v>272338</v>
      </c>
      <c r="E10" s="5"/>
      <c r="J10" s="6"/>
    </row>
    <row r="11" spans="1:31" ht="19.95" customHeight="1" x14ac:dyDescent="0.3">
      <c r="A11" s="2">
        <v>2012</v>
      </c>
      <c r="B11" s="3">
        <v>163365</v>
      </c>
      <c r="C11" s="3">
        <v>120242</v>
      </c>
      <c r="D11" s="3">
        <v>283607</v>
      </c>
      <c r="E11" s="5"/>
      <c r="F11" s="2"/>
      <c r="G11" s="2"/>
      <c r="H11" s="2"/>
      <c r="I11" s="2"/>
      <c r="J11" s="6"/>
    </row>
    <row r="12" spans="1:31" ht="19.95" customHeight="1" x14ac:dyDescent="0.3">
      <c r="A12" s="9">
        <v>2013</v>
      </c>
      <c r="B12" s="3">
        <v>176166</v>
      </c>
      <c r="C12" s="3">
        <v>120640</v>
      </c>
      <c r="D12" s="3">
        <v>296806</v>
      </c>
      <c r="E12" s="5"/>
      <c r="F12" s="2"/>
      <c r="G12" s="2"/>
      <c r="H12" s="2"/>
      <c r="I12" s="2"/>
      <c r="J12" s="6"/>
    </row>
    <row r="13" spans="1:31" ht="19.95" customHeight="1" x14ac:dyDescent="0.3">
      <c r="A13" s="9">
        <v>2014</v>
      </c>
      <c r="B13" s="3">
        <v>184724</v>
      </c>
      <c r="C13" s="3">
        <v>121391</v>
      </c>
      <c r="D13" s="3">
        <v>306115</v>
      </c>
      <c r="E13" s="5"/>
      <c r="F13" s="2"/>
      <c r="G13" s="2"/>
      <c r="H13" s="2"/>
      <c r="I13" s="2"/>
      <c r="J13" s="6"/>
    </row>
    <row r="14" spans="1:31" ht="19.95" customHeight="1" x14ac:dyDescent="0.3">
      <c r="A14" s="2">
        <v>2015</v>
      </c>
      <c r="B14" s="3">
        <v>175879</v>
      </c>
      <c r="C14" s="3">
        <v>124521</v>
      </c>
      <c r="D14" s="3">
        <v>300400</v>
      </c>
      <c r="E14" s="5"/>
      <c r="F14" s="2"/>
      <c r="G14" s="2"/>
      <c r="H14" s="2"/>
      <c r="I14" s="2"/>
      <c r="J14" s="6"/>
    </row>
    <row r="15" spans="1:31" ht="19.95" customHeight="1" x14ac:dyDescent="0.3">
      <c r="A15" s="2">
        <v>2016</v>
      </c>
      <c r="B15" s="3">
        <v>162787</v>
      </c>
      <c r="C15" s="3">
        <v>126488</v>
      </c>
      <c r="D15" s="3">
        <v>289276</v>
      </c>
      <c r="E15" s="5"/>
      <c r="F15" s="2"/>
      <c r="G15" s="2"/>
      <c r="H15" s="2"/>
      <c r="I15" s="2"/>
      <c r="J15" s="6"/>
    </row>
    <row r="16" spans="1:31" s="10" customFormat="1" ht="19.95" customHeight="1" x14ac:dyDescent="0.3">
      <c r="A16" s="2">
        <v>2017</v>
      </c>
      <c r="B16" s="3">
        <v>166827</v>
      </c>
      <c r="C16" s="3">
        <v>127826</v>
      </c>
      <c r="D16" s="3">
        <v>294654</v>
      </c>
      <c r="E16" s="9"/>
      <c r="F16" s="9"/>
      <c r="G16" s="9"/>
      <c r="H16" s="9"/>
      <c r="I16" s="9"/>
      <c r="J16" s="9"/>
    </row>
    <row r="17" spans="1:10" s="10" customFormat="1" ht="19.95" customHeight="1" x14ac:dyDescent="0.3">
      <c r="A17" s="2">
        <v>2018</v>
      </c>
      <c r="B17" s="3">
        <v>157768</v>
      </c>
      <c r="C17" s="3">
        <v>133407</v>
      </c>
      <c r="D17" s="3">
        <v>291175</v>
      </c>
      <c r="E17" s="1"/>
      <c r="F17" s="1"/>
      <c r="G17" s="1"/>
      <c r="H17" s="1"/>
      <c r="I17" s="1"/>
      <c r="J17" s="1"/>
    </row>
    <row r="18" spans="1:10" s="10" customFormat="1" ht="19.95" customHeight="1" x14ac:dyDescent="0.3">
      <c r="A18" s="2">
        <v>2019</v>
      </c>
      <c r="B18" s="3">
        <v>158316</v>
      </c>
      <c r="C18" s="3">
        <v>137141</v>
      </c>
      <c r="D18" s="3">
        <v>295456</v>
      </c>
      <c r="E18" s="1"/>
      <c r="F18" s="1"/>
      <c r="G18" s="1"/>
      <c r="H18" s="1"/>
      <c r="I18" s="1"/>
      <c r="J18" s="1"/>
    </row>
    <row r="19" spans="1:10" s="10" customFormat="1" ht="19.95" customHeight="1" x14ac:dyDescent="0.3">
      <c r="A19" s="2">
        <v>2020</v>
      </c>
      <c r="B19" s="3">
        <v>148591</v>
      </c>
      <c r="C19" s="3">
        <v>140923</v>
      </c>
      <c r="D19" s="3">
        <v>289514</v>
      </c>
      <c r="E19" s="1"/>
      <c r="F19" s="1"/>
      <c r="G19" s="1"/>
      <c r="H19" s="1"/>
      <c r="I19" s="1"/>
      <c r="J19" s="1"/>
    </row>
    <row r="20" spans="1:10" ht="19.95" customHeight="1" x14ac:dyDescent="0.3">
      <c r="A20" s="2">
        <v>2021</v>
      </c>
      <c r="B20" s="3">
        <v>166527</v>
      </c>
      <c r="C20" s="3">
        <v>137218</v>
      </c>
      <c r="D20" s="3">
        <v>303744</v>
      </c>
    </row>
    <row r="21" spans="1:10" ht="19.95" customHeight="1" x14ac:dyDescent="0.3">
      <c r="A21" s="2">
        <v>2022</v>
      </c>
      <c r="B21" s="3">
        <v>160383</v>
      </c>
      <c r="C21" s="3">
        <v>143577</v>
      </c>
      <c r="D21" s="3">
        <v>303960</v>
      </c>
    </row>
    <row r="22" spans="1:10" ht="19.95" customHeight="1" x14ac:dyDescent="0.3">
      <c r="A22" s="7">
        <v>2023</v>
      </c>
      <c r="B22" s="8">
        <v>160143</v>
      </c>
      <c r="C22" s="8">
        <v>154330</v>
      </c>
      <c r="D22" s="3">
        <v>314472</v>
      </c>
    </row>
    <row r="23" spans="1:10" ht="19.95" customHeight="1" x14ac:dyDescent="0.3">
      <c r="A23" s="7">
        <v>2024</v>
      </c>
      <c r="B23" s="8">
        <v>160979</v>
      </c>
      <c r="C23" s="8">
        <v>161012</v>
      </c>
      <c r="D23" s="3">
        <v>321991</v>
      </c>
    </row>
  </sheetData>
  <mergeCells count="1">
    <mergeCell ref="S1:AE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Figura 1</vt:lpstr>
      <vt:lpstr>Figura 2</vt:lpstr>
      <vt:lpstr>Figura 3</vt:lpstr>
      <vt:lpstr>Figura 4</vt:lpstr>
      <vt:lpstr>Figura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Nogueira</dc:creator>
  <cp:lastModifiedBy>Guilherme Nogueira</cp:lastModifiedBy>
  <dcterms:created xsi:type="dcterms:W3CDTF">2015-06-05T18:19:34Z</dcterms:created>
  <dcterms:modified xsi:type="dcterms:W3CDTF">2026-01-20T11:35:29Z</dcterms:modified>
</cp:coreProperties>
</file>