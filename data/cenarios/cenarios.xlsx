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ips/"/>
    </mc:Choice>
  </mc:AlternateContent>
  <xr:revisionPtr revIDLastSave="284" documentId="11_AD4D361C20488DEA4E38A05D041E53765BDEDD8A" xr6:coauthVersionLast="47" xr6:coauthVersionMax="47" xr10:uidLastSave="{1EBD50BE-4D31-4CD1-BDC8-C7D2815B372C}"/>
  <bookViews>
    <workbookView xWindow="-108" yWindow="-108" windowWidth="23256" windowHeight="12456" activeTab="1" xr2:uid="{00000000-000D-0000-FFFF-FFFF00000000}"/>
  </bookViews>
  <sheets>
    <sheet name="fluxo energia" sheetId="3" r:id="rId1"/>
    <sheet name="demanda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4" i="4"/>
  <c r="G3" i="4"/>
  <c r="F8" i="4"/>
  <c r="F7" i="4"/>
  <c r="F6" i="4"/>
  <c r="F5" i="4"/>
  <c r="F4" i="4"/>
  <c r="F3" i="4"/>
  <c r="E8" i="4"/>
  <c r="E7" i="4"/>
  <c r="E6" i="4"/>
  <c r="E5" i="4"/>
  <c r="E4" i="4"/>
  <c r="E3" i="4"/>
  <c r="D8" i="4"/>
  <c r="D7" i="4"/>
  <c r="D6" i="4"/>
  <c r="D5" i="4"/>
  <c r="D4" i="4"/>
  <c r="D3" i="4"/>
  <c r="E8" i="3" l="1"/>
  <c r="E7" i="3"/>
  <c r="E6" i="3"/>
  <c r="E5" i="3"/>
  <c r="E4" i="3"/>
  <c r="E3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<sst xmlns="http://schemas.openxmlformats.org/spreadsheetml/2006/main" count="45" uniqueCount="18">
  <si>
    <t>S19</t>
  </si>
  <si>
    <t>Derivados de petróleo</t>
  </si>
  <si>
    <t>S20</t>
  </si>
  <si>
    <t>Biodiesel</t>
  </si>
  <si>
    <t>S22</t>
  </si>
  <si>
    <t>Etanol</t>
  </si>
  <si>
    <t>S40</t>
  </si>
  <si>
    <t>Eletricidade (geração centralizada)</t>
  </si>
  <si>
    <t>S41</t>
  </si>
  <si>
    <t>Eletricidade (geração distribuída)</t>
  </si>
  <si>
    <t>S43</t>
  </si>
  <si>
    <t>Gás Natural</t>
  </si>
  <si>
    <t>ID</t>
  </si>
  <si>
    <t>Setor Energético</t>
  </si>
  <si>
    <t>Cenário Base</t>
  </si>
  <si>
    <t>Cenário 1</t>
  </si>
  <si>
    <t>Cenário 2</t>
  </si>
  <si>
    <t>Cenário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</si>
</sst>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5">
    <dxf>
      <font>
        <b val="0"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 patternType="solid">
          <fgColor theme="0"/>
          <bgColor theme="3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ela 1" pivot="0" count="3" xr9:uid="{EC5518E8-8BDC-45F8-9780-CD89E23993F7}">
      <tableStyleElement type="wholeTable" dxfId="4"/>
      <tableStyleElement type="headerRow" dxfId="3"/>
      <tableStyleElement type="secondRowStripe" dxfId="2"/>
    </tableStyle>
    <tableStyle name="Estilo de Tabela 2" pivot="0" count="2" xr9:uid="{4E17C47F-A32B-445E-ACA7-D03EF307FA63}">
      <tableStyleElement type="headerRow" dxfId="1"/>
      <tableStyleElement type="secondRowStripe" dxfId="0"/>
    </tableStyle>
  </tableStyles>
  <colors>
    <mruColors>
      <color rgb="FFE06666"/>
      <color rgb="FFF9DFDF"/>
      <color rgb="FF4F93D0"/>
      <color rgb="FF4D3A7C"/>
      <color rgb="FF9CC2E5"/>
      <color rgb="FF57BB8A"/>
      <color rgb="FFF1C232"/>
      <color rgb="FF674EA7"/>
      <color rgb="FFD5E4CF"/>
      <color rgb="FF106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7cfd6d076248aa8/Documents/Study/UFV/Mestrado/4&#186;%20Semestre%20(2025-2)/ERU%20799%20-%20Pesquisa/Estima&#231;&#227;o/mip-energia/data/mips/mip-epe.xlsx" TargetMode="External"/><Relationship Id="rId1" Type="http://schemas.openxmlformats.org/officeDocument/2006/relationships/externalLinkPath" Target="mip-e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s Monetários"/>
      <sheetName val="FM - C1"/>
      <sheetName val="FM - C2"/>
      <sheetName val="FM - C3"/>
      <sheetName val="Fluxos Energia"/>
      <sheetName val="Energia Demanda Final"/>
      <sheetName val="Emprego Setorial"/>
      <sheetName val="Emprego"/>
      <sheetName val="Fluxos Monetários (2)"/>
    </sheetNames>
    <sheetDataSet>
      <sheetData sheetId="0"/>
      <sheetData sheetId="1"/>
      <sheetData sheetId="2"/>
      <sheetData sheetId="3"/>
      <sheetData sheetId="4">
        <row r="17">
          <cell r="C17">
            <v>56168.352654942522</v>
          </cell>
          <cell r="D17">
            <v>72335.83666423877</v>
          </cell>
          <cell r="F17">
            <v>0</v>
          </cell>
          <cell r="H17">
            <v>0</v>
          </cell>
          <cell r="J17">
            <v>39138.108129963948</v>
          </cell>
          <cell r="N17">
            <v>22467.341061977011</v>
          </cell>
        </row>
        <row r="18">
          <cell r="C18">
            <v>3474</v>
          </cell>
          <cell r="D18">
            <v>5181.1799382375975</v>
          </cell>
          <cell r="F18">
            <v>39327.706158875641</v>
          </cell>
          <cell r="H18">
            <v>58653.978747055175</v>
          </cell>
          <cell r="J18">
            <v>3474</v>
          </cell>
          <cell r="N18">
            <v>21297.664956639092</v>
          </cell>
        </row>
        <row r="19">
          <cell r="C19">
            <v>15717.543227951701</v>
          </cell>
          <cell r="D19">
            <v>701.33619022676862</v>
          </cell>
          <cell r="F19">
            <v>37175.300601365576</v>
          </cell>
          <cell r="H19">
            <v>1658.8078248724096</v>
          </cell>
          <cell r="J19">
            <v>15717.543227951701</v>
          </cell>
          <cell r="N19">
            <v>33541.208184590796</v>
          </cell>
        </row>
        <row r="20">
          <cell r="C20">
            <v>163.14115901360861</v>
          </cell>
          <cell r="D20">
            <v>26.3774484024107</v>
          </cell>
          <cell r="F20">
            <v>932.6475903863211</v>
          </cell>
          <cell r="H20">
            <v>150.79495476059321</v>
          </cell>
          <cell r="J20">
            <v>18188.629127934088</v>
          </cell>
          <cell r="N20">
            <v>163.14115901360861</v>
          </cell>
        </row>
        <row r="21">
          <cell r="C21">
            <v>6.1274809863913715</v>
          </cell>
          <cell r="D21">
            <v>0.99072064053320175</v>
          </cell>
          <cell r="F21">
            <v>35.896707893510907</v>
          </cell>
          <cell r="H21">
            <v>5.8039526383315101</v>
          </cell>
          <cell r="J21">
            <v>957.20235735715107</v>
          </cell>
          <cell r="N21">
            <v>6.1274809863913715</v>
          </cell>
        </row>
        <row r="22">
          <cell r="C22">
            <v>1946.3183203126687</v>
          </cell>
          <cell r="D22">
            <v>1553.3183672703592</v>
          </cell>
          <cell r="F22">
            <v>0</v>
          </cell>
          <cell r="H22">
            <v>0</v>
          </cell>
          <cell r="J22">
            <v>0</v>
          </cell>
          <cell r="N22">
            <v>0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Personalizada 5">
      <a:dk1>
        <a:sysClr val="windowText" lastClr="000000"/>
      </a:dk1>
      <a:lt1>
        <a:sysClr val="window" lastClr="FFFFFF"/>
      </a:lt1>
      <a:dk2>
        <a:srgbClr val="106D75"/>
      </a:dk2>
      <a:lt2>
        <a:srgbClr val="57BB8A"/>
      </a:lt2>
      <a:accent1>
        <a:srgbClr val="D5E4CF"/>
      </a:accent1>
      <a:accent2>
        <a:srgbClr val="9CC2E5"/>
      </a:accent2>
      <a:accent3>
        <a:srgbClr val="CDCDCC"/>
      </a:accent3>
      <a:accent4>
        <a:srgbClr val="F1C232"/>
      </a:accent4>
      <a:accent5>
        <a:srgbClr val="674EA7"/>
      </a:accent5>
      <a:accent6>
        <a:srgbClr val="E06666"/>
      </a:accent6>
      <a:hlink>
        <a:srgbClr val="674EA7"/>
      </a:hlink>
      <a:folHlink>
        <a:srgbClr val="E06666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024-3128-4D8F-B970-BE95166D452E}">
  <dimension ref="B2:L8"/>
  <sheetViews>
    <sheetView showGridLines="0" workbookViewId="0">
      <selection activeCell="E5" sqref="B5:E5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f>'[1]Fluxos Energia'!$D$17</f>
        <v>72335.83666423877</v>
      </c>
      <c r="E3" s="3">
        <f>'[1]Fluxos Energia'!$H$17</f>
        <v>0</v>
      </c>
      <c r="F3" s="3">
        <v>44920.554568492276</v>
      </c>
      <c r="G3" s="3">
        <v>0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f>'[1]Fluxos Energia'!$D$18</f>
        <v>5181.1799382375975</v>
      </c>
      <c r="E4" s="3">
        <f>'[1]Fluxos Energia'!$H$18</f>
        <v>58653.978747055175</v>
      </c>
      <c r="F4" s="3">
        <v>5181.1799382375975</v>
      </c>
      <c r="G4" s="3">
        <v>58653.978747055175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f>'[1]Fluxos Energia'!$D$19</f>
        <v>701.33619022676862</v>
      </c>
      <c r="E5" s="3">
        <f>'[1]Fluxos Energia'!$H$19</f>
        <v>1658.8078248724096</v>
      </c>
      <c r="F5" s="3">
        <v>0</v>
      </c>
      <c r="G5" s="3">
        <v>1694.6479329504673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f>'[1]Fluxos Energia'!$D$20</f>
        <v>26.3774484024107</v>
      </c>
      <c r="E6" s="3">
        <f>'[1]Fluxos Energia'!$H$20</f>
        <v>150.79495476059321</v>
      </c>
      <c r="F6" s="3">
        <v>6009.3759644244274</v>
      </c>
      <c r="G6" s="3">
        <v>26.3774484024107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f>'[1]Fluxos Energia'!$D$21</f>
        <v>0.99072064053320175</v>
      </c>
      <c r="E7" s="3">
        <f>'[1]Fluxos Energia'!$H$21</f>
        <v>5.8039526383315101</v>
      </c>
      <c r="F7" s="3">
        <v>315.88537937853448</v>
      </c>
      <c r="G7" s="3">
        <v>0.99072064053320164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f>'[1]Fluxos Energia'!$D$22</f>
        <v>1553.3183672703592</v>
      </c>
      <c r="E8" s="3">
        <f>'[1]Fluxos Energia'!$H$22</f>
        <v>0</v>
      </c>
      <c r="F8" s="3">
        <v>0</v>
      </c>
      <c r="G8" s="3">
        <v>0</v>
      </c>
      <c r="H8" s="3"/>
      <c r="I8" s="3"/>
      <c r="J8" s="3"/>
      <c r="K8" s="3"/>
      <c r="L8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6652-479A-4EFF-A7D3-37B9A1A0FED2}">
  <dimension ref="B2:L26"/>
  <sheetViews>
    <sheetView showGridLines="0" tabSelected="1" workbookViewId="0">
      <selection activeCell="C15" sqref="C15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4" width="17.77734375" style="1"/>
    <col min="5" max="6" width="17.77734375" style="1" customWidth="1"/>
    <col min="7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f>'[1]Fluxos Energia'!$C$17</f>
        <v>56168.352654942522</v>
      </c>
      <c r="E3" s="3">
        <f>'[1]Fluxos Energia'!$F$17</f>
        <v>0</v>
      </c>
      <c r="F3" s="3">
        <f>'[1]Fluxos Energia'!$J$17</f>
        <v>39138.108129963948</v>
      </c>
      <c r="G3" s="3">
        <f>'[1]Fluxos Energia'!$N$17</f>
        <v>22467.341061977011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f>'[1]Fluxos Energia'!$C$18</f>
        <v>3474</v>
      </c>
      <c r="E4" s="3">
        <f>'[1]Fluxos Energia'!$F$18</f>
        <v>39327.706158875641</v>
      </c>
      <c r="F4" s="3">
        <f>'[1]Fluxos Energia'!$J$18</f>
        <v>3474</v>
      </c>
      <c r="G4" s="3">
        <f>'[1]Fluxos Energia'!$N$18</f>
        <v>21297.664956639092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f>'[1]Fluxos Energia'!$C$19</f>
        <v>15717.543227951701</v>
      </c>
      <c r="E5" s="3">
        <f>'[1]Fluxos Energia'!$F$19</f>
        <v>37175.300601365576</v>
      </c>
      <c r="F5" s="3">
        <f>'[1]Fluxos Energia'!$J$19</f>
        <v>15717.543227951701</v>
      </c>
      <c r="G5" s="3">
        <f>'[1]Fluxos Energia'!$N$19</f>
        <v>33541.208184590796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f>'[1]Fluxos Energia'!$C$20</f>
        <v>163.14115901360861</v>
      </c>
      <c r="E6" s="3">
        <f>'[1]Fluxos Energia'!$F$20</f>
        <v>932.6475903863211</v>
      </c>
      <c r="F6" s="3">
        <f>'[1]Fluxos Energia'!$J$20</f>
        <v>18188.629127934088</v>
      </c>
      <c r="G6" s="3">
        <f>'[1]Fluxos Energia'!$N$20</f>
        <v>163.14115901360861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f>'[1]Fluxos Energia'!$C$21</f>
        <v>6.1274809863913715</v>
      </c>
      <c r="E7" s="3">
        <f>'[1]Fluxos Energia'!$F$21</f>
        <v>35.896707893510907</v>
      </c>
      <c r="F7" s="3">
        <f>'[1]Fluxos Energia'!$J$21</f>
        <v>957.20235735715107</v>
      </c>
      <c r="G7" s="3">
        <f>'[1]Fluxos Energia'!$N$21</f>
        <v>6.1274809863913715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f>'[1]Fluxos Energia'!$C$22</f>
        <v>1946.3183203126687</v>
      </c>
      <c r="E8" s="3">
        <f>'[1]Fluxos Energia'!$F$22</f>
        <v>0</v>
      </c>
      <c r="F8" s="3">
        <f>'[1]Fluxos Energia'!$J$22</f>
        <v>0</v>
      </c>
      <c r="G8" s="3">
        <f>'[1]Fluxos Energia'!$N$22</f>
        <v>0</v>
      </c>
      <c r="H8" s="3"/>
      <c r="I8" s="3"/>
      <c r="J8" s="3"/>
      <c r="K8" s="3"/>
      <c r="L8" s="3"/>
    </row>
    <row r="13" spans="2:12" ht="19.95" customHeight="1" x14ac:dyDescent="0.3">
      <c r="C13" s="2"/>
      <c r="D13" s="3"/>
      <c r="E13" s="3"/>
    </row>
    <row r="14" spans="2:12" ht="19.95" customHeight="1" x14ac:dyDescent="0.3">
      <c r="C14" s="2"/>
      <c r="D14" s="3"/>
      <c r="E14" s="3"/>
    </row>
    <row r="15" spans="2:12" ht="19.95" customHeight="1" x14ac:dyDescent="0.3">
      <c r="C15" s="2"/>
      <c r="D15" s="3"/>
      <c r="E15" s="3"/>
    </row>
    <row r="16" spans="2:12" ht="19.95" customHeight="1" x14ac:dyDescent="0.3">
      <c r="C16" s="2"/>
      <c r="D16" s="3"/>
      <c r="E16" s="3"/>
    </row>
    <row r="17" spans="3:5" ht="19.95" customHeight="1" x14ac:dyDescent="0.3">
      <c r="C17" s="2"/>
      <c r="D17" s="3"/>
      <c r="E17" s="3"/>
    </row>
    <row r="18" spans="3:5" ht="19.95" customHeight="1" x14ac:dyDescent="0.3">
      <c r="C18" s="2"/>
      <c r="D18" s="3"/>
      <c r="E18" s="3"/>
    </row>
    <row r="20" spans="3:5" ht="19.95" customHeight="1" x14ac:dyDescent="0.3">
      <c r="C20" s="1" t="s">
        <v>13</v>
      </c>
      <c r="D20" s="1" t="s">
        <v>14</v>
      </c>
      <c r="E20" s="1" t="s">
        <v>17</v>
      </c>
    </row>
    <row r="21" spans="3:5" ht="19.95" customHeight="1" x14ac:dyDescent="0.3">
      <c r="C21" s="2" t="s">
        <v>1</v>
      </c>
      <c r="D21" s="3">
        <v>56168.352654942522</v>
      </c>
      <c r="E21" s="3">
        <v>0</v>
      </c>
    </row>
    <row r="22" spans="3:5" ht="19.95" customHeight="1" x14ac:dyDescent="0.3">
      <c r="C22" s="2" t="s">
        <v>3</v>
      </c>
      <c r="D22" s="3">
        <v>3474</v>
      </c>
      <c r="E22" s="3">
        <v>39327.706158875641</v>
      </c>
    </row>
    <row r="23" spans="3:5" ht="19.95" customHeight="1" x14ac:dyDescent="0.3">
      <c r="C23" s="2" t="s">
        <v>5</v>
      </c>
      <c r="D23" s="3">
        <v>15717.543227951701</v>
      </c>
      <c r="E23" s="3">
        <v>37978.508044331254</v>
      </c>
    </row>
    <row r="24" spans="3:5" ht="19.95" customHeight="1" x14ac:dyDescent="0.3">
      <c r="C24" s="2" t="s">
        <v>7</v>
      </c>
      <c r="D24" s="3">
        <v>163.14115901360861</v>
      </c>
      <c r="E24" s="3">
        <v>163.14115901360861</v>
      </c>
    </row>
    <row r="25" spans="3:5" ht="19.95" customHeight="1" x14ac:dyDescent="0.3">
      <c r="C25" s="2" t="s">
        <v>9</v>
      </c>
      <c r="D25" s="3">
        <v>6.1274809863913715</v>
      </c>
      <c r="E25" s="3">
        <v>6.1274809863913715</v>
      </c>
    </row>
    <row r="26" spans="3:5" ht="19.95" customHeight="1" x14ac:dyDescent="0.3">
      <c r="C26" s="2" t="s">
        <v>11</v>
      </c>
      <c r="D26" s="3">
        <v>1946.3183203126687</v>
      </c>
      <c r="E26" s="3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 energia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Nogueira</dc:creator>
  <cp:lastModifiedBy>Guilherme Nogueira</cp:lastModifiedBy>
  <dcterms:created xsi:type="dcterms:W3CDTF">2015-06-05T18:19:34Z</dcterms:created>
  <dcterms:modified xsi:type="dcterms:W3CDTF">2026-02-05T12:09:29Z</dcterms:modified>
</cp:coreProperties>
</file>